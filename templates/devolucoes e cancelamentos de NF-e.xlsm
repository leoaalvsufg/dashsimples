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ichael.dutra\Downloads\"/>
    </mc:Choice>
  </mc:AlternateContent>
  <xr:revisionPtr revIDLastSave="0" documentId="8_{4E832C29-9F8D-4067-A0E5-B4661931DDFC}" xr6:coauthVersionLast="47" xr6:coauthVersionMax="47" xr10:uidLastSave="{00000000-0000-0000-0000-000000000000}"/>
  <bookViews>
    <workbookView xWindow="-120" yWindow="-120" windowWidth="29040" windowHeight="15840" tabRatio="0" xr2:uid="{8CB3B879-6E6C-44B2-B768-4624D46EB7D2}"/>
  </bookViews>
  <sheets>
    <sheet name="DEVOL E CANC - NF" sheetId="73" r:id="rId1"/>
    <sheet name="BASE" sheetId="7" r:id="rId2"/>
  </sheets>
  <definedNames>
    <definedName name="_xlnm._FilterDatabase" localSheetId="1" hidden="1">BASE!$B$2:$I$54</definedName>
    <definedName name="_xlnm.Print_Area" localSheetId="0">'DEVOL E CANC - NF'!$A$1:$M$309</definedName>
    <definedName name="SegmentaçãodeDados_DATA">#N/A</definedName>
  </definedNames>
  <calcPr calcId="191028"/>
  <pivotCaches>
    <pivotCache cacheId="0" r:id="rId3"/>
  </pivotCaches>
  <extLst>
    <ext xmlns:x14="http://schemas.microsoft.com/office/spreadsheetml/2009/9/main" uri="{BBE1A952-AA13-448e-AADC-164F8A28A991}">
      <x14:slicerCaches>
        <x14:slicerCache r:id="rId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73" l="1"/>
  <c r="L14" i="73"/>
  <c r="L4" i="73"/>
  <c r="L6" i="73"/>
  <c r="L7" i="73"/>
  <c r="L8" i="73"/>
  <c r="L9" i="73"/>
  <c r="L10" i="73"/>
  <c r="L11" i="73"/>
  <c r="L12" i="73"/>
  <c r="L13" i="73"/>
  <c r="L15" i="73"/>
  <c r="B2" i="73"/>
  <c r="L16" i="7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86C0A0-D7AA-4B8C-8C6B-82D5178BBED5}" keepAlive="1" name="Consulta - Arq Rel Pessoas" description="Conexão com a consulta 'Arq Rel Pessoas' na pasta de trabalho." type="5" refreshedVersion="0" background="1" saveData="1">
    <dbPr connection="Provider=Microsoft.Mashup.OleDb.1;Data Source=$Workbook$;Location=&quot;Arq Rel Pessoas&quot;;Extended Properties=&quot;&quot;" command="SELECT * FROM [Arq Rel Pessoas]"/>
  </connection>
  <connection id="2" xr16:uid="{72457303-0FF8-4B36-9B38-5DA2471ECDDB}" keepAlive="1" name="Consulta - Relatório de Cadastro de Pessoa" description="Conexão com a consulta 'Relatório de Cadastro de Pessoa' na pasta de trabalho." type="5" refreshedVersion="8" background="1" saveData="1">
    <dbPr connection="Provider=Microsoft.Mashup.OleDb.1;Data Source=$Workbook$;Location=&quot;Relatório de Cadastro de Pessoa&quot;;Extended Properties=&quot;&quot;" command="SELECT * FROM [Relatório de Cadastro de Pessoa]"/>
  </connection>
</connections>
</file>

<file path=xl/sharedStrings.xml><?xml version="1.0" encoding="utf-8"?>
<sst xmlns="http://schemas.openxmlformats.org/spreadsheetml/2006/main" count="16330" uniqueCount="450">
  <si>
    <t>Bruna</t>
  </si>
  <si>
    <t>James</t>
  </si>
  <si>
    <t>08 T7</t>
  </si>
  <si>
    <t>Isvania</t>
  </si>
  <si>
    <t>Claudio</t>
  </si>
  <si>
    <t>Leonardo</t>
  </si>
  <si>
    <t>Edines</t>
  </si>
  <si>
    <t>Anisio/Geraldo</t>
  </si>
  <si>
    <t>FRIGO SUINOS SOL NASCENTE LTDA</t>
  </si>
  <si>
    <t>LOJA</t>
  </si>
  <si>
    <t>DATA</t>
  </si>
  <si>
    <t>NOTA FISCAL</t>
  </si>
  <si>
    <t>FORNECEDOR</t>
  </si>
  <si>
    <t>COMPRADOR</t>
  </si>
  <si>
    <t>MOTIVO DA DEVOLUÇÃO</t>
  </si>
  <si>
    <t>AUTORIZADO POR:</t>
  </si>
  <si>
    <t>Sergio</t>
  </si>
  <si>
    <t>RECEBIMENTO</t>
  </si>
  <si>
    <t>SEM PEDIDO POR COMPRADOR</t>
  </si>
  <si>
    <t>SEQ FORNECEDOR</t>
  </si>
  <si>
    <t>NÃO INFORMADO</t>
  </si>
  <si>
    <t>Prazo De Validade</t>
  </si>
  <si>
    <t>10 PAPILLON</t>
  </si>
  <si>
    <t>ITAMBE ALIMENTOS S/A</t>
  </si>
  <si>
    <t>Sem Pedido</t>
  </si>
  <si>
    <t>JAMES</t>
  </si>
  <si>
    <t>07 GARAVELO</t>
  </si>
  <si>
    <t>FLORA PRODUTOS DE HIGIENE E LIMPEZA S/A</t>
  </si>
  <si>
    <t>Fora Do Agendamento</t>
  </si>
  <si>
    <t>MARCELO</t>
  </si>
  <si>
    <t>GSA GAMA SUCOS E ALIMENTOS LTDA</t>
  </si>
  <si>
    <t>Erro De Tributação</t>
  </si>
  <si>
    <t>CONTABILIDADE</t>
  </si>
  <si>
    <t>11 PORTAL</t>
  </si>
  <si>
    <t>CRBS S/A</t>
  </si>
  <si>
    <t>JUSCELIA</t>
  </si>
  <si>
    <t>Divergência De Preço</t>
  </si>
  <si>
    <t>AGIL COM E DISTRIB ALIMENTOS LTDA</t>
  </si>
  <si>
    <t>Troca De Nf-falta de peso</t>
  </si>
  <si>
    <t>Produto inativo</t>
  </si>
  <si>
    <t>09 CAMPINAS</t>
  </si>
  <si>
    <t>Má Qualidade</t>
  </si>
  <si>
    <t>CLAUDIO</t>
  </si>
  <si>
    <t>BRASSOL BRASILIA ALIMENTOS E SORVETES LT</t>
  </si>
  <si>
    <t>CONSERVAS ODERICH S/A</t>
  </si>
  <si>
    <t>Chegando Sem Boleto</t>
  </si>
  <si>
    <t>Fora Do Horário</t>
  </si>
  <si>
    <t>JALLES MACHADO S/A</t>
  </si>
  <si>
    <t>FRANCEFARMA INDUSTRIA DE COSMETICOS LTDA</t>
  </si>
  <si>
    <t>Falta De Mercadoria</t>
  </si>
  <si>
    <t>FRUTAP ALIMENTOS S.A</t>
  </si>
  <si>
    <t>ANDERSON</t>
  </si>
  <si>
    <t>Marcelo</t>
  </si>
  <si>
    <t>PEROLA DISTRIBUICAO E LOGISTICA SA</t>
  </si>
  <si>
    <t>Não Informado</t>
  </si>
  <si>
    <t>Patrimonio</t>
  </si>
  <si>
    <t>NATURAL OLEOS VEGETAIS E ALIM LTDA</t>
  </si>
  <si>
    <t>LEONARDO</t>
  </si>
  <si>
    <t>FANTE IND DE BEBIDAS LTDA</t>
  </si>
  <si>
    <t>SERGIO</t>
  </si>
  <si>
    <t>EDMAR VILELA LTDA</t>
  </si>
  <si>
    <t>BETANIA</t>
  </si>
  <si>
    <t>JR DISTRIBUICAO DE ALIMENTOS LTDA</t>
  </si>
  <si>
    <t>JARAGUA ALIMENTOS EIRELI-ME</t>
  </si>
  <si>
    <t>AMORIX ALIMENTOS LTDA</t>
  </si>
  <si>
    <t>REFRESCOS BANDEIRANTES IND COM LTDA</t>
  </si>
  <si>
    <t>SORVETERIA CREME MEL LTDA</t>
  </si>
  <si>
    <t xml:space="preserve">INDUSTRIA DE PLASTICOS DO VALE DO ITAJA </t>
  </si>
  <si>
    <t>T E T COMERCIO E REPRESENTACAO LTDA</t>
  </si>
  <si>
    <t>MINEIRA CEREAIS LTDA</t>
  </si>
  <si>
    <t>AUTO QUALIDADE COMERCIO DE PEÇAS</t>
  </si>
  <si>
    <t>Deixou A Nf E Não Voltou</t>
  </si>
  <si>
    <t>PANDURATA ALIMENTOS LTDA</t>
  </si>
  <si>
    <t>RENATA</t>
  </si>
  <si>
    <t>DANONE LTDA</t>
  </si>
  <si>
    <t>Mercadoria em desacordo com o pedido</t>
  </si>
  <si>
    <t>FRUTICOLA POUSO ALEGRE EIRELI-ME</t>
  </si>
  <si>
    <t>RIO VERMELHO DISTRIB DE ALIMENTOS</t>
  </si>
  <si>
    <t>COALA DO BRASIL LTDA</t>
  </si>
  <si>
    <t>CAFE RANCHEIRO AGRO IND LTDA</t>
  </si>
  <si>
    <t>SEPAC SERRADOS E PASTA DE CELULOSE</t>
  </si>
  <si>
    <t>L &amp; R COMERCIO DE FRUTAS LTDA</t>
  </si>
  <si>
    <t>AJL-AGRONEGOCIO JOSIDITH LTDA</t>
  </si>
  <si>
    <t>COOPERATIVA CENTRAL MINEIRA DE LATICÍNIO</t>
  </si>
  <si>
    <t>DANIELA</t>
  </si>
  <si>
    <t>SUZANO PAPEL E CELULOSE S/A</t>
  </si>
  <si>
    <t>EBEG EMBALAGENS E DESCARTAVEIS EIRELI</t>
  </si>
  <si>
    <t>JOANAS DUTRA SOARES</t>
  </si>
  <si>
    <t>ZUPPANI INDUSTRIAL LTDA</t>
  </si>
  <si>
    <t>Mercadoria batida/misturada</t>
  </si>
  <si>
    <t>PAO CRISTAL IND E COM DE ALIMENTOS LTDA</t>
  </si>
  <si>
    <t>ALPES INDUSTRIA E COMERCIO DE PLASTICOS LTDA</t>
  </si>
  <si>
    <t>SALA DE NOTAS</t>
  </si>
  <si>
    <t>Daniela</t>
  </si>
  <si>
    <t>MONDELEZ BRASIL LTDA</t>
  </si>
  <si>
    <t>PEPSICO DO BRASIL LTDA</t>
  </si>
  <si>
    <t>Quantidade A Mais</t>
  </si>
  <si>
    <t>Data de Emissão fora do prazo</t>
  </si>
  <si>
    <t>AMANDA</t>
  </si>
  <si>
    <t>MULTICANAL ATACADO LTDA</t>
  </si>
  <si>
    <t>A.S.E DISTRIBUICAO LTDA</t>
  </si>
  <si>
    <t>PEROLA DISTRIBUICAO E LOGISTICA AS</t>
  </si>
  <si>
    <t>Sem retorno do Fornecedor</t>
  </si>
  <si>
    <t xml:space="preserve">RECEBIMENTO </t>
  </si>
  <si>
    <t>PHISALIA DISTRIBUIDORA LTDA.</t>
  </si>
  <si>
    <t>REFIL DISTRIBUICAO E LOGISTICA LTDA</t>
  </si>
  <si>
    <t>RIO PRATA EMBALAGENS LTDA</t>
  </si>
  <si>
    <t>RECEBIMENTOI</t>
  </si>
  <si>
    <t>DIST DE VERD E TRANSP KIMURA LTDA</t>
  </si>
  <si>
    <t>BRINOX METALURGICA S.A</t>
  </si>
  <si>
    <t>SEARA ALIMENTOS S/A</t>
  </si>
  <si>
    <t>GRANJA LOYOLA LTDA</t>
  </si>
  <si>
    <t>INDUSTRIA E COMERCIO DE BEBIDAS IMPERIAL SA</t>
  </si>
  <si>
    <t>ASA DO BRASIL IND COM  ENCART LTDA</t>
  </si>
  <si>
    <t>Troca De Nf-falta de Mercadoria</t>
  </si>
  <si>
    <t xml:space="preserve">ANDERSON </t>
  </si>
  <si>
    <t>LIFE INDUSTRIA E COMERCIO DE SUCOS LTDA</t>
  </si>
  <si>
    <t>AGENDAMENTO</t>
  </si>
  <si>
    <t>F &amp; F ATACADISTA LTDA</t>
  </si>
  <si>
    <t>JC DIST LOGIST IMPORT E EXP PROD IN</t>
  </si>
  <si>
    <t>ISVANIA</t>
  </si>
  <si>
    <t>ARJO ALIMENTOS LTDA (RIGONALI ALIMENTOS)</t>
  </si>
  <si>
    <t>FRUTICOLA CACIQUE LTDA</t>
  </si>
  <si>
    <t>ANISIO</t>
  </si>
  <si>
    <t>A CASA DA CENOURA LTDA-EPP</t>
  </si>
  <si>
    <t>962073/962154</t>
  </si>
  <si>
    <t>OBER S A INDUSTRIA E COMERCIO</t>
  </si>
  <si>
    <t>EMBALAGENS PILOTO LTDA</t>
  </si>
  <si>
    <t>MASTER ENERGETICA LTDA</t>
  </si>
  <si>
    <t>CAMIL ALIMENTOS S/A (AP GO)</t>
  </si>
  <si>
    <t>ALICE</t>
  </si>
  <si>
    <t>KERGINALDO DE SOUSA BEZERRA</t>
  </si>
  <si>
    <t>CONTABIL</t>
  </si>
  <si>
    <t>PROD ALIM ORLANDIA SA COM IND</t>
  </si>
  <si>
    <t>STA DISTRIBUIDORA DE ALIMENTOS LTDA</t>
  </si>
  <si>
    <t xml:space="preserve">ELZA INDUSTRIA E COMERCIO DE COSMETICOS </t>
  </si>
  <si>
    <t>CARAMURU ALIMENTOS S.A</t>
  </si>
  <si>
    <t>Sem Espaço Para O Produto</t>
  </si>
  <si>
    <t>QUANTIDADE</t>
  </si>
  <si>
    <t>LATICINIOS TIROL LTDA</t>
  </si>
  <si>
    <t>DISTRIBUIDORA TROPICAL AROMAS EIRELI</t>
  </si>
  <si>
    <t>GYNSOL DISTRIBUIDORA E LOGISTICA DE PRODUTOS ALIMENTICIOS LTDA</t>
  </si>
  <si>
    <t>ZMR DISTRIBUIDORA DE COSMETICOS LTD</t>
  </si>
  <si>
    <t>INDUSTRIA ANHEMBI S/A</t>
  </si>
  <si>
    <t>TAK ATACADIST DE PROD DE HIGIENE LT</t>
  </si>
  <si>
    <t>CICOPAL IND COM PRODS ALIM E HIGIEN</t>
  </si>
  <si>
    <t>LORG DISTRIBUIÇÃO DE ALIMENTOS SAUDAVEIS LTDA</t>
  </si>
  <si>
    <t>LATICINIOS BELA VISTA LTDA</t>
  </si>
  <si>
    <t>PONTELAND DISTRIBUICAO S/A</t>
  </si>
  <si>
    <t>BOMBRIL SA</t>
  </si>
  <si>
    <t>ARCOM S/A</t>
  </si>
  <si>
    <t>SAO SALVADOR ALIMENTOS S/A</t>
  </si>
  <si>
    <t>WK PRODUTOS ALIMENTICIOS LTDA</t>
  </si>
  <si>
    <t>GOIAS DISTRIBUIDORA DE ALIMENTOS LT</t>
  </si>
  <si>
    <t>DOCE VIDA IND COM DE PROD ALIM NAT</t>
  </si>
  <si>
    <t>VETOR IMPORTADOR E DISTRIBUIDOR EIRELI</t>
  </si>
  <si>
    <t>JC DISTRIBUICAO LOGISTICA IMPORTACAO E EXPORTACAO DE PRODUTOS INDUSTRIALIZADOS LTDA</t>
  </si>
  <si>
    <t>CANAL DISTRIBUIDORA DE ALIMENTOS LTDA</t>
  </si>
  <si>
    <t>NESTLE BRASIL LTDA</t>
  </si>
  <si>
    <t>Anderson</t>
  </si>
  <si>
    <t>REAL DISTRIB E LOGISTICA LTDA</t>
  </si>
  <si>
    <t>R3 SUPRIMENTOS CORPORATIVOS LTDA</t>
  </si>
  <si>
    <t>FRIGORIFICO BERRANTE LTDA</t>
  </si>
  <si>
    <t xml:space="preserve">recebimento </t>
  </si>
  <si>
    <t>STELLA DORO ALIMENTOS LTDA</t>
  </si>
  <si>
    <t>PREDILECTA ALIMENTOS LTDA</t>
  </si>
  <si>
    <t>FLUXO COMERCIO ATACADISTA DE PRODUTOS ALIMENTICIOS LTDA</t>
  </si>
  <si>
    <t>UNILEVER BRASIL LTDA</t>
  </si>
  <si>
    <t>CREMER SA</t>
  </si>
  <si>
    <t>MR.WISE COM E IMP DE ALIMENTOS LTDA</t>
  </si>
  <si>
    <t>Sem retorno do comprador</t>
  </si>
  <si>
    <t>LATICINIOS LARA LTDA</t>
  </si>
  <si>
    <t>DEZ ALIMENTOS LTDA</t>
  </si>
  <si>
    <t>BRUNO</t>
  </si>
  <si>
    <t>W DA S VAZ DISTRIBUIDORA DE MAMÃO</t>
  </si>
  <si>
    <t>MUNDIAL DISTRIBUIDORA DE PRODUTOS DE CON</t>
  </si>
  <si>
    <t>NF recusada - Contabilidade</t>
  </si>
  <si>
    <t>ANA MARINHA LOBO RIBEIRO SKAF LTDA</t>
  </si>
  <si>
    <t>PERFUMES DANA DO BRASIL S/A</t>
  </si>
  <si>
    <t>IMPORTADORA DE FRUT LA VIOLET LTDA</t>
  </si>
  <si>
    <t>AGROINDUSTRIA DE ALIMENTOS AVESUI LTDA</t>
  </si>
  <si>
    <t>MG FRUTAS E LEGUMES LTDA</t>
  </si>
  <si>
    <t>FABRICA DE CHOPP POTIGUAR GOIANIA LTDA</t>
  </si>
  <si>
    <t>REDE BRASIL DISTRIB LOGISTICA LTDA</t>
  </si>
  <si>
    <t>Sem pedido - Fornecedor</t>
  </si>
  <si>
    <t>BRF FOODS S/</t>
  </si>
  <si>
    <t>Sem Pedido - Comprador</t>
  </si>
  <si>
    <t>PETAS CASEIRAS JOAO E MARIA LTDA</t>
  </si>
  <si>
    <t>LACTOSUL INDUSTRIA DE LATICINIOS LTDA</t>
  </si>
  <si>
    <t>JULIANO CESAR DE SOUZA OLIVEIRA 03441064208</t>
  </si>
  <si>
    <t>Prazo De Validade do Produto</t>
  </si>
  <si>
    <t>CIMAPI INDUST E COMER LTDA-MATRIZ</t>
  </si>
  <si>
    <t xml:space="preserve">BETANIA </t>
  </si>
  <si>
    <t>MARILAN ALIMENTOS S/A</t>
  </si>
  <si>
    <t>OASIS AUAS MINERAIS LTDA</t>
  </si>
  <si>
    <t>YAKULT S/A. INDUSTRIA E COMERCIO</t>
  </si>
  <si>
    <t>JILDEON DE OLIVEIRA NERI 05182141505</t>
  </si>
  <si>
    <t>SUPER HORTI COM DE VERDURAS E LEGUMES</t>
  </si>
  <si>
    <t xml:space="preserve">RENATA </t>
  </si>
  <si>
    <t>LM IND COM IMP EXP LTDA</t>
  </si>
  <si>
    <t>DISTRIB CENTRAL PROD ALIM LTDA</t>
  </si>
  <si>
    <t>COMPANHIA ALIMENTICIA DO VALE</t>
  </si>
  <si>
    <t>TREVO LACTEOS S.A</t>
  </si>
  <si>
    <t>FVO BRASÍLIA INDUSTRIA E COMERCIO DE ALI</t>
  </si>
  <si>
    <t>UNILEVER BRASIL LTDA (GELADO)</t>
  </si>
  <si>
    <t>QUIMICA AMPARO LTDA</t>
  </si>
  <si>
    <t>LATICINIO ARAGOIANIA LTDA -ME</t>
  </si>
  <si>
    <t>GOIAS VERDE ALIMENTOS LTDA</t>
  </si>
  <si>
    <t>LINGUICAS MINERIM LTDA</t>
  </si>
  <si>
    <t>MENDEZ ALIMENTOS LTDA</t>
  </si>
  <si>
    <t>06 CENTRO</t>
  </si>
  <si>
    <t>MAE RAINHA INDUSTRIA E COMERCIO - EIRELI</t>
  </si>
  <si>
    <t>LEO E MAR COM E IMP DE PR ALIM LTDA</t>
  </si>
  <si>
    <t>LATICINIO MINAS GERAIS LTDA</t>
  </si>
  <si>
    <t>FLORA DIST DE PR HIG E LIMP LTDA</t>
  </si>
  <si>
    <t>Bloqueio Troca - Almoxarifado</t>
  </si>
  <si>
    <t>ALMOXERIFADO</t>
  </si>
  <si>
    <t>LG PALETES AMBIENTAL LTDA</t>
  </si>
  <si>
    <t>ARMAZÉM DO QUEIJO COMÉRCIO DE LATICÍNIO LTDA</t>
  </si>
  <si>
    <t>BRUNA</t>
  </si>
  <si>
    <t>Boleto vencido - Sem Retorno Fornecedor</t>
  </si>
  <si>
    <t>Quantidade A Mais - Fornecedor</t>
  </si>
  <si>
    <t xml:space="preserve">JAMES </t>
  </si>
  <si>
    <t>3X PRODUTOS QUIMICOS LT</t>
  </si>
  <si>
    <t xml:space="preserve">LEONADOR </t>
  </si>
  <si>
    <t>ALL NUTRI ALIMENTOS EIRELI.</t>
  </si>
  <si>
    <t>ROAN ALIMENTOS LTDA</t>
  </si>
  <si>
    <t>PATRIMONIO</t>
  </si>
  <si>
    <t>Motorista Não Aguardou</t>
  </si>
  <si>
    <t>CRUZEIRO ELABORACAO DE PRODUTOS DIVERSIFICADOS LTDA</t>
  </si>
  <si>
    <t>BRANNEVE IND E COMERCIO LTDA</t>
  </si>
  <si>
    <t>LOLLY BABY PRODUTOS INFANTIS LTDA</t>
  </si>
  <si>
    <t>EVELYN</t>
  </si>
  <si>
    <t>LATICINIOS PELEGRINE LTDA</t>
  </si>
  <si>
    <t>LEO BERNARDES DA SILVA EIRELI - ME</t>
  </si>
  <si>
    <t>FERNANDA</t>
  </si>
  <si>
    <t>BUSCHLE ALIMENTOS EIRELI</t>
  </si>
  <si>
    <t>DONA COTA ALIMENTOS LTDA-EPP</t>
  </si>
  <si>
    <t>CRYSTAL INDUSTRIA E COMERCIO DE BEBIDAS E ALIMENTOS LTDA</t>
  </si>
  <si>
    <t xml:space="preserve">CBA - COMERCIO DE PRODUTOS HOSPITALARES </t>
  </si>
  <si>
    <t>LOUIS DREYFUS COMMODITIES BR S A</t>
  </si>
  <si>
    <t>PERBONI FLV  S/A</t>
  </si>
  <si>
    <t>DANELA</t>
  </si>
  <si>
    <t>CADASTRO</t>
  </si>
  <si>
    <t>LACTALIS DO BRASIL-COMERCIO,IMPORTAÇÃO D</t>
  </si>
  <si>
    <t>BRUNO AGEN</t>
  </si>
  <si>
    <t>JULIETY</t>
  </si>
  <si>
    <t>FRIGORIFICO NUTRIBRAS LTDA</t>
  </si>
  <si>
    <t>CARMEX INDUSTRIA DE DESCARTAVEIS LTDA</t>
  </si>
  <si>
    <t>TRES CORACOES ALIMENTOS S.A</t>
  </si>
  <si>
    <t>JUNCO INDUSTRIA E COMERCIO LTDA</t>
  </si>
  <si>
    <t>M DIAS BRANCO S.A. INDUSTRIA E COMERCIO DE ALIMENTOS</t>
  </si>
  <si>
    <t>GPACK COMÉRCIO DE EMBALAGENS LTDA</t>
  </si>
  <si>
    <t>EPIFER EPI'S E FERRAMENTAS LTDA</t>
  </si>
  <si>
    <t>BETTANIN INDUSTRIAL S A</t>
  </si>
  <si>
    <t>DNA PET GO DISTRIBUIDORA LTDA</t>
  </si>
  <si>
    <t xml:space="preserve">LILLO DO BRASIL INDUSTRIA E COMERCIO DE </t>
  </si>
  <si>
    <t>EMPRESA BRAS DE BEB E ALIM S/A</t>
  </si>
  <si>
    <t>EDINES</t>
  </si>
  <si>
    <t>ANISIO/GERALDO</t>
  </si>
  <si>
    <t>MANOEL</t>
  </si>
  <si>
    <t>TOTAL</t>
  </si>
  <si>
    <t>Manoel</t>
  </si>
  <si>
    <t>MASSA CIRIA ZAFITA EIRELI</t>
  </si>
  <si>
    <t>EDVALDO CADAMURO</t>
  </si>
  <si>
    <t>Pedido Feito no Dia - não autorizado</t>
  </si>
  <si>
    <t>SIOL ALIMENTOS LT</t>
  </si>
  <si>
    <t>NACOM GOYA IND E COM ALIMENT LTDA</t>
  </si>
  <si>
    <t>PLUS PACKING DO BRASIL INDUSTRIA E COMERCIO PLASTICOS LTDA</t>
  </si>
  <si>
    <t>DIVINA PAMONHA - INDUSTRIA E COMERCIO DE</t>
  </si>
  <si>
    <t>BERANIA</t>
  </si>
  <si>
    <t>N R DISTRIBUIDORA DE MEDICAMENTOS LTDA</t>
  </si>
  <si>
    <t>ROSA DE OURO DIST E LOG LTDA</t>
  </si>
  <si>
    <t>WORLD SEG PRODUTOS PARA SEGURANÇA LTDA</t>
  </si>
  <si>
    <t>BARBARA</t>
  </si>
  <si>
    <t>CONTAT</t>
  </si>
  <si>
    <t>MAPP COMERCIO DE IMPORTACAO E EXPORTACAO E INDUSTRIA DE PRODUTOS ALIMENTICIOS EIRELI</t>
  </si>
  <si>
    <t>DISTRIBUIDORA DE BANANAS TOPAZIL LTDA</t>
  </si>
  <si>
    <t>FOSFOREIRA BRASILEIRA S/A</t>
  </si>
  <si>
    <t xml:space="preserve">CRISTAL ALIMENTOS LTDA             </t>
  </si>
  <si>
    <t>A E B INDUSTRIA DE ALIMENTOS LTDA</t>
  </si>
  <si>
    <t xml:space="preserve">ISVANIA </t>
  </si>
  <si>
    <t>Sem Pedido - Fornecedor</t>
  </si>
  <si>
    <t>LATICINIOS SUCESSO LTDA</t>
  </si>
  <si>
    <t>RECEBIMETNO</t>
  </si>
  <si>
    <t>ENCOPA-PANOS DE PRATO LTDA</t>
  </si>
  <si>
    <t>ESTRELA DISTRIBUICAO EIRELI</t>
  </si>
  <si>
    <t>M.W.A COM. DE PRODUTOS ALIMENT LTDA</t>
  </si>
  <si>
    <t>betania</t>
  </si>
  <si>
    <t>BAGLEY DO BRASIL ALIMENTOS LTDA</t>
  </si>
  <si>
    <t xml:space="preserve">juscelia </t>
  </si>
  <si>
    <t>BRINOX METALURGICA SA</t>
  </si>
  <si>
    <t>CARGIL AGRICOLA S A GOIANI</t>
  </si>
  <si>
    <t>CARGIL AGRICOLA S A</t>
  </si>
  <si>
    <t>MOINHO REGIO ALIMENTOS S/A</t>
  </si>
  <si>
    <t>CRIA SIM PRODUTOS DE HIGIENE LTDA</t>
  </si>
  <si>
    <t xml:space="preserve">JUSCELIA </t>
  </si>
  <si>
    <t>CVG COMPAHIA VOLTA GRANDE DE PAPEL</t>
  </si>
  <si>
    <t xml:space="preserve">aNDERSON </t>
  </si>
  <si>
    <t>SO FRUTA ALIMENTOS LTDA</t>
  </si>
  <si>
    <t>Pendencia Financeira - Sem Quitação Total</t>
  </si>
  <si>
    <t>FINANCEIRO</t>
  </si>
  <si>
    <t>ALCAST DO BRASIL S/A</t>
  </si>
  <si>
    <t>DISTRIBUIDORA MEMPHIS LTDA</t>
  </si>
  <si>
    <t>Prorrogação - Sem Retorno</t>
  </si>
  <si>
    <t>EVELY</t>
  </si>
  <si>
    <t>BRINOX METARLUGICA S A</t>
  </si>
  <si>
    <t>CRUSOE FOODS IND IMP E EXP LTDA</t>
  </si>
  <si>
    <t>FORN. CANCELOU</t>
  </si>
  <si>
    <t>Recebimento Não Conseguiu Receber</t>
  </si>
  <si>
    <t>MARTINS COMERCIO E SERVIÇOS DE DISTRIBUI</t>
  </si>
  <si>
    <t>PANEBRAS IND COM DE PROD ALIM LTDA</t>
  </si>
  <si>
    <t>GABI</t>
  </si>
  <si>
    <t>IRMAOS GARC COM DE HORTIF LTDA</t>
  </si>
  <si>
    <t>FF MIX DISTRIBUIÇÃO LTDA</t>
  </si>
  <si>
    <t>ZANLORENZI BEBIDAS LTDA</t>
  </si>
  <si>
    <t>CHACARA DAS FOLHAGENS COMERCIO DE HORTIFRUTIGRANJEIROS EIRELI</t>
  </si>
  <si>
    <t xml:space="preserve">betania </t>
  </si>
  <si>
    <t xml:space="preserve">TODAS AS NOTAS </t>
  </si>
  <si>
    <t>RECEBIMENT</t>
  </si>
  <si>
    <t>DICASA IND. E COM. DE ALIMENTOS LTDA</t>
  </si>
  <si>
    <t>INDUSTRIA E COMERCIO NOBRE LTDA-EPP</t>
  </si>
  <si>
    <t>RACOES REIS DISTRIB DE ART PET LTDA</t>
  </si>
  <si>
    <t>PRO NOVA DISTRIBUIDORA E COMERCIO DE COSMETICOS LTDA</t>
  </si>
  <si>
    <t xml:space="preserve">MARCELO </t>
  </si>
  <si>
    <t>FATEX INDUSTRIAL COMERCIAL IMP E EXP LTDA</t>
  </si>
  <si>
    <t>PEROLA DISTRIBUICAO E LOGISTICA</t>
  </si>
  <si>
    <t/>
  </si>
  <si>
    <t>ARTE TRIGO INDUSTRIAL LTDA</t>
  </si>
  <si>
    <t>POLENGHI INDUSTRIAS ALIMENTICIAS LT</t>
  </si>
  <si>
    <t xml:space="preserve">Leonardo </t>
  </si>
  <si>
    <t>claudio</t>
  </si>
  <si>
    <t xml:space="preserve">CONTABILIDADE </t>
  </si>
  <si>
    <t>COMERCIAL DE FRUTAS VLAE DE ESC</t>
  </si>
  <si>
    <t>Pedro</t>
  </si>
  <si>
    <t>PEDRO</t>
  </si>
  <si>
    <t>HELEN ALVES DE SALES</t>
  </si>
  <si>
    <t>TEC BEL INDUSTRIA E COMERCIO DE COS</t>
  </si>
  <si>
    <t>FABRICA DE DOCES JOACI LTDA-ME</t>
  </si>
  <si>
    <t>PRIME PESCADOS E CONGELADOS LTDA</t>
  </si>
  <si>
    <t>Maralucia</t>
  </si>
  <si>
    <t>Debora</t>
  </si>
  <si>
    <t>Joelma</t>
  </si>
  <si>
    <t>Mara</t>
  </si>
  <si>
    <t>MARA</t>
  </si>
  <si>
    <t>ALIMENTOS RAMOS INDUSTRIA SERVICOS E COMERCIO LTDA</t>
  </si>
  <si>
    <t>BOMLIXO INDUSTRIA E COMERCIO EIRELI-EPP</t>
  </si>
  <si>
    <t>FISCAL</t>
  </si>
  <si>
    <t>REBEBIMENTO</t>
  </si>
  <si>
    <t>LUIZ ANTONIO ALVES PEREIRA</t>
  </si>
  <si>
    <t>Bonificação em desacordo da nf de venda</t>
  </si>
  <si>
    <t xml:space="preserve">        Pedro</t>
  </si>
  <si>
    <t>pedro</t>
  </si>
  <si>
    <t>SOBRAL INVICTA S/A</t>
  </si>
  <si>
    <t>VETOR IMPORTADO E DISTRIBUIDOR EIRELI</t>
  </si>
  <si>
    <t>NF Cancelada na Sefaz</t>
  </si>
  <si>
    <t>PH COMERCIO ATACADISTA DE EMBALAGENS EIR</t>
  </si>
  <si>
    <t xml:space="preserve">CLAUDIO </t>
  </si>
  <si>
    <t>BRASINHA INDUST E DISTRIB LTDA ME</t>
  </si>
  <si>
    <t>AGROPECUARIA SCHIO LTDA</t>
  </si>
  <si>
    <t>SOTRIGO SOCIEDADE TRITICOLA GOIAS L</t>
  </si>
  <si>
    <t>BADIN E FAVILLA LTDA ME</t>
  </si>
  <si>
    <t>BELMA IND DE GENEROS ALIMENT LTDA</t>
  </si>
  <si>
    <t>sala de notas</t>
  </si>
  <si>
    <t>PEREIRA E LEAO DOCES LTDA-ME</t>
  </si>
  <si>
    <t>MULTIMARCAS IND PRODS HIG LTDA</t>
  </si>
  <si>
    <t>19/07/02023</t>
  </si>
  <si>
    <t>CARLOS MAGNO PEREIRA DA SILVA</t>
  </si>
  <si>
    <t>DOM LEAO CONFECCOES EIRELI</t>
  </si>
  <si>
    <t xml:space="preserve">THIAGO </t>
  </si>
  <si>
    <t>DEBORA</t>
  </si>
  <si>
    <t>ACAO DEZ DISTRIBUIÇÃO E LOGISTICA EIRELI</t>
  </si>
  <si>
    <t>SANREMO S/A OK</t>
  </si>
  <si>
    <t>NOTAS</t>
  </si>
  <si>
    <t>LATICINIOS DIOLAC LTDA</t>
  </si>
  <si>
    <t>Betania</t>
  </si>
  <si>
    <t>Quantidade A Mais - Comprador</t>
  </si>
  <si>
    <t>CANTABIL</t>
  </si>
  <si>
    <t>recebimento</t>
  </si>
  <si>
    <t>SWEDISH MATCH DO BRASIL S A</t>
  </si>
  <si>
    <t>EVILY</t>
  </si>
  <si>
    <t xml:space="preserve">FINANCEIRO </t>
  </si>
  <si>
    <t>FLORA PRODUTOS DE HIGIENE E LIMPEZA</t>
  </si>
  <si>
    <t>Boleto vencido - Sem Retorno Comprador</t>
  </si>
  <si>
    <t>COOPERATIVA MISTA DOS PROD RURAIS</t>
  </si>
  <si>
    <t>TERMOLAR SA</t>
  </si>
  <si>
    <t>BELAFRUTA ATACADISTA DE FRUTAS LTDA</t>
  </si>
  <si>
    <t>FRUITMIX COM E IMP EXP LTDA</t>
  </si>
  <si>
    <t>RN COMERCIO DE PRODUTOS ALIM LTDA</t>
  </si>
  <si>
    <t>HAVAI ALIMENTOS E EMBALAGENS LTDA</t>
  </si>
  <si>
    <t>SUPER PACK EMBALAGENS E FESTAS LTDA-ME</t>
  </si>
  <si>
    <t>BRAGANCA INDUSTRIA COMERCIO DE CARNES EDERIVADOS EIRELI</t>
  </si>
  <si>
    <t>FECULARIA LOPES LTDA</t>
  </si>
  <si>
    <t>s/ cadastro</t>
  </si>
  <si>
    <t>MARIA ALICE FERREIRA MONTEIRO-ME</t>
  </si>
  <si>
    <t>LUMICENTER SISTEMAS ELETRONICOS DE ILUMI</t>
  </si>
  <si>
    <t>GELO MINERAL INDUSTRIA E COM LTDA</t>
  </si>
  <si>
    <t>LIMPPANO S A</t>
  </si>
  <si>
    <t>JBS S/A</t>
  </si>
  <si>
    <t>sem cadastro</t>
  </si>
  <si>
    <t>ALMOXARIFADO</t>
  </si>
  <si>
    <t>FUGINI ALIMENTOS LTDA CRISTALINA</t>
  </si>
  <si>
    <t xml:space="preserve">NOTAS </t>
  </si>
  <si>
    <t>Ednes</t>
  </si>
  <si>
    <t>ARCOR DO BRASIL LTDA</t>
  </si>
  <si>
    <t>JACOBS DOUWE EGBERTS BR COMERC CAFES</t>
  </si>
  <si>
    <t>PLANTAO</t>
  </si>
  <si>
    <t>NETO</t>
  </si>
  <si>
    <t>IND E COM DE ALIM TRIANGULO LTDA</t>
  </si>
  <si>
    <t>anderson</t>
  </si>
  <si>
    <t>MOINHO CENTRO NORTE EIRELI</t>
  </si>
  <si>
    <t>PRADELLA COMERCIO DE MASSAS EIRELI</t>
  </si>
  <si>
    <t>GALLO BRASIL DISTRIBUICAO E COMERCIO LTDA</t>
  </si>
  <si>
    <t>PRO OVOS COM GEN ALIMENTICIOS LTDA</t>
  </si>
  <si>
    <t>EDNES</t>
  </si>
  <si>
    <t>contal</t>
  </si>
  <si>
    <t>MOVEIS DALCIN LTDA</t>
  </si>
  <si>
    <t>Boleto Sem Registro - Boleto Sem Desconto</t>
  </si>
  <si>
    <t>MAPILA ALIMENTOS EIRELI-ME</t>
  </si>
  <si>
    <t xml:space="preserve">MARA </t>
  </si>
  <si>
    <t>R&amp;F ATACADISTA DE PROD ALIMENTICOS EIREL</t>
  </si>
  <si>
    <t>MOCOCA S/A PROD ALIMENTICIOS</t>
  </si>
  <si>
    <t xml:space="preserve">DEBORA </t>
  </si>
  <si>
    <t>PACHECO DISTRIBUIÇÃO HORTIFRUTI LTDA</t>
  </si>
  <si>
    <t>CIMEX DISTRIBUIDORA DE COSMETICOS LTDA</t>
  </si>
  <si>
    <t>KUMAGAI E ARIMA LTDA</t>
  </si>
  <si>
    <t>CERVEJARIA PETROPOLIS S/A</t>
  </si>
  <si>
    <t>INDUSTRIA DE SUCOS 4 LEGUA LTDA</t>
  </si>
  <si>
    <t>FRUTAS E VERDURAS AP</t>
  </si>
  <si>
    <t>FVO BRASILIA IND E COM DE ALIM LTDA</t>
  </si>
  <si>
    <t>HELBRAZ COMERCIO DE PAPELARIA EMBALAGENS</t>
  </si>
  <si>
    <t>BERGAMO COMERCIO LTDA</t>
  </si>
  <si>
    <t>ELMA</t>
  </si>
  <si>
    <t>sergio</t>
  </si>
  <si>
    <t xml:space="preserve">LEORNADO </t>
  </si>
  <si>
    <t>L.A FERRETTI EIRELLI-EPP</t>
  </si>
  <si>
    <t>INDUSTRIA DE DOCES REAL LTDA</t>
  </si>
  <si>
    <t>FLAMBOYANT PARK HOTEL LTDA-ME</t>
  </si>
  <si>
    <t>reCEBIMENTO</t>
  </si>
  <si>
    <t>BERNARDES E ANDRADE ALIMENTOS LTDA ME</t>
  </si>
  <si>
    <t>CEREALISTA MEDEIROS</t>
  </si>
  <si>
    <t>beTANIA</t>
  </si>
  <si>
    <t>ALEXANDRE ANTONIO GONÇALVES ME</t>
  </si>
  <si>
    <t>EVELLYN</t>
  </si>
  <si>
    <t>JOELMA</t>
  </si>
  <si>
    <t xml:space="preserve">fiscal </t>
  </si>
  <si>
    <t>DEBORA COMPRADORA</t>
  </si>
  <si>
    <t>VITA PACK ALIMENTOS LTDA</t>
  </si>
  <si>
    <t>IND COM GEN ALIM BOLAMEL LTDA</t>
  </si>
  <si>
    <t>TERMOLAR S/A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</si>
</sst>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Protection="1">
      <protection hidden="1"/>
    </xf>
    <xf numFmtId="0" fontId="0" fillId="0" borderId="0" xfId="0" applyProtection="1">
      <protection locked="0"/>
    </xf>
    <xf numFmtId="0" fontId="1" fillId="2" borderId="9" xfId="0" applyFont="1" applyFill="1" applyBorder="1" applyAlignment="1" applyProtection="1">
      <alignment horizontal="centerContinuous"/>
      <protection locked="0"/>
    </xf>
    <xf numFmtId="0" fontId="1" fillId="2" borderId="10" xfId="0" applyFont="1" applyFill="1" applyBorder="1" applyAlignment="1" applyProtection="1">
      <alignment horizontal="centerContinuous"/>
      <protection locked="0"/>
    </xf>
    <xf numFmtId="0" fontId="1" fillId="2" borderId="10" xfId="0" applyFont="1" applyFill="1" applyBorder="1" applyAlignment="1" applyProtection="1">
      <alignment horizontal="centerContinuous"/>
      <protection hidden="1"/>
    </xf>
    <xf numFmtId="14" fontId="1" fillId="2" borderId="10" xfId="0" applyNumberFormat="1" applyFont="1" applyFill="1" applyBorder="1" applyAlignment="1" applyProtection="1">
      <alignment horizontal="centerContinuous"/>
      <protection locked="0"/>
    </xf>
    <xf numFmtId="0" fontId="1" fillId="2" borderId="11" xfId="0" applyFont="1" applyFill="1" applyBorder="1" applyAlignment="1" applyProtection="1">
      <alignment horizontal="centerContinuous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0" fontId="2" fillId="3" borderId="0" xfId="0" applyFont="1" applyFill="1"/>
    <xf numFmtId="0" fontId="6" fillId="0" borderId="0" xfId="0" applyFont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7" fillId="5" borderId="8" xfId="0" applyFont="1" applyFill="1" applyBorder="1" applyAlignment="1" applyProtection="1">
      <alignment horizontal="center" vertical="center" wrapText="1"/>
      <protection locked="0"/>
    </xf>
    <xf numFmtId="0" fontId="4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 wrapText="1"/>
    </xf>
    <xf numFmtId="0" fontId="0" fillId="3" borderId="0" xfId="0" applyFill="1"/>
    <xf numFmtId="0" fontId="7" fillId="5" borderId="12" xfId="0" applyFont="1" applyFill="1" applyBorder="1" applyAlignment="1" applyProtection="1">
      <alignment horizontal="center" vertical="center" wrapText="1"/>
      <protection locked="0"/>
    </xf>
    <xf numFmtId="0" fontId="0" fillId="3" borderId="13" xfId="0" applyFill="1" applyBorder="1"/>
    <xf numFmtId="0" fontId="0" fillId="3" borderId="14" xfId="0" applyFill="1" applyBorder="1"/>
    <xf numFmtId="0" fontId="2" fillId="0" borderId="0" xfId="0" applyFont="1" applyAlignment="1" applyProtection="1">
      <alignment horizontal="center" vertical="center"/>
      <protection locked="0"/>
    </xf>
    <xf numFmtId="14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</cellXfs>
  <cellStyles count="1">
    <cellStyle name="Normal" xfId="0" builtinId="0"/>
  </cellStyles>
  <dxfs count="418"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FF00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b val="0"/>
        <i val="0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0"/>
      </font>
      <fill>
        <patternFill>
          <bgColor theme="1"/>
        </patternFill>
      </fill>
    </dxf>
    <dxf>
      <fill>
        <patternFill patternType="solid">
          <bgColor theme="0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2" defaultTableStyle="TableStyleMedium2" defaultPivotStyle="PivotStyleLight16">
    <tableStyle name="Estilo de Segmentação de Dados 1" pivot="0" table="0" count="3" xr9:uid="{3543F9AA-09BB-4D9C-9A6A-86F9CA1219E2}">
      <tableStyleElement type="wholeTable" dxfId="417"/>
      <tableStyleElement type="headerRow" dxfId="416"/>
    </tableStyle>
    <tableStyle name="Estilo de Tabela Dinâmica 1" table="0" count="2" xr9:uid="{19925638-8AAA-4681-BF77-4217EA642CF6}">
      <tableStyleElement type="wholeTable" dxfId="415"/>
      <tableStyleElement type="headerRow" dxfId="414"/>
    </tableStyle>
  </tableStyles>
  <extLst>
    <ext xmlns:x14="http://schemas.microsoft.com/office/spreadsheetml/2009/9/main" uri="{46F421CA-312F-682f-3DD2-61675219B42D}">
      <x14:dxfs count="1">
        <dxf>
          <fill>
            <patternFill>
              <bgColor rgb="FFFFFF0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microsoft.com/office/2007/relationships/slicerCache" Target="slicerCaches/slicerCache1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</xdr:colOff>
      <xdr:row>0</xdr:row>
      <xdr:rowOff>122464</xdr:rowOff>
    </xdr:from>
    <xdr:to>
      <xdr:col>15</xdr:col>
      <xdr:colOff>317048</xdr:colOff>
      <xdr:row>37</xdr:row>
      <xdr:rowOff>92529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ATA">
              <a:extLst>
                <a:ext uri="{FF2B5EF4-FFF2-40B4-BE49-F238E27FC236}">
                  <a16:creationId xmlns:a16="http://schemas.microsoft.com/office/drawing/2014/main" id="{4A07851C-22ED-B0F7-C5BE-98F336D30C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34114" y="122464"/>
              <a:ext cx="1538970" cy="71410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ric rodrigues alves" refreshedDate="45182.284511689817" createdVersion="8" refreshedVersion="8" minRefreshableVersion="3" recordCount="3212" xr:uid="{338CE8E2-B26A-4833-8CC4-2B6B9D8F1D86}">
  <cacheSource type="worksheet">
    <worksheetSource name="Tabela1"/>
  </cacheSource>
  <cacheFields count="8">
    <cacheField name="LOJA" numFmtId="0">
      <sharedItems count="7">
        <s v="11 PORTAL"/>
        <s v="10 PAPILLON"/>
        <s v="07 GARAVELO"/>
        <s v="09 CAMPINAS"/>
        <s v="08 T7"/>
        <s v="06 CENTRO"/>
        <s v="NÃO INFORMADO"/>
      </sharedItems>
    </cacheField>
    <cacheField name="DATA" numFmtId="14">
      <sharedItems containsDate="1" containsMixedTypes="1" minDate="2023-02-05T00:00:00" maxDate="2223-09-01T00:00:00" count="125">
        <d v="2023-05-02T00:00:00"/>
        <d v="2023-05-03T00:00:00"/>
        <d v="2023-05-04T00:00:00"/>
        <d v="2023-05-06T00:00:00"/>
        <d v="2023-05-08T00:00:00"/>
        <d v="2023-05-09T00:00:00"/>
        <d v="2023-05-10T00:00:00"/>
        <d v="2023-05-11T00:00:00"/>
        <d v="2023-05-12T00:00:00"/>
        <d v="2023-05-13T00:00:00"/>
        <d v="2023-05-15T00:00:00"/>
        <d v="2023-05-16T00:00:00"/>
        <d v="2023-05-17T00:00:00"/>
        <d v="2023-05-18T00:00:00"/>
        <d v="2023-05-19T00:00:00"/>
        <d v="2023-05-20T00:00:00"/>
        <d v="2023-05-22T00:00:00"/>
        <d v="2023-05-23T00:00:00"/>
        <d v="2023-05-24T00:00:00"/>
        <d v="2023-05-25T00:00:00"/>
        <d v="2023-05-26T00:00:00"/>
        <d v="2023-05-27T00:00:00"/>
        <d v="2023-05-29T00:00:00"/>
        <d v="2023-05-30T00:00:00"/>
        <d v="2023-05-31T00:00:00"/>
        <d v="2023-06-01T00:00:00"/>
        <d v="2023-06-02T00:00:00"/>
        <d v="2023-06-03T00:00:00"/>
        <d v="2023-06-05T00:00:00"/>
        <d v="2023-06-06T00:00:00"/>
        <d v="2023-06-07T00:00:00"/>
        <d v="2023-06-08T00:00:00"/>
        <d v="2023-06-09T00:00:00"/>
        <d v="2023-06-10T00:00:00"/>
        <d v="2023-06-12T00:00:00"/>
        <d v="2023-06-13T00:00:00"/>
        <d v="2023-06-14T00:00:00"/>
        <d v="2023-06-15T00:00:00"/>
        <d v="2023-06-16T00:00:00"/>
        <d v="2023-06-17T00:00:00"/>
        <d v="2023-06-19T00:00:00"/>
        <d v="2023-06-20T00:00:00"/>
        <d v="2023-06-21T00:00:00"/>
        <d v="2023-06-22T00:00:00"/>
        <d v="2023-06-23T00:00:00"/>
        <d v="2023-06-26T00:00:00"/>
        <d v="2023-06-27T00:00:00"/>
        <d v="2023-06-28T00:00:00"/>
        <d v="2023-06-29T00:00:00"/>
        <d v="2023-07-01T00:00:00"/>
        <d v="2023-07-03T00:00:00"/>
        <d v="2023-07-04T00:00:00"/>
        <d v="2023-07-05T00:00:00"/>
        <d v="2023-07-06T00:00:00"/>
        <d v="2023-07-07T00:00:00"/>
        <d v="2023-07-08T00:00:00"/>
        <d v="2023-07-10T00:00:00"/>
        <d v="2023-07-11T00:00:00"/>
        <d v="2023-07-12T00:00:00"/>
        <d v="2023-07-13T00:00:00"/>
        <d v="2023-07-14T00:00:00"/>
        <d v="2023-07-15T00:00:00"/>
        <d v="2023-07-17T00:00:00"/>
        <d v="2023-07-18T00:00:00"/>
        <d v="2023-07-19T00:00:00"/>
        <s v="19/07/02023"/>
        <d v="2023-07-20T00:00:00"/>
        <d v="2023-07-21T00:00:00"/>
        <d v="2023-07-22T00:00:00"/>
        <d v="2023-07-24T00:00:00"/>
        <d v="2023-07-25T00:00:00"/>
        <d v="2023-07-26T00:00:00"/>
        <d v="2023-07-27T00:00:00"/>
        <d v="2023-07-28T00:00:00"/>
        <d v="2023-07-29T00:00:00"/>
        <d v="2023-07-31T00:00:00"/>
        <d v="2023-08-01T00:00:00"/>
        <d v="2023-08-02T00:00:00"/>
        <d v="2023-08-03T00:00:00"/>
        <d v="2023-08-04T00:00:00"/>
        <d v="2023-08-05T00:00:00"/>
        <d v="2023-08-07T00:00:00"/>
        <d v="2023-08-08T00:00:00"/>
        <d v="2023-08-09T00:00:00"/>
        <d v="2023-08-10T00:00:00"/>
        <d v="2023-08-11T00:00:00"/>
        <d v="2023-08-14T00:00:00"/>
        <d v="2023-08-15T00:00:00"/>
        <d v="2023-08-16T00:00:00"/>
        <d v="2023-08-17T00:00:00"/>
        <d v="2023-08-18T00:00:00"/>
        <d v="2023-08-19T00:00:00"/>
        <d v="2023-08-21T00:00:00"/>
        <d v="2023-08-22T00:00:00"/>
        <d v="2023-08-23T00:00:00"/>
        <d v="2023-08-24T00:00:00"/>
        <d v="2023-08-25T00:00:00"/>
        <d v="2023-08-26T00:00:00"/>
        <d v="2023-08-28T00:00:00"/>
        <d v="2023-08-29T00:00:00"/>
        <d v="2023-08-30T00:00:00"/>
        <d v="2023-08-31T00:00:00"/>
        <d v="2023-09-01T00:00:00"/>
        <d v="2023-09-02T00:00:00"/>
        <d v="2023-09-04T00:00:00"/>
        <d v="2023-09-05T00:00:00"/>
        <d v="2023-09-06T00:00:00"/>
        <d v="2023-08-06T00:00:00"/>
        <d v="2023-09-07T00:00:00"/>
        <d v="2023-09-08T00:00:00"/>
        <d v="2023-09-09T00:00:00"/>
        <d v="2023-09-11T00:00:00"/>
        <d v="2023-09-12T00:00:00"/>
        <s v="        6/9/2023" u="1"/>
        <d v="2023-04-05T00:00:00" u="1"/>
        <s v="31/085/2023" u="1"/>
        <d v="2023-02-05T00:00:00" u="1"/>
        <s v="28/082023" u="1"/>
        <s v="110/8/2023" u="1"/>
        <s v="29/058/2023" u="1"/>
        <d v="2223-08-31T00:00:00" u="1"/>
        <s v="31/807/2023" u="1"/>
        <s v="      31/07/2023" u="1"/>
        <d v="2023-02-06T00:00:00" u="1"/>
        <s v="28/0/2023" u="1"/>
      </sharedItems>
    </cacheField>
    <cacheField name="NOTA FISCAL" numFmtId="0">
      <sharedItems containsBlank="1" containsMixedTypes="1" containsNumber="1" containsInteger="1" minValue="93" maxValue="84917726" count="2944">
        <n v="443439"/>
        <n v="82405"/>
        <n v="958527"/>
        <n v="958401"/>
        <n v="958617"/>
        <n v="1052528"/>
        <n v="1052308"/>
        <n v="19196"/>
        <n v="19194"/>
        <n v="13112"/>
        <n v="13113"/>
        <n v="13349"/>
        <n v="13351"/>
        <n v="13352"/>
        <n v="13353"/>
        <n v="958227"/>
        <n v="958228"/>
        <n v="958229"/>
        <n v="958230"/>
        <n v="958231"/>
        <n v="958232"/>
        <n v="958233"/>
        <n v="958234"/>
        <n v="958235"/>
        <n v="958236"/>
        <n v="958237"/>
        <n v="958238"/>
        <n v="958239"/>
        <n v="958240"/>
        <n v="958241"/>
        <n v="958242"/>
        <n v="958243"/>
        <n v="958244"/>
        <n v="958245"/>
        <n v="958246"/>
        <n v="958247"/>
        <n v="958248"/>
        <n v="958249"/>
        <n v="958250"/>
        <n v="958251"/>
        <n v="958252"/>
        <n v="958253"/>
        <n v="958254"/>
        <n v="958255"/>
        <n v="958256"/>
        <n v="958257"/>
        <n v="958258"/>
        <n v="958259"/>
        <n v="958260"/>
        <n v="958261"/>
        <n v="958262"/>
        <n v="958263"/>
        <n v="958264"/>
        <n v="958265"/>
        <n v="958266"/>
        <n v="958267"/>
        <n v="958268"/>
        <n v="958269"/>
        <n v="958270"/>
        <n v="958271"/>
        <n v="958272"/>
        <n v="958273"/>
        <n v="958274"/>
        <n v="958275"/>
        <n v="958276"/>
        <n v="958277"/>
        <n v="958278"/>
        <n v="958279"/>
        <n v="958280"/>
        <n v="958281"/>
        <n v="958282"/>
        <n v="958283"/>
        <n v="958284"/>
        <n v="958285"/>
        <n v="958286"/>
        <n v="958287"/>
        <n v="958288"/>
        <n v="958289"/>
        <n v="958290"/>
        <n v="958291"/>
        <n v="958292"/>
        <n v="958293"/>
        <n v="958294"/>
        <n v="958295"/>
        <n v="958296"/>
        <n v="958297"/>
        <n v="958298"/>
        <n v="958299"/>
        <n v="958300"/>
        <n v="958301"/>
        <n v="958302"/>
        <n v="958303"/>
        <n v="958304"/>
        <n v="958305"/>
        <n v="958306"/>
        <n v="958307"/>
        <n v="958308"/>
        <n v="958309"/>
        <n v="958310"/>
        <n v="44962"/>
        <n v="616888"/>
        <n v="958404"/>
        <n v="958360"/>
        <n v="958385"/>
        <n v="968563"/>
        <n v="968607"/>
        <n v="958473"/>
        <n v="958496"/>
        <n v="958433"/>
        <n v="1052514"/>
        <n v="958584"/>
        <n v="169361"/>
        <n v="915914"/>
        <n v="139299"/>
        <n v="402270"/>
        <n v="1746696"/>
        <n v="1746698"/>
        <n v="1746697"/>
        <n v="1106412"/>
        <n v="892470"/>
        <n v="575728"/>
        <n v="36136"/>
        <n v="36169"/>
        <n v="1106484"/>
        <n v="609491"/>
        <n v="1746886"/>
        <n v="1746885"/>
        <n v="1746884"/>
        <n v="101564"/>
        <n v="101732"/>
        <n v="31443"/>
        <n v="467365"/>
        <n v="466894"/>
        <n v="958843"/>
        <n v="892378"/>
        <n v="220453"/>
        <n v="943345"/>
        <n v="943347"/>
        <n v="149159"/>
        <n v="892131"/>
        <n v="958747"/>
        <n v="958773"/>
        <n v="892365"/>
        <n v="117510"/>
        <n v="117511"/>
        <n v="3797972"/>
        <n v="20081"/>
        <n v="20082"/>
        <n v="80244"/>
        <n v="80245"/>
        <n v="80246"/>
        <n v="220432"/>
        <n v="960425"/>
        <n v="117558"/>
        <n v="12398"/>
        <n v="12681"/>
        <n v="12399"/>
        <n v="629394"/>
        <n v="629393"/>
        <n v="43532"/>
        <n v="246782"/>
        <n v="56201"/>
        <n v="271686"/>
        <n v="502896"/>
        <n v="530318"/>
        <n v="530320"/>
        <n v="530322"/>
        <n v="80249"/>
        <n v="1660297"/>
        <n v="892215"/>
        <n v="960480"/>
        <n v="209269"/>
        <n v="1019"/>
        <n v="960484"/>
        <n v="617942"/>
        <n v="47270"/>
        <n v="234394"/>
        <n v="117557"/>
        <n v="4307924"/>
        <n v="618871"/>
        <n v="43479"/>
        <n v="43480"/>
        <n v="43471"/>
        <n v="43472"/>
        <n v="43452"/>
        <n v="43476"/>
        <n v="1115010"/>
        <n v="2222614"/>
        <n v="970212"/>
        <n v="970211"/>
        <n v="970210"/>
        <n v="970213"/>
        <n v="970214"/>
        <n v="970215"/>
        <n v="970209"/>
        <n v="945515"/>
        <n v="945506"/>
        <n v="14486"/>
        <n v="153698"/>
        <n v="1114906"/>
        <n v="551311"/>
        <n v="551318"/>
        <n v="80250"/>
        <n v="80251"/>
        <n v="80252"/>
        <n v="80253"/>
        <n v="80254"/>
        <n v="80238"/>
        <n v="80239"/>
        <n v="80240"/>
        <n v="80241"/>
        <n v="80242"/>
        <n v="80243"/>
        <n v="117318"/>
        <n v="295856"/>
        <n v="970278"/>
        <n v="2096626"/>
        <n v="105373"/>
        <n v="117319"/>
        <n v="43482"/>
        <n v="43483"/>
        <n v="43484"/>
        <n v="117700"/>
        <n v="619372"/>
        <n v="179578"/>
        <n v="19195"/>
        <n v="19193"/>
        <n v="144655"/>
        <n v="918464"/>
        <n v="841292"/>
        <n v="841291"/>
        <n v="468155"/>
        <n v="3982"/>
        <n v="906621"/>
        <n v="559453"/>
        <n v="962378"/>
        <n v="8995"/>
        <n v="12080"/>
        <n v="4307913"/>
        <n v="578340"/>
        <n v="8359178"/>
        <n v="15157"/>
        <n v="962331"/>
        <n v="962238"/>
        <n v="962278"/>
        <n v="962308"/>
        <n v="277766"/>
        <n v="144618"/>
        <n v="1404499"/>
        <n v="144654"/>
        <n v="25575"/>
        <s v="962073/962154"/>
        <n v="841294"/>
        <n v="14995"/>
        <n v="552089"/>
        <n v="1751934"/>
        <n v="1352342"/>
        <n v="906614"/>
        <n v="961979"/>
        <n v="8359176"/>
        <n v="906661"/>
        <n v="906675"/>
        <n v="962375"/>
        <n v="1055251"/>
        <n v="14962"/>
        <n v="117741"/>
        <n v="26926"/>
        <n v="26923"/>
        <n v="619781"/>
        <n v="140490"/>
        <n v="1776565"/>
        <n v="1776564"/>
        <n v="144664"/>
        <n v="970899"/>
        <n v="1222140"/>
        <n v="15477"/>
        <n v="15396"/>
        <n v="15505"/>
        <n v="1222139"/>
        <n v="15447"/>
        <n v="402438"/>
        <n v="408905"/>
        <n v="25599"/>
        <n v="74259"/>
        <m/>
        <n v="15503"/>
        <n v="933520"/>
        <n v="962001"/>
        <n v="1107773"/>
        <n v="962142"/>
        <n v="933533"/>
        <n v="970857"/>
        <n v="970856"/>
        <n v="962045"/>
        <n v="899728"/>
        <n v="1741"/>
        <n v="1740"/>
        <n v="1738"/>
        <n v="140499"/>
        <n v="80260"/>
        <n v="130188"/>
        <n v="74266"/>
        <n v="74265"/>
        <n v="25222"/>
        <n v="2094925"/>
        <n v="2094924"/>
        <n v="2094919"/>
        <n v="2094913"/>
        <n v="2094914"/>
        <n v="948256"/>
        <n v="80237"/>
        <n v="80236"/>
        <n v="150427"/>
        <n v="3804991"/>
        <n v="122143"/>
        <n v="80232"/>
        <n v="80233"/>
        <n v="80234"/>
        <n v="80235"/>
        <n v="15462"/>
        <n v="1222144"/>
        <n v="122215"/>
        <n v="1222138"/>
        <n v="1222137"/>
        <n v="234964"/>
        <n v="118444"/>
        <n v="1770282"/>
        <n v="15461"/>
        <n v="43478"/>
        <n v="71571"/>
        <n v="26855"/>
        <n v="26859"/>
        <n v="71569"/>
        <n v="1355093"/>
        <n v="26856"/>
        <n v="4310680"/>
        <n v="4310675"/>
        <n v="11060343"/>
        <n v="814687"/>
        <n v="15870"/>
        <n v="150435"/>
        <n v="814676"/>
        <n v="3805333"/>
        <n v="2825522"/>
        <n v="2825570"/>
        <n v="2196481"/>
        <n v="150423"/>
        <n v="150424"/>
        <n v="19294023"/>
        <n v="2825573"/>
        <n v="33940"/>
        <n v="25217"/>
        <n v="11485"/>
        <n v="18269"/>
        <n v="265829"/>
        <n v="971444"/>
        <n v="207759"/>
        <n v="53501"/>
        <n v="860497"/>
        <n v="863199"/>
        <n v="863198"/>
        <n v="860498"/>
        <n v="860499"/>
        <n v="8369212"/>
        <n v="953301"/>
        <n v="947942"/>
        <n v="947941"/>
        <n v="953175"/>
        <n v="947934"/>
        <n v="277940"/>
        <n v="277941"/>
        <n v="95071"/>
        <n v="95070"/>
        <n v="74261"/>
        <n v="199598"/>
        <n v="1356742"/>
        <n v="207763"/>
        <n v="150428"/>
        <n v="5046773"/>
        <n v="189240"/>
        <n v="47485"/>
        <n v="1259599"/>
        <n v="28575"/>
        <n v="467956"/>
        <n v="28572"/>
        <n v="1259598"/>
        <n v="1259597"/>
        <n v="1259592"/>
        <n v="1259672"/>
        <n v="28566"/>
        <n v="6724"/>
        <n v="82402"/>
        <n v="443436"/>
        <n v="28567"/>
        <n v="1259593"/>
        <n v="49675"/>
        <n v="531143"/>
        <n v="398189"/>
        <n v="398190"/>
        <n v="398192"/>
        <n v="398191"/>
        <n v="398288"/>
        <n v="398289"/>
        <n v="398290"/>
        <n v="405965"/>
        <n v="398291"/>
        <n v="398292"/>
        <n v="405966"/>
        <n v="256996"/>
        <n v="256997"/>
        <n v="1779158"/>
        <n v="257485"/>
        <n v="398219"/>
        <n v="398220"/>
        <n v="398221"/>
        <n v="398222"/>
        <n v="398223"/>
        <n v="405951"/>
        <n v="405952"/>
        <n v="2339"/>
        <n v="705114"/>
        <n v="704931"/>
        <n v="109928"/>
        <n v="109815"/>
        <n v="11068929"/>
        <n v="1108389"/>
        <n v="257287"/>
        <n v="398193"/>
        <n v="257479"/>
        <n v="863923"/>
        <n v="278083"/>
        <n v="947933"/>
        <n v="69784"/>
        <n v="43474"/>
        <n v="43475"/>
        <n v="43473"/>
        <n v="219052"/>
        <n v="69781"/>
        <n v="5196"/>
        <n v="405984"/>
        <n v="405985"/>
        <n v="398392"/>
        <n v="398387"/>
        <n v="398309"/>
        <n v="398311"/>
        <n v="398312"/>
        <n v="398310"/>
        <n v="398315"/>
        <n v="398314"/>
        <n v="235373"/>
        <n v="247816"/>
        <n v="247815"/>
        <n v="953174"/>
        <n v="69786"/>
        <n v="219048"/>
        <n v="1359054"/>
        <n v="507636"/>
        <n v="507637"/>
        <n v="287113"/>
        <n v="287267"/>
        <n v="146"/>
        <n v="148538"/>
        <n v="148352"/>
        <n v="7856"/>
        <n v="189241"/>
        <n v="933309"/>
        <n v="933310"/>
        <n v="933311"/>
        <n v="69314"/>
        <n v="5203"/>
        <n v="20214"/>
        <n v="9983"/>
        <n v="955"/>
        <n v="9956"/>
        <n v="9954"/>
        <n v="9949"/>
        <n v="54847"/>
        <n v="171113"/>
        <n v="9953"/>
        <n v="405944"/>
        <n v="405945"/>
        <n v="398194"/>
        <n v="5311143"/>
        <n v="531541"/>
        <n v="15730"/>
        <n v="16738"/>
        <n v="16737"/>
        <n v="7888"/>
        <n v="970185"/>
        <n v="960497"/>
        <n v="970108"/>
        <n v="970094"/>
        <n v="969814"/>
        <n v="969816"/>
        <n v="8375860"/>
        <n v="4592344"/>
        <n v="4812531"/>
        <n v="969876"/>
        <n v="327"/>
        <n v="64960"/>
        <n v="54845"/>
        <n v="16891"/>
        <n v="274983"/>
        <n v="831765"/>
        <n v="831766"/>
        <n v="17106"/>
        <n v="210418"/>
        <n v="210416"/>
        <n v="210417"/>
        <n v="1120041"/>
        <n v="1120042"/>
        <n v="1120043"/>
        <n v="1120044"/>
        <n v="1120045"/>
        <n v="1120046"/>
        <n v="1120047"/>
        <n v="1120048"/>
        <n v="1120049"/>
        <n v="119"/>
        <n v="17128"/>
        <n v="150027"/>
        <n v="120"/>
        <n v="449450"/>
        <n v="16997"/>
        <n v="1361010"/>
        <n v="2568"/>
        <n v="1361040"/>
        <n v="74262"/>
        <n v="95123"/>
        <n v="95124"/>
        <n v="1361024"/>
        <n v="1361025"/>
        <n v="2829619"/>
        <n v="92961"/>
        <n v="53065"/>
        <n v="1361037"/>
        <n v="2766"/>
        <n v="75610"/>
        <n v="189438"/>
        <n v="62006"/>
        <n v="256212"/>
        <n v="1171811"/>
        <n v="258588"/>
        <n v="258589"/>
        <n v="958059"/>
        <n v="958058"/>
        <n v="241356"/>
        <n v="967426"/>
        <n v="967452"/>
        <n v="232085"/>
        <n v="232249"/>
        <n v="235666"/>
        <n v="4313771"/>
        <n v="118109"/>
        <n v="624627"/>
        <n v="126412"/>
        <n v="5059280"/>
        <n v="302009"/>
        <n v="973861"/>
        <n v="973859"/>
        <n v="161738"/>
        <n v="974096"/>
        <n v="974097"/>
        <n v="974098"/>
        <n v="974099"/>
        <n v="974100"/>
        <n v="974101"/>
        <n v="974102"/>
        <n v="974103"/>
        <n v="973590"/>
        <n v="973591"/>
        <n v="973592"/>
        <n v="368392"/>
        <n v="25762"/>
        <n v="1777544"/>
        <n v="47699"/>
        <n v="1762361"/>
        <n v="1363331"/>
        <n v="1109746"/>
        <n v="973857"/>
        <n v="973852"/>
        <n v="21253"/>
        <n v="7993"/>
        <n v="235812"/>
        <n v="118141"/>
        <n v="946061"/>
        <n v="1763012"/>
        <n v="21270"/>
        <n v="95167"/>
        <n v="969127"/>
        <n v="969207"/>
        <n v="584310"/>
        <n v="584312"/>
        <n v="969600"/>
        <n v="969624"/>
        <n v="969452"/>
        <n v="1059306"/>
        <n v="2832082"/>
        <n v="1059315"/>
        <n v="449453"/>
        <n v="2104197"/>
        <n v="969168"/>
        <n v="969196"/>
        <n v="969622"/>
        <n v="969646"/>
        <n v="232069"/>
        <n v="291623"/>
        <n v="235969"/>
        <n v="232079"/>
        <n v="52679"/>
        <n v="376112"/>
        <n v="376113"/>
        <n v="376119"/>
        <n v="376120"/>
        <n v="376117"/>
        <n v="376118"/>
        <n v="969913"/>
        <n v="1059538"/>
        <n v="990237"/>
        <n v="990136"/>
        <n v="990137"/>
        <n v="235506"/>
        <n v="223"/>
        <n v="990254"/>
        <n v="990341"/>
        <n v="990112"/>
        <n v="990121"/>
        <n v="990068"/>
        <n v="990069"/>
        <n v="1059473"/>
        <n v="4820814"/>
        <n v="243982"/>
        <n v="243996"/>
        <n v="969952"/>
        <n v="8392138"/>
        <n v="625997"/>
        <n v="1959"/>
        <n v="376116"/>
        <n v="376115"/>
        <n v="47917"/>
        <n v="970186"/>
        <n v="18524"/>
        <n v="18470"/>
        <n v="968984"/>
        <n v="968974"/>
        <n v="968976"/>
        <n v="968979"/>
        <n v="1122993"/>
        <n v="1780100"/>
        <n v="763161"/>
        <n v="1123492"/>
        <n v="1780928"/>
        <n v="1780932"/>
        <n v="1780933"/>
        <n v="1780934"/>
        <n v="1780935"/>
        <n v="1780936"/>
        <n v="174905"/>
        <n v="119247"/>
        <n v="969478"/>
        <n v="968926"/>
        <n v="968947"/>
        <n v="968967"/>
        <n v="969170"/>
        <n v="969129"/>
        <n v="969454"/>
        <n v="969416"/>
        <n v="974941"/>
        <n v="235549"/>
        <n v="302420"/>
        <n v="302418"/>
        <n v="195099"/>
        <n v="302419"/>
        <n v="195100"/>
        <n v="108398"/>
        <n v="974945"/>
        <n v="1123456"/>
        <n v="1123459"/>
        <n v="1156460"/>
        <n v="1123446"/>
        <n v="974927"/>
        <n v="950450"/>
        <n v="1784019"/>
        <n v="974930"/>
        <n v="27516"/>
        <n v="2104614"/>
        <n v="217745"/>
        <n v="559496"/>
        <n v="118266"/>
        <n v="1695"/>
        <n v="118267"/>
        <n v="14475"/>
        <n v="26662"/>
        <n v="1174127"/>
        <n v="11097623"/>
        <n v="153200"/>
        <n v="336649"/>
        <n v="336648"/>
        <n v="8398431"/>
        <n v="56806"/>
        <n v="8398430"/>
        <n v="56805"/>
        <n v="867872"/>
        <n v="867876"/>
        <n v="1174128"/>
        <n v="5107"/>
        <n v="53168"/>
        <n v="8398448"/>
        <n v="3680"/>
        <n v="1765426"/>
        <n v="184035"/>
        <n v="8398429"/>
        <n v="181637"/>
        <n v="118297"/>
        <n v="118298"/>
        <n v="118342"/>
        <n v="47793"/>
        <n v="1841"/>
        <n v="1842"/>
        <n v="301172"/>
        <n v="404507"/>
        <n v="57019"/>
        <n v="1785435"/>
        <n v="125319"/>
        <n v="295768"/>
        <n v="125163"/>
        <n v="1226474"/>
        <n v="1226475"/>
        <n v="1226476"/>
        <n v="1226477"/>
        <n v="410308"/>
        <n v="403989"/>
        <n v="236299"/>
        <n v="236300"/>
        <n v="1110648"/>
        <n v="1840"/>
        <n v="532778"/>
        <n v="532779"/>
        <n v="172607"/>
        <n v="172608"/>
        <n v="36141"/>
        <n v="36282"/>
        <n v="825455"/>
        <n v="825454"/>
        <n v="962644"/>
        <n v="53189"/>
        <n v="8398440"/>
        <n v="410333"/>
        <n v="53188"/>
        <n v="975753"/>
        <n v="1124921"/>
        <n v="1266638"/>
        <n v="975758"/>
        <n v="124175"/>
        <n v="236419"/>
        <n v="236417"/>
        <n v="36390"/>
        <n v="36284"/>
        <n v="587110"/>
        <n v="831763"/>
        <n v="831764"/>
        <n v="2835359"/>
        <n v="2835360"/>
        <n v="971918"/>
        <n v="972131"/>
        <n v="971995"/>
        <n v="972078"/>
        <n v="972138"/>
        <n v="8404199"/>
        <n v="195101"/>
        <n v="341270"/>
        <n v="972114"/>
        <n v="161734"/>
        <n v="161526"/>
        <n v="972051"/>
        <n v="36143"/>
        <n v="972091"/>
        <n v="278737"/>
        <n v="262499"/>
        <n v="262426"/>
        <n v="975713"/>
        <n v="972157"/>
        <n v="972180"/>
        <n v="278751"/>
        <n v="4827304"/>
        <n v="3071"/>
        <n v="262564"/>
        <n v="971950"/>
        <n v="971972"/>
        <n v="972025"/>
        <n v="971695"/>
        <n v="971688"/>
        <n v="971663"/>
        <n v="262453"/>
        <n v="8169"/>
        <n v="48019"/>
        <n v="482781"/>
        <n v="483493"/>
        <n v="297634"/>
        <n v="2986"/>
        <n v="19542"/>
        <n v="50792"/>
        <n v="59885"/>
        <n v="50952"/>
        <n v="50701"/>
        <n v="8407125"/>
        <n v="172815"/>
        <n v="262668"/>
        <n v="21352"/>
        <n v="21353"/>
        <n v="50643"/>
        <n v="50644"/>
        <n v="21350"/>
        <n v="21351"/>
        <n v="53211"/>
        <n v="118485"/>
        <n v="297958"/>
        <n v="47855"/>
        <n v="208443"/>
        <n v="3122"/>
        <n v="3123"/>
        <n v="3121"/>
        <n v="3120"/>
        <n v="263283"/>
        <n v="406455"/>
        <n v="320"/>
        <n v="1126805"/>
        <n v="74737"/>
        <n v="1126820"/>
        <n v="53233"/>
        <n v="258574"/>
        <n v="50868"/>
        <n v="400139"/>
        <n v="400138"/>
        <n v="258565"/>
        <n v="258602"/>
        <n v="258576"/>
        <n v="258610"/>
        <n v="3232"/>
        <n v="3824881"/>
        <n v="258541"/>
        <n v="57229"/>
        <n v="400222"/>
        <n v="57022"/>
        <n v="47875"/>
        <n v="81824"/>
        <n v="22328"/>
        <n v="1107331"/>
        <n v="268090"/>
        <n v="184782"/>
        <n v="184783"/>
        <n v="208440"/>
        <n v="262914"/>
        <n v="377328"/>
        <n v="377294"/>
        <n v="377293"/>
        <n v="377292"/>
        <n v="377329"/>
        <n v="5077556"/>
        <n v="182557"/>
        <n v="59172"/>
        <n v="1375233"/>
        <n v="4320248"/>
        <n v="59144"/>
        <n v="48963"/>
        <n v="148338"/>
        <n v="584509"/>
        <n v="927580"/>
        <n v="572776"/>
        <n v="572777"/>
        <n v="572778"/>
        <n v="572779"/>
        <n v="572780"/>
        <n v="572781"/>
        <n v="5106"/>
        <n v="584507"/>
        <n v="53254"/>
        <n v="584517"/>
        <n v="236867"/>
        <n v="118571"/>
        <n v="118572"/>
        <n v="329"/>
        <n v="118637"/>
        <n v="118614"/>
        <n v="20207"/>
        <n v="207669"/>
        <n v="20310"/>
        <n v="20311"/>
        <n v="105262"/>
        <n v="105264"/>
        <n v="3828389"/>
        <n v="3828388"/>
        <n v="3828387"/>
        <n v="258562"/>
        <n v="1789396"/>
        <n v="2109789"/>
        <n v="2658"/>
        <n v="109967"/>
        <n v="14541"/>
        <n v="14539"/>
        <n v="14540"/>
        <n v="159158"/>
        <n v="11123210"/>
        <n v="11123064"/>
        <n v="110062"/>
        <n v="2203156"/>
        <n v="2203157"/>
        <n v="2203158"/>
        <n v="2203159"/>
        <n v="105253"/>
        <n v="105251"/>
        <n v="6400"/>
        <n v="95305"/>
        <n v="11123820"/>
        <n v="101441"/>
        <n v="322269"/>
        <n v="1111869"/>
        <n v="53310"/>
        <n v="41771"/>
        <n v="1127672"/>
        <n v="5483"/>
        <n v="159072"/>
        <n v="11122814"/>
        <n v="1109207"/>
        <n v="1109214"/>
        <n v="6418"/>
        <n v="4836861"/>
        <n v="4836847"/>
        <n v="103442"/>
        <n v="129496"/>
        <n v="268361"/>
        <n v="6414"/>
        <n v="6403"/>
        <n v="11122855"/>
        <n v="67368"/>
        <n v="74585"/>
        <n v="27623"/>
        <n v="948140"/>
        <n v="948141"/>
        <n v="6573962"/>
        <n v="1129113"/>
        <n v="2109772"/>
        <n v="1129601"/>
        <n v="4836886"/>
        <n v="4836857"/>
        <n v="103424"/>
        <n v="4321426"/>
        <n v="1790147"/>
        <n v="159578"/>
        <n v="631572"/>
        <n v="65518"/>
        <n v="118758"/>
        <n v="75558"/>
        <n v="3552"/>
        <n v="20510"/>
        <n v="4322267"/>
        <n v="118789"/>
        <n v="8422751"/>
        <n v="8422752"/>
        <n v="8422753"/>
        <n v="8422754"/>
        <n v="8422755"/>
        <n v="8422756"/>
        <n v="1130418"/>
        <n v="1064416"/>
        <n v="4323137"/>
        <n v="930498"/>
        <n v="1130175"/>
        <n v="62629"/>
        <n v="5085393"/>
        <n v="979201"/>
        <n v="2109723"/>
        <n v="970877"/>
        <n v="2109846"/>
        <n v="118815"/>
        <n v="632726"/>
        <n v="118869"/>
        <n v="2109791"/>
        <n v="2109798"/>
        <n v="2109802"/>
        <n v="2109809"/>
        <n v="2111996"/>
        <n v="2111997"/>
        <n v="2111998"/>
        <n v="2111999"/>
        <n v="2112000"/>
        <n v="2109754"/>
        <n v="2109745"/>
        <n v="2109833"/>
        <n v="2109834"/>
        <n v="2111994"/>
        <n v="2111995"/>
        <n v="2111993"/>
        <n v="2111992"/>
        <n v="2111991"/>
        <n v="2111990"/>
        <n v="63177"/>
        <n v="940566"/>
        <n v="41443"/>
        <n v="2111985"/>
        <n v="2111984"/>
        <n v="2111986"/>
        <n v="2111987"/>
        <n v="2109810"/>
        <n v="2109811"/>
        <n v="2109774"/>
        <n v="2109771"/>
        <n v="2111988"/>
        <n v="21475"/>
        <n v="2366140"/>
        <n v="2366142"/>
        <n v="2366160"/>
        <n v="987669"/>
        <n v="2366136"/>
        <n v="940562"/>
        <n v="22417"/>
        <n v="22419"/>
        <n v="22428"/>
        <n v="25738"/>
        <n v="2958"/>
        <n v="75803"/>
        <n v="940487"/>
        <n v="729173"/>
        <n v="655949"/>
        <n v="162043"/>
        <n v="940575"/>
        <n v="2842053"/>
        <n v="118951"/>
        <n v="970867"/>
        <n v="15227"/>
        <n v="444"/>
        <n v="8431564"/>
        <n v="161995"/>
        <n v="83864"/>
        <n v="970881"/>
        <n v="3711"/>
        <n v="940483"/>
        <n v="970882"/>
        <n v="980129"/>
        <n v="1131290"/>
        <n v="8431572"/>
        <n v="2842237"/>
        <n v="2842238"/>
        <n v="2842236"/>
        <n v="1110061"/>
        <n v="101840"/>
        <n v="980517"/>
        <n v="105261"/>
        <n v="105252"/>
        <n v="534249"/>
        <n v="534250"/>
        <n v="21514"/>
        <n v="303796"/>
        <n v="109170"/>
        <n v="303794"/>
        <n v="303793"/>
        <n v="109169"/>
        <n v="2368445"/>
        <n v="2368594"/>
        <n v="22326"/>
        <n v="22108"/>
        <n v="22109"/>
        <n v="22110"/>
        <n v="22111"/>
        <n v="22112"/>
        <n v="1065287"/>
        <n v="29842"/>
        <n v="29841"/>
        <n v="1065417"/>
        <n v="1065424"/>
        <n v="980422"/>
        <n v="980423"/>
        <n v="980424"/>
        <n v="980426"/>
        <n v="980427"/>
        <n v="2368457"/>
        <n v="980302"/>
        <n v="980292"/>
        <n v="980293"/>
        <n v="980296"/>
        <n v="980295"/>
        <n v="980298"/>
        <n v="980299"/>
        <n v="980300"/>
        <n v="980297"/>
        <n v="980294"/>
        <n v="980301"/>
        <n v="1065425"/>
        <n v="1065400"/>
        <n v="1065438"/>
        <n v="1065442"/>
        <n v="1065444"/>
        <n v="1065445"/>
        <n v="1065450"/>
        <n v="1065446"/>
        <n v="1065447"/>
        <n v="1065448"/>
        <n v="1065449"/>
        <n v="1065452"/>
        <n v="204828"/>
        <n v="8435058"/>
        <n v="8435059"/>
        <n v="8435056"/>
        <n v="8435057"/>
        <n v="1266668"/>
        <n v="476359"/>
        <n v="29830"/>
        <n v="29831"/>
        <n v="1065416"/>
        <n v="204827"/>
        <n v="634834"/>
        <n v="1065440"/>
        <n v="1065451"/>
        <n v="1065432"/>
        <n v="27044"/>
        <n v="26847"/>
        <n v="26852"/>
        <n v="119037"/>
        <n v="27047"/>
        <n v="26844"/>
        <n v="26849"/>
        <n v="26841"/>
        <n v="27043"/>
        <n v="250999"/>
        <n v="251000"/>
        <n v="11148208"/>
        <n v="2843678"/>
        <n v="11149512"/>
        <n v="11149103"/>
        <n v="34483"/>
        <n v="2670"/>
        <n v="1790448"/>
        <n v="186482"/>
        <n v="186487"/>
        <n v="186481"/>
        <n v="186479"/>
        <n v="186484"/>
        <n v="4325661"/>
        <n v="186346"/>
        <n v="186360"/>
        <n v="11148559"/>
        <n v="979101"/>
        <n v="186480"/>
        <n v="186483"/>
        <n v="901239"/>
        <n v="634781"/>
        <n v="2989"/>
        <n v="282495"/>
        <n v="119088"/>
        <n v="30685"/>
        <n v="8440980"/>
        <n v="30686"/>
        <n v="119087"/>
        <n v="1065466"/>
        <n v="95385"/>
        <n v="30683"/>
        <n v="34522"/>
        <n v="34539"/>
        <n v="8441033"/>
        <n v="1790207"/>
        <n v="1790174"/>
        <n v="4326230"/>
        <n v="636214"/>
        <n v="636213"/>
        <n v="95405"/>
        <n v="3819"/>
        <n v="23110"/>
        <n v="23111"/>
        <n v="4006920"/>
        <n v="104076"/>
        <n v="196603"/>
        <n v="72091"/>
        <n v="71622"/>
        <n v="109803"/>
        <n v="119143"/>
        <n v="119144"/>
        <n v="1794350"/>
        <n v="187499"/>
        <n v="142636"/>
        <n v="77339"/>
        <n v="77341"/>
        <n v="981637"/>
        <n v="981638"/>
        <n v="981639"/>
        <n v="981641"/>
        <n v="981642"/>
        <n v="166725"/>
        <n v="65809"/>
        <s v="Não Informado"/>
        <n v="187496"/>
        <n v="187503"/>
        <n v="187498"/>
        <n v="636178"/>
        <n v="1792187"/>
        <n v="30680"/>
        <n v="142547"/>
        <n v="142544"/>
        <n v="577298"/>
        <n v="245558"/>
        <n v="245552"/>
        <n v="10332"/>
        <n v="61924"/>
        <n v="8447064"/>
        <n v="8447063"/>
        <n v="33116"/>
        <n v="980497"/>
        <n v="4850575"/>
        <n v="7149"/>
        <n v="119205"/>
        <n v="213008"/>
        <n v="20627"/>
        <n v="119202"/>
        <s v="TODAS AS NOTAS "/>
        <n v="981654"/>
        <n v="238336"/>
        <n v="201710"/>
        <n v="175164"/>
        <n v="175162"/>
        <n v="175163"/>
        <n v="981653"/>
        <n v="767273"/>
        <n v="20644"/>
        <n v="8450264"/>
        <n v="534510"/>
        <n v="979462"/>
        <n v="4851439"/>
        <n v="1110603"/>
        <n v="980280"/>
        <n v="980308"/>
        <n v="980317"/>
        <n v="1789320"/>
        <n v="176478"/>
        <n v="162276"/>
        <n v="984071"/>
        <n v="162274"/>
        <n v="4328653"/>
        <n v="984078"/>
        <n v="982782"/>
        <n v="1391554"/>
        <n v="957935"/>
        <n v="120362"/>
        <n v="637639"/>
        <n v="119290"/>
        <n v="984080"/>
        <n v="238495"/>
        <n v="981547"/>
        <n v="984068"/>
        <n v="1789326"/>
        <n v="1789314"/>
        <n v="1136414"/>
        <n v="982609"/>
        <n v="981413"/>
        <n v="33069"/>
        <n v="162273"/>
        <n v="984087"/>
        <n v="2117225"/>
        <n v="87354"/>
        <n v="4328889"/>
        <n v="4328890"/>
        <n v="4328891"/>
        <n v="4328892"/>
        <n v="4328893"/>
        <n v="1797220"/>
        <n v="1797221"/>
        <n v="95449"/>
        <n v="95452"/>
        <n v="95450"/>
        <n v="981436"/>
        <n v="87381"/>
        <n v="87352"/>
        <n v="2846802"/>
        <n v="981494"/>
        <n v="981471"/>
        <n v="984069"/>
        <n v="984067"/>
        <n v="24016"/>
        <n v="507623"/>
        <n v="95443"/>
        <n v="10449"/>
        <n v="3844488"/>
        <n v="1547800"/>
        <n v="5105640"/>
        <n v="5106177"/>
        <n v="269337"/>
        <n v="213372"/>
        <n v="77325"/>
        <n v="77335"/>
        <n v="77328"/>
        <n v="269472"/>
        <n v="269471"/>
        <n v="5105635"/>
        <n v="5105616"/>
        <n v="5105620"/>
        <n v="5105622"/>
        <n v="5105619"/>
        <n v="5105617"/>
        <n v="510618"/>
        <n v="5105624"/>
        <n v="1137880"/>
        <n v="50592"/>
        <n v="983266"/>
        <n v="937680"/>
        <n v="24450"/>
        <n v="27510"/>
        <n v="1114419"/>
        <n v="161610"/>
        <n v="490859"/>
        <n v="30681"/>
        <n v="119451"/>
        <n v="1069747"/>
        <n v="1069733"/>
        <n v="1069735"/>
        <n v="1069738"/>
        <n v="58728"/>
        <n v="58727"/>
        <n v="78080"/>
        <n v="5109609"/>
        <n v="12185"/>
        <n v="938173"/>
        <n v="937681"/>
        <n v="4567"/>
        <n v="983800"/>
        <n v="271049"/>
        <n v="271048"/>
        <n v="271047"/>
        <n v="271050"/>
        <n v="169114"/>
        <n v="271361"/>
        <n v="239008"/>
        <n v="110661"/>
        <n v="202039"/>
        <n v="26286"/>
        <n v="185587"/>
        <n v="18588"/>
        <n v="185217"/>
        <n v="983981"/>
        <n v="16769"/>
        <n v="986282"/>
        <n v="169699"/>
        <n v="119531"/>
        <n v="21678"/>
        <n v="42950"/>
        <n v="986154"/>
        <n v="985945"/>
        <n v="985978"/>
        <n v="985971"/>
        <n v="985943"/>
        <n v="985930"/>
        <n v="986226"/>
        <n v="986260"/>
        <n v="22541"/>
        <n v="985840"/>
        <n v="985830"/>
        <n v="693306"/>
        <n v="225077"/>
        <n v="239337"/>
        <n v="1803072"/>
        <n v="510842"/>
        <n v="510843"/>
        <n v="7503"/>
        <n v="66166"/>
        <n v="225062"/>
        <n v="16303"/>
        <n v="44222"/>
        <n v="1186749"/>
        <n v="985291"/>
        <n v="985281"/>
        <n v="1072355"/>
        <n v="985206"/>
        <n v="713774"/>
        <n v="10447"/>
        <n v="8477543"/>
        <n v="985207"/>
        <n v="985208"/>
        <n v="985211"/>
        <n v="985210"/>
        <n v="985209"/>
        <n v="8477542"/>
        <n v="3678"/>
        <n v="5115892"/>
        <n v="3679"/>
        <n v="209122"/>
        <n v="209124"/>
        <n v="10448"/>
        <n v="1187446"/>
        <n v="713789"/>
        <n v="34410"/>
        <n v="53599"/>
        <n v="3676"/>
        <n v="645"/>
        <n v="3672"/>
        <n v="3673"/>
        <n v="130490"/>
        <n v="651"/>
        <n v="2123858"/>
        <n v="2123859"/>
        <n v="2123862"/>
        <n v="2123864"/>
        <n v="408323"/>
        <n v="8477518"/>
        <n v="8477516"/>
        <n v="8477519"/>
        <n v="239593"/>
        <n v="408307"/>
        <n v="34414"/>
        <n v="220116"/>
        <n v="220117"/>
        <n v="220118"/>
        <n v="220119"/>
        <n v="34405"/>
        <n v="8477566"/>
        <n v="8477569"/>
        <n v="8477565"/>
        <n v="8477573"/>
        <n v="8477575"/>
        <n v="64203"/>
        <n v="8477568"/>
        <n v="8480273"/>
        <n v="220059"/>
        <n v="220089"/>
        <n v="34407"/>
        <n v="26603"/>
        <n v="408301"/>
        <n v="408315"/>
        <n v="171263"/>
        <n v="172816"/>
        <n v="225487"/>
        <n v="1707"/>
        <n v="3677"/>
        <n v="179603"/>
        <n v="119762"/>
        <n v="66258"/>
        <n v="128138"/>
        <n v="1804369"/>
        <n v="408321"/>
        <n v="163377"/>
        <n v="3857552"/>
        <n v="408316"/>
        <n v="4206"/>
        <n v="4205"/>
        <n v="2381397"/>
        <n v="408317"/>
        <n v="6620"/>
        <n v="8480300"/>
        <n v="8480302"/>
        <n v="8480304"/>
        <n v="8480305"/>
        <n v="79861"/>
        <n v="408325"/>
        <n v="163376"/>
        <n v="163374"/>
        <n v="2123917"/>
        <n v="239751"/>
        <n v="8485823"/>
        <n v="4335022"/>
        <n v="1404414"/>
        <n v="2123875"/>
        <n v="4645404"/>
        <n v="2123877"/>
        <n v="202600"/>
        <n v="2123814"/>
        <n v="986475"/>
        <n v="1799218"/>
        <n v="750"/>
        <n v="1073410"/>
        <n v="2123844"/>
        <n v="174625"/>
        <n v="1404382"/>
        <n v="27046"/>
        <n v="27045"/>
        <n v="27050"/>
        <n v="27051"/>
        <n v="27053"/>
        <n v="27052"/>
        <n v="27054"/>
        <n v="27055"/>
        <n v="27048"/>
        <n v="119849"/>
        <n v="214702"/>
        <n v="119883"/>
        <n v="59489"/>
        <n v="49481"/>
        <n v="59468"/>
        <n v="119877"/>
        <n v="1800852"/>
        <n v="214699"/>
        <n v="59474"/>
        <n v="769966"/>
        <n v="214704"/>
        <n v="59483"/>
        <n v="306233"/>
        <n v="128466"/>
        <n v="66358"/>
        <n v="709"/>
        <n v="59484"/>
        <n v="243559"/>
        <n v="243529"/>
        <n v="128142"/>
        <n v="989588"/>
        <n v="541260"/>
        <n v="19340"/>
        <n v="149229"/>
        <n v="989334"/>
        <n v="989367"/>
        <n v="989371"/>
        <n v="19336"/>
        <n v="77069"/>
        <n v="464"/>
        <n v="12290"/>
        <n v="989619"/>
        <n v="989391"/>
        <n v="84917726"/>
        <n v="240016"/>
        <n v="8491788"/>
        <n v="77066"/>
        <n v="541258"/>
        <n v="541259"/>
        <n v="12293"/>
        <n v="44476"/>
        <n v="19338"/>
        <n v="413965"/>
        <n v="413967"/>
        <n v="240108"/>
        <n v="75066"/>
        <n v="8494965"/>
        <n v="176886"/>
        <n v="1698915"/>
        <n v="20864"/>
        <n v="176888"/>
        <n v="176923"/>
        <n v="27913"/>
        <n v="8494898"/>
        <n v="2123895"/>
        <n v="176875"/>
        <n v="256"/>
        <n v="312485"/>
        <n v="176882"/>
        <n v="176884"/>
        <n v="119992"/>
        <n v="149309"/>
        <n v="127701"/>
        <n v="645741"/>
        <n v="66459"/>
        <n v="965461"/>
        <n v="6029"/>
        <n v="6030"/>
        <n v="1921"/>
        <n v="1920"/>
        <n v="177043"/>
        <n v="991179"/>
        <n v="990874"/>
        <n v="990896"/>
        <n v="177026"/>
        <n v="1409238"/>
        <n v="991209"/>
        <n v="991182"/>
        <n v="990777"/>
        <n v="990796"/>
        <n v="120044"/>
        <n v="3863226"/>
        <n v="3863225"/>
        <n v="58062"/>
        <n v="176911"/>
        <n v="176890"/>
        <n v="98674"/>
        <n v="514547"/>
        <n v="2385578"/>
        <n v="2385577"/>
        <n v="82398"/>
        <n v="120087"/>
        <n v="240262"/>
        <n v="120080"/>
        <n v="66493"/>
        <n v="1409993"/>
        <n v="82395"/>
        <n v="4878139"/>
        <n v="4878140"/>
        <n v="4878142"/>
        <n v="4878144"/>
        <n v="4878145"/>
        <n v="4878147"/>
        <n v="4878150"/>
        <n v="4878151"/>
        <n v="4878153"/>
        <n v="4878155"/>
        <n v="4878157"/>
        <n v="44606"/>
        <n v="789666"/>
        <n v="789667"/>
        <n v="4651768"/>
        <n v="82397"/>
        <n v="178371"/>
        <n v="178370"/>
        <n v="46645"/>
        <n v="988618"/>
        <n v="240401"/>
        <n v="1147588"/>
        <n v="239582"/>
        <n v="1849"/>
        <n v="3905"/>
        <n v="120154"/>
        <n v="67646"/>
        <n v="121440"/>
        <n v="121439"/>
        <n v="9405"/>
        <n v="7972"/>
        <n v="24769"/>
        <n v="16362"/>
        <n v="16363"/>
        <n v="206071"/>
        <n v="120157"/>
        <n v="55264"/>
        <n v="993216"/>
        <n v="993250"/>
        <n v="57972"/>
        <n v="57971"/>
        <n v="992584"/>
        <n v="992621"/>
        <n v="992626"/>
        <n v="8053"/>
        <n v="993172"/>
        <n v="993128"/>
        <n v="330921"/>
        <n v="240640"/>
        <n v="1117960"/>
        <n v="120254"/>
        <n v="240645"/>
        <n v="26702"/>
        <n v="26697"/>
        <n v="9482"/>
        <n v="2389760"/>
        <n v="179703"/>
        <n v="1807852"/>
        <n v="179706"/>
        <n v="179702"/>
        <n v="180110"/>
        <n v="437"/>
        <n v="2389717"/>
        <n v="110286"/>
        <n v="179701"/>
        <n v="45712"/>
        <n v="165933"/>
        <n v="180113"/>
        <n v="110276"/>
        <n v="179704"/>
        <n v="59961"/>
        <n v="120246"/>
        <n v="481908"/>
        <n v="482750"/>
        <n v="1807795"/>
        <n v="179698"/>
        <n v="26696"/>
        <n v="240642"/>
        <n v="203220"/>
        <n v="203222"/>
        <n v="203215"/>
        <n v="179638"/>
        <n v="180108"/>
        <n v="179699"/>
        <n v="120292"/>
        <n v="63726"/>
        <n v="166111"/>
        <n v="994523"/>
        <n v="1149584"/>
        <n v="2390609"/>
        <n v="994796"/>
        <n v="20963"/>
        <n v="2390599"/>
        <n v="994828"/>
        <n v="2390603"/>
        <n v="215645"/>
        <n v="55400"/>
        <n v="516981"/>
        <n v="2390616"/>
        <n v="268"/>
        <n v="994389"/>
        <n v="994421"/>
        <n v="270"/>
        <n v="81863"/>
        <n v="180180"/>
        <n v="240701"/>
        <n v="5794"/>
        <n v="302067"/>
        <n v="5789"/>
        <n v="5791"/>
        <n v="5790"/>
        <n v="240702"/>
        <n v="293493"/>
        <n v="3871297"/>
        <n v="3871298"/>
        <n v="302011"/>
        <n v="1118685"/>
        <n v="989843"/>
        <n v="989846"/>
        <n v="989847"/>
        <n v="989848"/>
        <n v="989849"/>
        <n v="989850"/>
        <n v="989851"/>
        <n v="989852"/>
        <n v="989853"/>
        <n v="989854"/>
        <n v="989855"/>
        <n v="989856"/>
        <n v="989857"/>
        <n v="989858"/>
        <n v="989859"/>
        <n v="8515573"/>
        <n v="481897"/>
        <n v="309085"/>
        <n v="4886015"/>
        <n v="215755"/>
        <n v="4886024"/>
        <n v="165838"/>
        <n v="102961"/>
        <n v="102956"/>
        <n v="102959"/>
        <n v="4886027"/>
        <n v="1415488"/>
        <n v="309327"/>
        <n v="165839"/>
        <n v="240863"/>
        <n v="66674"/>
        <n v="102958"/>
        <n v="120723"/>
        <n v="211612"/>
        <n v="4886025"/>
        <n v="102964"/>
        <n v="120374"/>
        <n v="120371"/>
        <n v="169764"/>
        <n v="169758"/>
        <n v="689086"/>
        <n v="240998"/>
        <n v="1272363"/>
        <n v="1272364"/>
        <n v="477617"/>
        <n v="477618"/>
        <n v="477621"/>
        <n v="383340"/>
        <n v="383341"/>
        <n v="8515690"/>
        <n v="415016"/>
        <n v="415017"/>
        <n v="265650"/>
        <n v="1151069"/>
        <n v="1151054"/>
        <n v="1151053"/>
        <n v="1151052"/>
        <n v="1151056"/>
        <n v="1151055"/>
        <n v="182023"/>
        <n v="1812692"/>
        <n v="1282841"/>
        <n v="415035"/>
        <n v="188136"/>
        <n v="4734"/>
        <n v="861"/>
        <n v="182043"/>
        <n v="120449"/>
        <n v="1816748"/>
        <n v="1816749"/>
        <n v="1816752"/>
        <n v="1816753"/>
        <n v="4890538"/>
        <n v="1816750"/>
        <n v="1816751"/>
        <n v="1816747"/>
        <n v="279398"/>
        <n v="1329"/>
        <n v="62281"/>
        <n v="279350"/>
        <n v="1417617"/>
        <n v="1417616"/>
        <n v="120477"/>
        <n v="2863241"/>
        <n v="610484"/>
        <n v="324516"/>
        <n v="166982"/>
        <n v="2863210"/>
        <n v="30895"/>
        <n v="4341234"/>
        <n v="42166"/>
        <n v="103003"/>
        <n v="6636330"/>
        <n v="226337"/>
        <n v="226339"/>
        <n v="226332"/>
        <n v="8295"/>
        <n v="1152307"/>
        <n v="14722"/>
        <n v="6554"/>
        <n v="73983"/>
        <n v="8294"/>
        <n v="60269"/>
        <n v="60268"/>
        <n v="8299"/>
        <n v="179582"/>
        <n v="8297"/>
        <n v="8328"/>
        <n v="8301"/>
        <n v="276844"/>
        <n v="316213"/>
        <n v="35011"/>
        <n v="35012"/>
        <n v="35014"/>
        <n v="997852"/>
        <n v="997889"/>
        <n v="76372"/>
        <n v="519459"/>
        <n v="279984"/>
        <n v="997860"/>
        <n v="997804"/>
        <n v="997831"/>
        <n v="34982"/>
        <n v="998003"/>
        <n v="997998"/>
        <n v="488623"/>
        <n v="19746"/>
        <n v="998030"/>
        <n v="35013"/>
        <n v="279907"/>
        <n v="5373"/>
        <n v="265089"/>
        <n v="997824"/>
        <n v="997809"/>
        <n v="34978"/>
        <n v="35016"/>
        <n v="1818194"/>
        <n v="1818195"/>
        <n v="1818196"/>
        <n v="1818197"/>
        <n v="241309"/>
        <n v="279947"/>
        <n v="337557"/>
        <n v="997624"/>
        <n v="997619"/>
        <n v="35015"/>
        <n v="12431"/>
        <n v="19534"/>
        <n v="2395088"/>
        <n v="2395087"/>
        <n v="2395086"/>
        <n v="279931"/>
        <n v="279928"/>
        <n v="279929"/>
        <n v="279930"/>
        <n v="279927"/>
        <n v="888392"/>
        <n v="120565"/>
        <n v="167464"/>
        <n v="100164"/>
        <n v="100165"/>
        <n v="266239"/>
        <n v="888438"/>
        <n v="888405"/>
        <n v="888435"/>
        <n v="120568"/>
        <n v="52902"/>
        <n v="888413"/>
        <n v="384125"/>
        <n v="384126"/>
        <n v="384127"/>
        <n v="384132"/>
        <n v="384133"/>
        <n v="120575"/>
        <n v="888423"/>
        <n v="792463"/>
        <n v="792462"/>
        <n v="199049"/>
        <n v="792455"/>
        <n v="792454"/>
        <n v="792438"/>
        <n v="792439"/>
        <n v="792542"/>
        <n v="792543"/>
        <n v="120615"/>
        <n v="60470"/>
        <n v="888945"/>
        <n v="888946"/>
        <n v="307461"/>
        <n v="201367"/>
        <n v="307464"/>
        <n v="307463"/>
        <n v="201366"/>
        <n v="307462"/>
        <n v="1281730"/>
        <n v="848338"/>
        <n v="848340"/>
        <n v="848341"/>
        <n v="848339"/>
        <n v="4899408"/>
        <n v="4899409"/>
        <n v="4899410"/>
        <n v="4899411"/>
        <n v="4899413"/>
        <n v="4899414"/>
        <n v="4899416"/>
        <n v="4899418"/>
        <n v="60468"/>
        <n v="60469"/>
        <n v="184872"/>
        <n v="120643"/>
        <n v="888970"/>
        <n v="888969"/>
        <n v="4899412"/>
        <n v="4899415"/>
        <n v="4899417"/>
        <n v="4899419"/>
        <n v="4899420"/>
        <n v="4899421"/>
        <n v="4899422"/>
        <n v="4899423"/>
        <n v="4899424"/>
        <n v="4899425"/>
        <n v="4899426"/>
        <n v="4899427"/>
        <n v="4899428"/>
        <n v="998958"/>
        <n v="998963"/>
        <n v="992020"/>
        <n v="1154359"/>
        <n v="263803"/>
        <n v="263788"/>
        <n v="949685"/>
        <n v="184864"/>
        <n v="184868"/>
        <n v="8531159"/>
        <n v="8531158"/>
        <n v="8531160"/>
        <n v="949261"/>
        <n v="128734"/>
        <n v="185132"/>
        <n v="1281719"/>
        <n v="992014"/>
        <n v="949288"/>
        <n v="1205424"/>
        <n v="1205426"/>
        <n v="184851"/>
        <n v="1422926"/>
        <n v="1205427"/>
        <n v="949287"/>
        <n v="35960"/>
        <n v="14864"/>
        <n v="949257"/>
        <n v="949283"/>
        <n v="1281226"/>
        <n v="1879842"/>
        <n v="1879843"/>
        <n v="1079844"/>
        <n v="1079845"/>
        <n v="1079846"/>
        <n v="1079848"/>
        <n v="1079850"/>
        <n v="1079852"/>
        <n v="1079854"/>
        <n v="1079855"/>
        <n v="1079856"/>
        <n v="1079858"/>
        <n v="1079860"/>
        <n v="1079862"/>
        <n v="1079864"/>
        <n v="1079867"/>
        <n v="1079869"/>
        <n v="1079871"/>
        <n v="1079872"/>
        <n v="1079874"/>
        <n v="1079876"/>
        <n v="1079878"/>
        <n v="1281240"/>
        <n v="888957"/>
        <n v="130523"/>
        <n v="120614"/>
        <n v="184842"/>
        <n v="137842"/>
        <n v="1281237"/>
        <n v="991998"/>
        <n v="992004"/>
        <n v="1817916"/>
        <n v="1817917"/>
        <n v="1817915"/>
        <n v="949254"/>
        <n v="44239"/>
        <n v="185408"/>
        <n v="949644"/>
        <n v="5156899"/>
        <n v="5156898"/>
        <n v="5156897"/>
        <n v="5156896"/>
        <n v="888398"/>
        <n v="167876"/>
        <n v="737864"/>
        <n v="4899483"/>
        <n v="83859"/>
        <n v="64474"/>
        <n v="164688"/>
        <n v="12260"/>
        <n v="64473"/>
        <n v="408135"/>
        <n v="66467"/>
        <n v="4899499"/>
        <n v="120687"/>
        <n v="21087"/>
        <n v="377640"/>
        <n v="850514"/>
        <n v="850515"/>
        <n v="1079455"/>
        <n v="350127"/>
        <n v="110726"/>
        <n v="130680"/>
        <n v="2135664"/>
        <n v="164682"/>
        <n v="481390"/>
        <n v="1422923"/>
        <n v="1422922"/>
        <n v="1205425"/>
        <n v="2395289"/>
        <n v="2395290"/>
        <n v="341512"/>
        <n v="120734"/>
        <n v="263947"/>
        <n v="263949"/>
        <n v="263948"/>
        <n v="263950"/>
        <n v="14770"/>
        <n v="7046"/>
        <n v="1120522"/>
        <n v="241873"/>
        <n v="142594"/>
        <n v="44288"/>
        <n v="7045"/>
        <n v="84052"/>
        <n v="4672216"/>
        <n v="108567"/>
        <n v="108566"/>
        <n v="26461"/>
        <n v="108568"/>
        <n v="164689"/>
        <n v="653802"/>
        <n v="830048"/>
        <n v="488620"/>
        <n v="830043"/>
        <n v="1212"/>
        <n v="1216"/>
        <n v="985"/>
        <n v="986"/>
        <n v="894"/>
        <n v="881"/>
        <n v="908"/>
        <n v="886"/>
        <n v="2311"/>
        <n v="996"/>
        <n v="995"/>
        <n v="726"/>
        <n v="729"/>
        <n v="730"/>
        <n v="739"/>
        <n v="755"/>
        <n v="764"/>
        <n v="830044"/>
        <n v="805"/>
        <n v="1244"/>
        <n v="22001"/>
        <n v="887"/>
        <n v="2307"/>
        <n v="5041"/>
        <n v="49763"/>
        <n v="497943"/>
        <n v="497950"/>
        <n v="341811"/>
        <n v="1262"/>
        <n v="5165134"/>
        <n v="5165135"/>
        <n v="5165136"/>
        <n v="5165137"/>
        <n v="5165138"/>
        <n v="5165139"/>
        <n v="5165140"/>
        <n v="5165141"/>
        <n v="5165142"/>
        <n v="5165143"/>
        <n v="180562"/>
        <n v="794017"/>
        <n v="120826"/>
        <n v="1643"/>
        <n v="1649"/>
        <n v="42414"/>
        <n v="5165132"/>
        <n v="992519"/>
        <n v="992518"/>
        <n v="992514"/>
        <n v="992515"/>
        <n v="992517"/>
        <n v="992516"/>
        <n v="689386"/>
        <n v="992507"/>
        <n v="992508"/>
        <n v="992509"/>
        <n v="992510"/>
        <n v="992511"/>
        <n v="992512"/>
        <n v="992513"/>
        <n v="992525"/>
        <n v="11271246"/>
        <n v="11271242"/>
        <n v="11271243"/>
        <n v="1016475"/>
        <n v="1016474"/>
        <n v="45181"/>
        <n v="1016736"/>
        <n v="1016737"/>
        <n v="1017885"/>
        <n v="1017884"/>
        <n v="120838"/>
        <n v="1334"/>
        <n v="1340"/>
        <n v="1341"/>
        <n v="1350"/>
        <n v="1376"/>
        <n v="1387"/>
        <n v="1388"/>
        <n v="189540"/>
        <n v="110843"/>
        <n v="110844"/>
        <n v="131133"/>
        <n v="42418"/>
        <n v="1338"/>
        <n v="992529"/>
        <n v="654661"/>
        <n v="654664"/>
        <n v="1820368"/>
        <n v="120904"/>
        <n v="1120553"/>
        <n v="282265"/>
        <n v="1121360"/>
        <n v="282260"/>
        <n v="282259"/>
        <n v="1820370"/>
        <n v="35236"/>
        <n v="282253"/>
        <n v="849307"/>
        <n v="282255"/>
        <n v="282266"/>
        <n v="42471"/>
        <n v="146159"/>
        <n v="1016964"/>
        <n v="1016965"/>
        <n v="1016730"/>
        <n v="1016729"/>
        <n v="42466"/>
        <n v="326624"/>
        <n v="523377"/>
        <n v="853806"/>
        <n v="1820328"/>
        <n v="42462"/>
        <n v="282272"/>
        <n v="42467"/>
        <n v="131240"/>
        <n v="1015555"/>
        <n v="105859"/>
        <n v="105861"/>
        <n v="105860"/>
        <n v="42031"/>
        <n v="45190"/>
        <n v="282247"/>
        <n v="42468"/>
        <n v="662250"/>
        <n v="71511"/>
        <n v="2520"/>
        <n v="326514"/>
        <n v="4906696"/>
        <n v="3468"/>
        <n v="3526"/>
        <n v="3514"/>
        <n v="3502"/>
        <n v="2512"/>
        <n v="2522"/>
        <n v="158310"/>
        <n v="4906948"/>
        <n v="616812"/>
        <n v="84656"/>
        <n v="16433"/>
        <n v="3469"/>
        <n v="3490"/>
        <n v="3513"/>
        <n v="4906932"/>
        <n v="1428747"/>
        <n v="954537"/>
        <n v="954538"/>
        <n v="19172"/>
        <n v="19216"/>
        <n v="1428865"/>
        <n v="120971"/>
        <n v="282248"/>
        <n v="60985"/>
        <n v="656095"/>
        <n v="4906649"/>
        <n v="4906650"/>
        <n v="4906651"/>
        <n v="4906652"/>
        <n v="4906654"/>
        <n v="4906656"/>
        <n v="4906659"/>
        <n v="4906661"/>
        <n v="4906664"/>
        <n v="4906665"/>
        <n v="4906669"/>
        <n v="4906671"/>
        <n v="4906673"/>
        <n v="1428606"/>
        <n v="2871845"/>
        <n v="4906914"/>
        <n v="4906915"/>
        <n v="4906916"/>
        <n v="4906917"/>
        <n v="4906918"/>
        <n v="4906920"/>
        <n v="4906921"/>
        <n v="4906923"/>
        <n v="4906926"/>
        <n v="4906927"/>
        <n v="4906929"/>
        <n v="4906931"/>
        <n v="4906933"/>
        <n v="4906936"/>
        <n v="4906938"/>
        <n v="4906940"/>
        <n v="3611"/>
        <n v="3629"/>
        <n v="3584"/>
        <n v="1428742"/>
        <n v="242472"/>
        <n v="42554"/>
        <n v="1428602"/>
        <n v="5525"/>
        <n v="158380"/>
        <n v="32903"/>
        <n v="32904"/>
        <n v="32901"/>
        <n v="32902"/>
        <n v="4680073"/>
        <n v="4680074"/>
        <n v="4680075"/>
        <n v="4680076"/>
        <n v="4680077"/>
        <n v="4680078"/>
        <n v="4680079"/>
        <n v="4347901"/>
        <n v="13317"/>
        <n v="4274"/>
        <n v="4277"/>
        <n v="14336"/>
        <n v="1432627"/>
        <n v="4687"/>
        <n v="4692"/>
        <n v="121068"/>
        <n v="2404359"/>
        <n v="2404360"/>
        <n v="2139484"/>
        <n v="2137544"/>
        <n v="2139489"/>
        <n v="44566"/>
        <n v="44565"/>
        <n v="13382"/>
        <n v="2139485"/>
        <n v="109756"/>
        <n v="70485"/>
        <n v="33227"/>
        <n v="33228"/>
        <n v="33229"/>
        <n v="33230"/>
        <n v="33231"/>
        <n v="227254"/>
        <n v="4090385"/>
        <n v="169671"/>
        <n v="21223"/>
        <n v="99340"/>
        <n v="103242"/>
        <n v="2139490"/>
        <n v="33716"/>
        <n v="33712"/>
        <n v="33715"/>
        <n v="33714"/>
        <n v="33713"/>
        <n v="411896"/>
        <n v="8562486"/>
        <n v="13318"/>
        <n v="1122046"/>
        <n v="404107"/>
        <n v="103228"/>
        <n v="103234"/>
        <n v="12296"/>
        <n v="103241"/>
        <n v="241949"/>
        <n v="165869"/>
        <n v="404221"/>
        <n v="1828329"/>
        <n v="1828328"/>
        <n v="6660267"/>
        <n v="555500"/>
        <n v="739763"/>
        <n v="14808"/>
        <n v="484438"/>
        <n v="739843"/>
        <n v="739842"/>
        <n v="739732"/>
        <n v="739876"/>
        <n v="739873"/>
        <n v="739874"/>
        <n v="1160445"/>
        <n v="525722"/>
        <n v="525723"/>
        <n v="276833"/>
        <n v="190293"/>
        <n v="190236"/>
        <n v="1435284"/>
        <n v="61316"/>
        <n v="132184"/>
        <n v="8869"/>
        <n v="949664"/>
        <n v="1435283"/>
        <n v="8562544"/>
        <n v="739875"/>
        <n v="1830395"/>
        <n v="1830394"/>
        <n v="658250"/>
        <n v="86458"/>
        <n v="87106"/>
        <n v="5915"/>
        <n v="5939"/>
        <n v="5956"/>
        <n v="5963"/>
        <n v="5964"/>
        <n v="6153"/>
        <n v="6177"/>
        <n v="6191"/>
        <n v="6197"/>
        <n v="6201"/>
        <n v="1085034"/>
        <n v="4914459"/>
        <n v="87107"/>
        <n v="6251"/>
        <n v="6250"/>
        <n v="6211"/>
        <n v="6232"/>
        <n v="241945"/>
        <n v="6164"/>
        <n v="4914454"/>
        <n v="21263"/>
        <n v="242980"/>
        <n v="4914438"/>
        <n v="4914421"/>
        <n v="109884"/>
        <n v="27304"/>
        <n v="27296"/>
        <n v="1201579"/>
        <n v="243072"/>
        <n v="4350807"/>
        <n v="121295"/>
        <n v="87101"/>
        <n v="35502"/>
        <n v="5539"/>
        <n v="71937"/>
        <n v="243077"/>
        <n v="28966"/>
        <n v="4350796"/>
        <n v="796559"/>
        <n v="1435279"/>
        <n v="87102"/>
        <n v="4914424"/>
        <n v="5541"/>
        <n v="4350802"/>
        <n v="326011"/>
        <n v="2142601"/>
        <n v="2142583"/>
        <n v="2142597"/>
        <n v="87103"/>
        <n v="352568"/>
        <n v="1162421"/>
        <n v="1162126"/>
        <n v="2142606"/>
        <n v="2142590"/>
        <n v="2142587"/>
        <n v="4098393"/>
        <n v="7598"/>
        <n v="1162375"/>
        <n v="1438653"/>
        <n v="7489"/>
        <n v="7538"/>
        <n v="108125"/>
        <n v="87104"/>
        <n v="116226"/>
        <n v="526865"/>
        <n v="2142602"/>
        <n v="2408613"/>
        <n v="195578"/>
        <n v="2142594"/>
        <n v="2142593"/>
        <n v="7626"/>
        <n v="7648"/>
        <n v="109941"/>
        <n v="540276"/>
        <n v="540277"/>
        <n v="34685"/>
        <n v="34686"/>
        <n v="4788"/>
        <n v="2745"/>
        <n v="4098388"/>
        <n v="659825"/>
        <n v="659824"/>
        <n v="29590"/>
        <n v="1133"/>
        <n v="1832444"/>
        <n v="60838"/>
        <n v="8577954"/>
        <n v="29577"/>
        <n v="5182582"/>
        <n v="5182583"/>
        <n v="5182581"/>
        <n v="4099900"/>
        <n v="4098200"/>
        <n v="4098199"/>
        <n v="1123196"/>
        <n v="8578080"/>
        <n v="33208"/>
        <n v="10515"/>
        <n v="10541"/>
        <n v="10538"/>
        <n v="10519"/>
        <n v="3899175"/>
        <n v="62152"/>
        <n v="1123857"/>
        <n v="238698"/>
        <n v="8578048"/>
        <n v="8578047"/>
        <n v="8578053"/>
        <n v="8578052"/>
        <n v="8578054"/>
        <n v="8578055"/>
        <n v="8578056"/>
        <n v="8578051"/>
        <n v="8578050"/>
        <n v="8578049"/>
        <n v="997642"/>
        <n v="147225"/>
        <n v="997969"/>
        <n v="61308"/>
        <n v="61713"/>
        <n v="1962346"/>
        <n v="1962348"/>
        <n v="1962347"/>
        <n v="1441074"/>
        <n v="121456"/>
        <n v="61750"/>
        <n v="61749"/>
        <n v="196472"/>
        <n v="12145"/>
        <n v="1123896"/>
        <n v="1441080"/>
        <n v="223780"/>
        <n v="1441067"/>
        <n v="1123898"/>
        <n v="61752"/>
        <n v="67357"/>
        <n v="67353"/>
        <n v="3899274"/>
        <n v="243558"/>
        <n v="191251"/>
        <n v="87037"/>
        <n v="243568"/>
        <n v="2879216"/>
        <n v="57253"/>
        <n v="458606"/>
        <n v="243561"/>
        <n v="243650"/>
        <n v="50187"/>
        <n v="240456"/>
        <n v="11139"/>
        <n v="11144"/>
        <n v="11165"/>
        <n v="13679"/>
        <n v="776919"/>
        <n v="3904021"/>
        <n v="373"/>
        <n v="14849"/>
        <n v="101671"/>
        <n v="3903853"/>
        <n v="10774"/>
        <n v="10744"/>
        <n v="10740"/>
        <n v="10763"/>
        <n v="191527"/>
        <n v="270084"/>
        <n v="8787216"/>
        <n v="10954"/>
        <n v="10971"/>
        <n v="10931"/>
        <n v="855948"/>
        <n v="529556"/>
        <n v="12009"/>
        <n v="12015"/>
        <n v="183725"/>
        <n v="121606"/>
        <n v="5189277"/>
        <n v="11744"/>
        <n v="11737"/>
        <n v="101759"/>
        <n v="1836546"/>
        <n v="1835447"/>
        <n v="1836548"/>
        <n v="1836545"/>
        <n v="1836554"/>
        <n v="1032248"/>
        <n v="3905428"/>
        <n v="1248641"/>
        <n v="37026"/>
        <n v="61382"/>
        <n v="50225"/>
        <n v="661826"/>
        <n v="101754"/>
        <n v="218514"/>
        <n v="198597"/>
        <n v="205247"/>
        <n v="205246"/>
        <n v="267246"/>
        <n v="3027"/>
        <n v="6582"/>
        <n v="662482"/>
        <n v="3031"/>
        <n v="6588"/>
        <n v="6580"/>
        <n v="3026"/>
        <n v="199033"/>
        <n v="209281"/>
        <n v="1445739"/>
        <n v="101864"/>
        <n v="999253"/>
        <n v="189549"/>
        <n v="49228"/>
        <n v="169156"/>
        <n v="1966176"/>
        <n v="1966177"/>
        <n v="1966178"/>
        <n v="1966179"/>
        <n v="101861"/>
        <n v="121675"/>
        <n v="169130"/>
        <n v="6583"/>
        <n v="3028"/>
        <n v="121668"/>
        <n v="999191"/>
        <n v="101845"/>
        <n v="12294"/>
        <n v="14086"/>
        <n v="13190"/>
        <n v="13201"/>
        <n v="121648"/>
        <n v="8592788"/>
        <n v="8592789"/>
        <n v="8592790"/>
        <n v="8592791"/>
        <n v="8592792"/>
        <n v="50273"/>
        <n v="147899"/>
        <n v="147900"/>
        <n v="1447073"/>
        <n v="1830758"/>
        <n v="111119"/>
        <n v="283061"/>
        <n v="541351"/>
        <n v="289871"/>
        <n v="289872"/>
        <n v="623541"/>
        <n v="1830455"/>
        <n v="1167223"/>
        <n v="7177"/>
        <n v="192049"/>
        <n v="1167245"/>
        <n v="50298"/>
        <n v="7176"/>
        <n v="7175"/>
        <n v="16933"/>
        <n v="359808"/>
        <n v="1830456"/>
        <n v="1830454"/>
        <n v="1836347"/>
        <n v="7178"/>
        <n v="1088946"/>
        <n v="495404"/>
        <n v="495472"/>
        <n v="172252"/>
        <n v="1088932"/>
        <n v="87836"/>
        <n v="121791"/>
        <n v="1125096"/>
        <n v="172221"/>
        <n v="172222"/>
        <n v="1088990"/>
        <n v="13985"/>
        <n v="14012"/>
        <n v="1088991"/>
        <n v="625949"/>
        <n v="50326"/>
        <n v="4930589"/>
        <n v="360758"/>
        <n v="172243"/>
        <n v="13712"/>
        <n v="13722"/>
        <n v="1089153"/>
        <n v="1089147"/>
        <n v="46873"/>
        <n v="172404"/>
        <n v="1447062"/>
        <n v="663928"/>
        <n v="361395"/>
        <n v="2148123"/>
        <n v="8601448"/>
        <n v="8601447"/>
        <n v="8598289"/>
        <n v="1036216"/>
        <n v="1036215"/>
        <n v="1842609"/>
        <n v="4701572"/>
        <n v="54273"/>
        <n v="664034"/>
        <n v="4701213"/>
        <n v="75813"/>
        <n v="346310"/>
        <n v="495586"/>
        <n v="21347"/>
        <n v="495249"/>
        <n v="418308"/>
        <n v="1839818"/>
        <n v="1839820"/>
        <n v="346307"/>
        <n v="524"/>
        <n v="202042"/>
        <n v="125072"/>
        <n v="541876"/>
        <n v="1839819"/>
        <n v="857861"/>
        <n v="857860"/>
        <n v="857859"/>
        <n v="857858"/>
        <n v="3910166"/>
        <n v="2417287"/>
        <n v="2417281"/>
        <n v="50401"/>
        <n v="121895"/>
        <n v="2417271"/>
        <n v="290901"/>
        <n v="8601767"/>
        <n v="664023"/>
        <n v="201560"/>
        <n v="37335"/>
        <n v="37336"/>
        <n v="541875"/>
        <n v="172599"/>
        <n v="326639"/>
        <n v="2417263"/>
        <n v="268226"/>
        <n v="268236"/>
        <n v="268237"/>
        <n v="268223"/>
        <n v="267244"/>
        <n v="857856"/>
        <n v="857857"/>
        <n v="857855"/>
        <n v="857865"/>
        <n v="202095"/>
        <n v="1836771"/>
        <n v="542080"/>
        <n v="202195"/>
        <n v="219117"/>
        <n v="542077"/>
        <n v="542078"/>
        <n v="4936254"/>
        <n v="5203067"/>
        <n v="121946"/>
        <n v="22331"/>
        <n v="62720"/>
        <n v="1845296"/>
        <n v="542082"/>
        <n v="542081"/>
        <n v="202111"/>
        <n v="202112"/>
        <n v="62731"/>
        <n v="121953"/>
        <n v="62178"/>
        <n v="5333"/>
        <n v="3911854"/>
        <n v="3911853"/>
        <n v="192612"/>
        <n v="4936216"/>
        <n v="121982"/>
        <n v="20138"/>
        <n v="268764"/>
        <n v="268227"/>
        <n v="268232"/>
        <n v="268759"/>
        <n v="268760"/>
        <n v="268758"/>
        <n v="955546"/>
        <n v="542179"/>
        <n v="542178"/>
        <n v="955508"/>
        <n v="1385"/>
        <n v="955550"/>
        <n v="4935895"/>
        <n v="4935896"/>
        <n v="4935898"/>
        <n v="4935899"/>
        <n v="4935901"/>
        <n v="4935904"/>
        <n v="4935906"/>
        <n v="4935908"/>
        <n v="4935910"/>
        <n v="1811206"/>
        <n v="4935912"/>
        <n v="4935913"/>
        <n v="4935914"/>
        <n v="4935915"/>
        <n v="4935916"/>
        <n v="211034"/>
        <n v="268747"/>
        <n v="955548"/>
        <n v="955549"/>
        <n v="244666"/>
        <n v="955527"/>
        <n v="955529"/>
        <n v="955506"/>
        <n v="955528"/>
        <n v="59668"/>
        <n v="955525"/>
        <n v="955524"/>
        <n v="95526"/>
        <n v="955505"/>
        <n v="955537"/>
        <n v="955538"/>
        <n v="955539"/>
        <n v="955536"/>
        <n v="955535"/>
        <n v="522180"/>
        <n v="955542"/>
        <n v="955544"/>
        <n v="955543"/>
        <n v="955545"/>
        <n v="955541"/>
        <n v="8608113"/>
        <n v="955551"/>
        <n v="955552"/>
        <n v="955553"/>
        <n v="955509"/>
        <n v="955510"/>
        <n v="50521"/>
        <n v="62174"/>
        <n v="50519"/>
        <n v="124185"/>
        <n v="50524"/>
        <n v="244665"/>
        <n v="50523"/>
        <n v="244653"/>
        <n v="999798"/>
        <n v="205884"/>
        <n v="67564"/>
        <n v="205885"/>
        <n v="900966"/>
        <n v="205702"/>
        <n v="4358791"/>
        <n v="108020"/>
        <n v="900925"/>
        <n v="900926"/>
        <n v="900924"/>
        <n v="900927"/>
        <n v="900928"/>
        <n v="900929"/>
        <n v="1999"/>
        <n v="308312"/>
        <n v="67191"/>
        <n v="629188"/>
        <n v="629187"/>
        <n v="57259"/>
        <n v="57260"/>
        <n v="57264"/>
        <n v="57263"/>
        <n v="57262"/>
        <n v="57261"/>
        <n v="49358916"/>
        <n v="6035"/>
        <n v="6037"/>
        <n v="6034"/>
        <n v="6038"/>
        <n v="6033"/>
        <n v="173205"/>
        <n v="4359424"/>
        <n v="1126387"/>
        <n v="4359428"/>
        <n v="11349239"/>
        <n v="3914876"/>
        <n v="190572"/>
        <n v="54355"/>
        <n v="666798"/>
        <n v="11349229"/>
        <n v="1126365"/>
        <n v="122111"/>
        <n v="190571"/>
        <n v="190574"/>
        <n v="1456660"/>
        <n v="1456648"/>
        <n v="1456649"/>
        <n v="21529"/>
        <n v="11349766"/>
        <n v="515203"/>
        <n v="100403"/>
        <n v="21501"/>
        <n v="219423"/>
        <n v="219424"/>
        <n v="219422"/>
        <n v="54354"/>
        <n v="110855"/>
        <n v="149193"/>
        <n v="148449"/>
        <n v="67623"/>
        <n v="1850549"/>
        <n v="1456650"/>
        <n v="1456653"/>
        <n v="1002480"/>
        <n v="1041547"/>
        <n v="8620956"/>
        <n v="1041554"/>
        <n v="1041545"/>
        <n v="276854"/>
        <n v="1041523"/>
        <n v="1041524"/>
        <n v="122161"/>
        <n v="1209261"/>
        <n v="276836"/>
        <n v="276902"/>
        <n v="269172"/>
        <n v="1041548"/>
        <n v="269210"/>
        <n v="245113"/>
        <n v="1458028"/>
        <n v="269187"/>
        <n v="269149"/>
        <n v="1456645"/>
        <n v="1002418"/>
        <n v="276823"/>
        <n v="1042361"/>
        <n v="1041555"/>
        <n v="245118"/>
        <n v="1042437"/>
        <n v="1042362"/>
        <n v="1042554"/>
        <n v="1458032"/>
        <n v="1002508"/>
        <n v="62615"/>
        <n v="1729921"/>
        <n v="801291"/>
        <n v="2889271"/>
        <n v="157404"/>
        <n v="1172870"/>
        <n v="1837228"/>
        <n v="379460"/>
        <n v="542724"/>
        <n v="1173352"/>
        <n v="292840"/>
        <n v="542734"/>
        <n v="24526"/>
        <n v="1122141"/>
        <n v="1173331"/>
        <n v="8960"/>
        <n v="8959"/>
        <n v="8963"/>
        <n v="8962"/>
        <n v="8961"/>
        <n v="8958"/>
        <n v="1173286"/>
        <n v="1122142"/>
        <n v="245275"/>
        <n v="157229"/>
        <n v="2889275"/>
        <n v="1173364"/>
        <n v="268233"/>
        <n v="268234"/>
        <n v="268235"/>
        <n v="267243"/>
        <n v="379462"/>
        <n v="7408"/>
        <n v="380281"/>
        <n v="1837215"/>
        <n v="42782"/>
        <n v="93"/>
        <n v="380277"/>
        <n v="379463"/>
        <n v="968595"/>
        <n v="10917"/>
        <n v="160654"/>
        <n v="380278"/>
        <n v="310381"/>
        <n v="149301"/>
        <n v="148434"/>
        <n v="149299"/>
        <n v="149300"/>
        <n v="1044826"/>
        <n v="1041528"/>
        <n v="1041526"/>
        <n v="1041529"/>
        <n v="174191"/>
        <n v="10869"/>
        <n v="36467"/>
        <n v="445609"/>
        <n v="446022"/>
        <n v="174196"/>
        <n v="63002"/>
        <n v="8626110"/>
        <n v="742979"/>
        <n v="838374"/>
        <n v="67725"/>
        <n v="269184"/>
        <n v="269120"/>
        <n v="14932"/>
        <n v="2291"/>
        <n v="208354"/>
        <n v="2151273"/>
        <n v="62999"/>
        <n v="10928"/>
        <n v="2151279"/>
        <n v="62998"/>
        <n v="838309"/>
        <n v="2151285"/>
        <n v="2151284"/>
        <n v="2151292"/>
        <n v="2151286"/>
        <n v="270868" u="1"/>
        <n v="97562" u="1"/>
        <n v="58732" u="1"/>
        <n v="223707" u="1"/>
        <n v="33600" u="1"/>
        <n v="1222148" u="1"/>
        <n v="1222149" u="1"/>
        <n v="1222150" u="1"/>
        <n v="376121" u="1"/>
        <n v="376122" u="1"/>
      </sharedItems>
    </cacheField>
    <cacheField name="SEQ FORNECEDOR" numFmtId="0">
      <sharedItems containsBlank="1" containsMixedTypes="1" containsNumber="1" containsInteger="1" minValue="1002" maxValue="516981" count="298">
        <n v="13168"/>
        <n v="10263"/>
        <n v="9378"/>
        <n v="9510"/>
        <n v="63651"/>
        <n v="70485"/>
        <n v="10440"/>
        <n v="3610"/>
        <n v="9434"/>
        <n v="9599"/>
        <n v="15116"/>
        <n v="1216"/>
        <n v="9307"/>
        <n v="1139"/>
        <n v="9398"/>
        <n v="6172"/>
        <n v="7341"/>
        <n v="9653"/>
        <n v="1233"/>
        <n v="11233"/>
        <n v="68693"/>
        <n v="9637"/>
        <n v="9675"/>
        <n v="63007"/>
        <n v="11604"/>
        <n v="3506"/>
        <n v="14818"/>
        <n v="64319"/>
        <n v="7182"/>
        <n v="11716"/>
        <n v="12435"/>
        <n v="68474"/>
        <n v="11564"/>
        <n v="1207"/>
        <n v="1008"/>
        <n v="9526"/>
        <n v="9813"/>
        <n v="69924"/>
        <n v="10348"/>
        <n v="1175"/>
        <n v="1174"/>
        <n v="70827"/>
        <n v="9516"/>
        <n v="9456"/>
        <n v="2493"/>
        <n v="9500"/>
        <n v="9616"/>
        <n v="68353"/>
        <n v="9459"/>
        <n v="63190"/>
        <n v="9016"/>
        <n v="9394"/>
        <n v="9417"/>
        <n v="14641"/>
        <n v="2039"/>
        <n v="66224"/>
        <n v="71066"/>
        <n v="9389"/>
        <n v="9519"/>
        <n v="11840"/>
        <n v="13235"/>
        <n v="12622"/>
        <n v="12841"/>
        <n v="1015"/>
        <n v="9797"/>
        <n v="9397"/>
        <n v="13876"/>
        <n v="9421"/>
        <n v="66540"/>
        <n v="6678"/>
        <n v="63875"/>
        <n v="9535"/>
        <n v="13121"/>
        <n v="9480"/>
        <n v="64460"/>
        <n v="13510"/>
        <n v="9455"/>
        <n v="9364"/>
        <n v="9468"/>
        <n v="9461"/>
        <n v="11475"/>
        <n v="6735"/>
        <n v="13085"/>
        <n v="3578"/>
        <n v="10910"/>
        <n v="68566"/>
        <n v="1019"/>
        <n v="9403"/>
        <n v="2049"/>
        <n v="1100"/>
        <n v="15102"/>
        <n v="6563"/>
        <n v="63599"/>
        <n v="9388"/>
        <n v="65176"/>
        <n v="13169"/>
        <n v="15133"/>
        <n v="1136"/>
        <n v="37945"/>
        <n v="70670"/>
        <n v="5059"/>
        <n v="9490"/>
        <n v="1002"/>
        <n v="9486"/>
        <n v="70212"/>
        <n v="1263"/>
        <n v="13819"/>
        <n v="66719"/>
        <n v="71064"/>
        <n v="67955"/>
        <n v="9022"/>
        <n v="63826"/>
        <n v="11478"/>
        <n v="9460"/>
        <n v="9430"/>
        <n v="69430"/>
        <n v="64960"/>
        <n v="3438"/>
        <n v="70861"/>
        <n v="2563"/>
        <n v="9379"/>
        <n v="9451"/>
        <n v="67905"/>
        <n v="4041"/>
        <n v="10635"/>
        <n v="12899"/>
        <n v="2294"/>
        <n v="9531"/>
        <n v="64946"/>
        <n v="6200"/>
        <n v="1135"/>
        <n v="2471"/>
        <n v="4644"/>
        <n v="2740"/>
        <n v="2949"/>
        <n v="10388"/>
        <n v="5895"/>
        <n v="12029"/>
        <n v="69621"/>
        <n v="9481"/>
        <n v="62660"/>
        <n v="1032"/>
        <n v="1672"/>
        <n v="63459"/>
        <n v="68472"/>
        <n v="9508"/>
        <n v="70563"/>
        <n v="70826"/>
        <n v="65259"/>
        <n v="9963"/>
        <n v="8689"/>
        <n v="11787"/>
        <n v="1754"/>
        <n v="10776"/>
        <n v="3040"/>
        <n v="13090"/>
        <n v="4949"/>
        <n v="4638"/>
        <n v="9453"/>
        <n v="10604"/>
        <n v="71433"/>
        <n v="3636"/>
        <n v="10512"/>
        <n v="6037"/>
        <n v="69317"/>
        <n v="8918"/>
        <n v="3873"/>
        <m/>
        <n v="71418"/>
        <n v="7863"/>
        <n v="11539"/>
        <n v="8842"/>
        <n v="11860"/>
        <n v="64800"/>
        <n v="10349"/>
        <n v="9660"/>
        <n v="63846"/>
        <n v="70420"/>
        <n v="10489"/>
        <n v="9830"/>
        <n v="9844"/>
        <n v="5346"/>
        <n v="62562"/>
        <n v="10782"/>
        <n v="8252"/>
        <n v="9407"/>
        <n v="64427"/>
        <n v="67049"/>
        <n v="9812"/>
        <n v="1053"/>
        <n v="3162"/>
        <n v="5926"/>
        <n v="10759"/>
        <n v="7530"/>
        <n v="66204"/>
        <n v="10994"/>
        <n v="10760"/>
        <n v="14349"/>
        <n v="10322"/>
        <n v="3189"/>
        <n v="7929"/>
        <n v="66808"/>
        <n v="70748"/>
        <n v="63097"/>
        <n v="9530"/>
        <n v="8281"/>
        <n v="9796"/>
        <n v="66251"/>
        <n v="63522"/>
        <n v="11216"/>
        <n v="12012"/>
        <n v="71017"/>
        <n v="9482"/>
        <n v="7511"/>
        <n v="4567"/>
        <n v="4381"/>
        <n v="9591"/>
        <n v="12092"/>
        <n v="65369"/>
        <n v="1047"/>
        <n v="71780"/>
        <n v="63884"/>
        <s v="NÃO INFORMADO"/>
        <n v="13976"/>
        <n v="13086"/>
        <n v="71288"/>
        <n v="1149"/>
        <n v="9676"/>
        <n v="5101"/>
        <n v="9794"/>
        <n v="9188"/>
        <n v="71781"/>
        <n v="9391"/>
        <n v="2873"/>
        <n v="62764"/>
        <n v="67995"/>
        <n v="62834"/>
        <n v="12613"/>
        <n v="10767"/>
        <n v="63753"/>
        <n v="516981"/>
        <n v="1146"/>
        <n v="1469"/>
        <n v="70678"/>
        <n v="9589"/>
        <n v="72178"/>
        <n v="68338"/>
        <n v="1499"/>
        <n v="3659"/>
        <n v="10840"/>
        <n v="10815"/>
        <n v="12522"/>
        <n v="9462"/>
        <n v="15977"/>
        <n v="70955"/>
        <s v="s/ cadastro"/>
        <n v="14980"/>
        <n v="14407"/>
        <n v="7397"/>
        <n v="1114"/>
        <n v="9569"/>
        <s v="sem cadastro"/>
        <n v="9382"/>
        <n v="64429"/>
        <n v="12373"/>
        <n v="2518"/>
        <n v="71656"/>
        <n v="14751"/>
        <n v="66783"/>
        <n v="15210"/>
        <n v="9536"/>
        <n v="72008"/>
        <n v="12840"/>
        <n v="10650"/>
        <n v="10472"/>
        <n v="4848"/>
        <n v="11795"/>
        <n v="1559"/>
        <n v="1307"/>
        <n v="5240"/>
        <n v="10656"/>
        <n v="63264"/>
        <n v="9492"/>
        <n v="13762"/>
        <n v="14911"/>
        <n v="8942"/>
        <n v="70592"/>
        <n v="3271"/>
        <n v="8220"/>
        <n v="13390"/>
        <n v="4210"/>
        <n v="12765"/>
        <n v="71753"/>
        <n v="67666"/>
        <n v="72569"/>
        <n v="64714"/>
        <n v="1147"/>
        <n v="70619"/>
      </sharedItems>
    </cacheField>
    <cacheField name="FORNECEDOR" numFmtId="0">
      <sharedItems count="277">
        <s v="CONSERVAS ODERICH S/A"/>
        <s v="CRBS S/A"/>
        <s v="GSA GAMA SUCOS E ALIMENTOS LTDA"/>
        <s v="FRANCEFARMA INDUSTRIA DE COSMETICOS LTDA"/>
        <s v="FLORA PRODUTOS DE HIGIENE E LIMPEZA S/A"/>
        <s v="PEROLA DISTRIBUICAO E LOGISTICA SA"/>
        <s v="AGIL COM E DISTRIB ALIMENTOS LTDA"/>
        <s v="FRIGO SUINOS SOL NASCENTE LTDA"/>
        <s v="ITAMBE ALIMENTOS S/A"/>
        <s v="BRASSOL BRASILIA ALIMENTOS E SORVETES LT"/>
        <s v="FRUTAP ALIMENTOS S.A"/>
        <s v="JALLES MACHADO S/A"/>
        <s v="T E T COMERCIO E REPRESENTACAO LTDA"/>
        <s v="SORVETERIA CREME MEL LTDA"/>
        <s v="REFRESCOS BANDEIRANTES IND COM LTDA"/>
        <s v="AMORIX ALIMENTOS LTDA"/>
        <s v="NATURAL OLEOS VEGETAIS E ALIM LTDA"/>
        <s v="INDUSTRIA DE PLASTICOS DO VALE DO ITAJA "/>
        <s v="MINEIRA CEREAIS LTDA"/>
        <s v="AUTO QUALIDADE COMERCIO DE PEÇAS"/>
        <s v="PANDURATA ALIMENTOS LTDA"/>
        <s v="FANTE IND DE BEBIDAS LTDA"/>
        <s v="EDMAR VILELA LTDA"/>
        <s v="JR DISTRIBUICAO DE ALIMENTOS LTDA"/>
        <s v="JARAGUA ALIMENTOS EIRELI-ME"/>
        <s v="RIO VERMELHO DISTRIB DE ALIMENTOS"/>
        <s v="PAO CRISTAL IND E COM DE ALIMENTOS LTDA"/>
        <s v="COALA DO BRASIL LTDA"/>
        <s v="SEPAC SERRADOS E PASTA DE CELULOSE"/>
        <s v="COOPERATIVA CENTRAL MINEIRA DE LATICÍNIO"/>
        <s v="SUZANO PAPEL E CELULOSE S/A"/>
        <s v="ALPES INDUSTRIA E COMERCIO DE PLASTICOS LTDA"/>
        <s v="AJL-AGRONEGOCIO JOSIDITH LTDA"/>
        <s v="ZUPPANI INDUSTRIAL LTDA"/>
        <s v="DANONE LTDA"/>
        <s v="CAFE RANCHEIRO AGRO IND LTDA"/>
        <s v="EBEG EMBALAGENS E DESCARTAVEIS EIRELI"/>
        <s v="JOANAS DUTRA SOARES"/>
        <s v="FRUTICOLA POUSO ALEGRE EIRELI-ME"/>
        <s v="L &amp; R COMERCIO DE FRUTAS LTDA"/>
        <s v="A.S.E DISTRIBUICAO LTDA"/>
        <s v="RIO PRATA EMBALAGENS LTDA"/>
        <s v="SEARA ALIMENTOS S/A"/>
        <s v="ASA DO BRASIL IND COM  ENCART LTDA"/>
        <s v="PEROLA DISTRIBUICAO E LOGISTICA AS"/>
        <s v="DIST DE VERD E TRANSP KIMURA LTDA"/>
        <s v="INDUSTRIA E COMERCIO DE BEBIDAS IMPERIAL SA"/>
        <s v="PHISALIA DISTRIBUIDORA LTDA."/>
        <s v="LIFE INDUSTRIA E COMERCIO DE SUCOS LTDA"/>
        <s v="REFIL DISTRIBUICAO E LOGISTICA LTDA"/>
        <s v="BRINOX METALURGICA S.A"/>
        <s v="GRANJA LOYOLA LTDA"/>
        <s v="OBER S A INDUSTRIA E COMERCIO"/>
        <s v="MASTER ENERGETICA LTDA"/>
        <s v="FRUTICOLA CACIQUE LTDA"/>
        <s v="ARJO ALIMENTOS LTDA (RIGONALI ALIMENTOS)"/>
        <s v="EMBALAGENS PILOTO LTDA"/>
        <s v="JC DIST LOGIST IMPORT E EXP PROD IN"/>
        <s v="PEPSICO DO BRASIL LTDA"/>
        <s v="CAMIL ALIMENTOS S/A (AP GO)"/>
        <s v="MULTICANAL ATACADO LTDA"/>
        <s v="F &amp; F ATACADISTA LTDA"/>
        <s v="A CASA DA CENOURA LTDA-EPP"/>
        <s v="STA DISTRIBUIDORA DE ALIMENTOS LTDA"/>
        <s v="CARAMURU ALIMENTOS S.A"/>
        <s v="PROD ALIM ORLANDIA SA COM IND"/>
        <s v="ELZA INDUSTRIA E COMERCIO DE COSMETICOS "/>
        <s v="MONDELEZ BRASIL LTDA"/>
        <s v="KERGINALDO DE SOUSA BEZERRA"/>
        <s v="ZMR DISTRIBUIDORA DE COSMETICOS LTD"/>
        <s v="LORG DISTRIBUIÇÃO DE ALIMENTOS SAUDAVEIS LTDA"/>
        <s v="PONTELAND DISTRIBUICAO S/A"/>
        <s v="INDUSTRIA ANHEMBI S/A"/>
        <s v="LATICINIOS BELA VISTA LTDA"/>
        <s v="LATICINIOS TIROL LTDA"/>
        <s v="DISTRIBUIDORA TROPICAL AROMAS EIRELI"/>
        <s v="SAO SALVADOR ALIMENTOS S/A"/>
        <s v="GYNSOL DISTRIBUIDORA E LOGISTICA DE PRODUTOS ALIMENTICIOS LTDA"/>
        <s v="CICOPAL IND COM PRODS ALIM E HIGIEN"/>
        <s v="BOMBRIL SA"/>
        <s v="ARCOM S/A"/>
        <s v="TAK ATACADIST DE PROD DE HIGIENE LT"/>
        <s v="VETOR IMPORTADOR E DISTRIBUIDOR EIRELI"/>
        <s v="R3 SUPRIMENTOS CORPORATIVOS LTDA"/>
        <s v="CANAL DISTRIBUIDORA DE ALIMENTOS LTDA"/>
        <s v="JC DISTRIBUICAO LOGISTICA IMPORTACAO E EXPORTACAO DE PRODUTOS INDUSTRIALIZADOS LTDA"/>
        <s v="NESTLE BRASIL LTDA"/>
        <s v="GOIAS DISTRIBUIDORA DE ALIMENTOS LT"/>
        <s v="DOCE VIDA IND COM DE PROD ALIM NAT"/>
        <s v="WK PRODUTOS ALIMENTICIOS LTDA"/>
        <s v="REAL DISTRIB E LOGISTICA LTDA"/>
        <s v="FRIGORIFICO BERRANTE LTDA"/>
        <s v="STELLA DORO ALIMENTOS LTDA"/>
        <s v="PREDILECTA ALIMENTOS LTDA"/>
        <s v="MR.WISE COM E IMP DE ALIMENTOS LTDA"/>
        <s v="LATICINIOS LARA LTDA"/>
        <s v="UNILEVER BRASIL LTDA"/>
        <s v="FLUXO COMERCIO ATACADISTA DE PRODUTOS ALIMENTICIOS LTDA"/>
        <s v="CREMER SA"/>
        <s v="DEZ ALIMENTOS LTDA"/>
        <s v="PERFUMES DANA DO BRASIL S/A"/>
        <s v="IMPORTADORA DE FRUT LA VIOLET LTDA"/>
        <s v="ANA MARINHA LOBO RIBEIRO SKAF LTDA"/>
        <s v="MUNDIAL DISTRIBUIDORA DE PRODUTOS DE CON"/>
        <s v="AGROINDUSTRIA DE ALIMENTOS AVESUI LTDA"/>
        <s v="W DA S VAZ DISTRIBUIDORA DE MAMÃO"/>
        <s v="MG FRUTAS E LEGUMES LTDA"/>
        <s v="CIMAPI INDUST E COMER LTDA-MATRIZ"/>
        <s v="FABRICA DE CHOPP POTIGUAR GOIANIA LTDA"/>
        <s v="LACTOSUL INDUSTRIA DE LATICINIOS LTDA"/>
        <s v="REDE BRASIL DISTRIB LOGISTICA LTDA"/>
        <s v="BRF FOODS S/"/>
        <s v="PETAS CASEIRAS JOAO E MARIA LTDA"/>
        <s v="JULIANO CESAR DE SOUZA OLIVEIRA 03441064208"/>
        <s v="DISTRIB CENTRAL PROD ALIM LTDA"/>
        <s v="OASIS AUAS MINERAIS LTDA"/>
        <s v="LM IND COM IMP EXP LTDA"/>
        <s v="MARILAN ALIMENTOS S/A"/>
        <s v="YAKULT S/A. INDUSTRIA E COMERCIO"/>
        <s v="JILDEON DE OLIVEIRA NERI 05182141505"/>
        <s v="SUPER HORTI COM DE VERDURAS E LEGUMES"/>
        <s v="FVO BRASÍLIA INDUSTRIA E COMERCIO DE ALI"/>
        <s v="UNILEVER BRASIL LTDA (GELADO)"/>
        <s v="TREVO LACTEOS S.A"/>
        <s v="COMPANHIA ALIMENTICIA DO VALE"/>
        <s v="LINGUICAS MINERIM LTDA"/>
        <s v="QUIMICA AMPARO LTDA"/>
        <s v="GOIAS VERDE ALIMENTOS LTDA"/>
        <s v="MENDEZ ALIMENTOS LTDA"/>
        <s v="LATICINIO ARAGOIANIA LTDA -ME"/>
        <s v="LEO E MAR COM E IMP DE PR ALIM LTDA"/>
        <s v="MAE RAINHA INDUSTRIA E COMERCIO - EIRELI"/>
        <s v="FLORA DIST DE PR HIG E LIMP LTDA"/>
        <s v="3X PRODUTOS QUIMICOS LT"/>
        <s v="LG PALETES AMBIENTAL LTDA"/>
        <s v="LATICINIO MINAS GERAIS LTDA"/>
        <s v="ARMAZÉM DO QUEIJO COMÉRCIO DE LATICÍNIO LTDA"/>
        <s v="ALL NUTRI ALIMENTOS EIRELI."/>
        <s v="BRANNEVE IND E COMERCIO LTDA"/>
        <s v="LOLLY BABY PRODUTOS INFANTIS LTDA"/>
        <s v="CRUZEIRO ELABORACAO DE PRODUTOS DIVERSIFICADOS LTDA"/>
        <s v="ROAN ALIMENTOS LTDA"/>
        <s v="LATICINIOS PELEGRINE LTDA"/>
        <s v="CRYSTAL INDUSTRIA E COMERCIO DE BEBIDAS E ALIMENTOS LTDA"/>
        <s v="BUSCHLE ALIMENTOS EIRELI"/>
        <s v="LEO BERNARDES DA SILVA EIRELI - ME"/>
        <s v="DONA COTA ALIMENTOS LTDA-EPP"/>
        <s v="LACTALIS DO BRASIL-COMERCIO,IMPORTAÇÃO D"/>
        <s v="LOUIS DREYFUS COMMODITIES BR S A"/>
        <s v="CBA - COMERCIO DE PRODUTOS HOSPITALARES "/>
        <s v="JUNCO INDUSTRIA E COMERCIO LTDA"/>
        <s v="PERBONI FLV  S/A"/>
        <s v="FRIGORIFICO NUTRIBRAS LTDA"/>
        <s v="TRES CORACOES ALIMENTOS S.A"/>
        <s v="CARMEX INDUSTRIA DE DESCARTAVEIS LTDA"/>
        <s v="M DIAS BRANCO S.A. INDUSTRIA E COMERCIO DE ALIMENTOS"/>
        <s v="EPIFER EPI'S E FERRAMENTAS LTDA"/>
        <s v="GPACK COMÉRCIO DE EMBALAGENS LTDA"/>
        <s v="EMPRESA BRAS DE BEB E ALIM S/A"/>
        <s v="DNA PET GO DISTRIBUIDORA LTDA"/>
        <s v="LILLO DO BRASIL INDUSTRIA E COMERCIO DE "/>
        <s v="BETTANIN INDUSTRIAL S A"/>
        <s v="NÃO INFORMADO"/>
        <s v="SIOL ALIMENTOS LT"/>
        <s v="NACOM GOYA IND E COM ALIMENT LTDA"/>
        <s v="MASSA CIRIA ZAFITA EIRELI"/>
        <s v="EDVALDO CADAMURO"/>
        <s v="DIVINA PAMONHA - INDUSTRIA E COMERCIO DE"/>
        <s v="MAPP COMERCIO DE IMPORTACAO E EXPORTACAO E INDUSTRIA DE PRODUTOS ALIMENTICIOS EIRELI"/>
        <s v="WORLD SEG PRODUTOS PARA SEGURANÇA LTDA"/>
        <s v="ROSA DE OURO DIST E LOG LTDA"/>
        <s v="N R DISTRIBUIDORA DE MEDICAMENTOS LTDA"/>
        <s v="PLUS PACKING DO BRASIL INDUSTRIA E COMERCIO PLASTICOS LTDA"/>
        <s v="FOSFOREIRA BRASILEIRA S/A"/>
        <s v="A E B INDUSTRIA DE ALIMENTOS LTDA"/>
        <s v="CRISTAL ALIMENTOS LTDA             "/>
        <s v="DISTRIBUIDORA DE BANANAS TOPAZIL LTDA"/>
        <s v="LATICINIOS SUCESSO LTDA"/>
        <s v="ENCOPA-PANOS DE PRATO LTDA"/>
        <s v="ESTRELA DISTRIBUICAO EIRELI"/>
        <s v="M.W.A COM. DE PRODUTOS ALIMENT LTDA"/>
        <s v="BAGLEY DO BRASIL ALIMENTOS LTDA"/>
        <s v="BRINOX METALURGICA SA"/>
        <s v="CARGIL AGRICOLA S A GOIANI"/>
        <s v="CARGIL AGRICOLA S A"/>
        <s v="MOINHO REGIO ALIMENTOS S/A"/>
        <s v="CRIA SIM PRODUTOS DE HIGIENE LTDA"/>
        <s v="CVG COMPAHIA VOLTA GRANDE DE PAPEL"/>
        <s v="SO FRUTA ALIMENTOS LTDA"/>
        <s v="ALCAST DO BRASIL S/A"/>
        <s v="DISTRIBUIDORA MEMPHIS LTDA"/>
        <s v="BRINOX METARLUGICA S A"/>
        <s v="CRUSOE FOODS IND IMP E EXP LTDA"/>
        <s v="MARTINS COMERCIO E SERVIÇOS DE DISTRIBUI"/>
        <s v="PANEBRAS IND COM DE PROD ALIM LTDA"/>
        <s v="IRMAOS GARC COM DE HORTIF LTDA"/>
        <s v="FF MIX DISTRIBUIÇÃO LTDA"/>
        <s v="ZANLORENZI BEBIDAS LTDA"/>
        <s v="CHACARA DAS FOLHAGENS COMERCIO DE HORTIFRUTIGRANJEIROS EIRELI"/>
        <s v="DICASA IND. E COM. DE ALIMENTOS LTDA"/>
        <s v="INDUSTRIA E COMERCIO NOBRE LTDA-EPP"/>
        <s v="RACOES REIS DISTRIB DE ART PET LTDA"/>
        <s v="PRO NOVA DISTRIBUIDORA E COMERCIO DE COSMETICOS LTDA"/>
        <s v="FATEX INDUSTRIAL COMERCIAL IMP E EXP LTDA"/>
        <s v="PEROLA DISTRIBUICAO E LOGISTICA"/>
        <s v="ARTE TRIGO INDUSTRIAL LTDA"/>
        <s v=""/>
        <s v="POLENGHI INDUSTRIAS ALIMENTICIAS LT"/>
        <s v="COMERCIAL DE FRUTAS VLAE DE ESC"/>
        <s v="HELEN ALVES DE SALES"/>
        <s v="TEC BEL INDUSTRIA E COMERCIO DE COS"/>
        <s v="FABRICA DE DOCES JOACI LTDA-ME"/>
        <s v="PRIME PESCADOS E CONGELADOS LTDA"/>
        <s v="ALIMENTOS RAMOS INDUSTRIA SERVICOS E COMERCIO LTDA"/>
        <s v="BOMLIXO INDUSTRIA E COMERCIO EIRELI-EPP"/>
        <s v="LUIZ ANTONIO ALVES PEREIRA"/>
        <s v="SOBRAL INVICTA S/A"/>
        <s v="VETOR IMPORTADO E DISTRIBUIDOR EIRELI"/>
        <s v="PH COMERCIO ATACADISTA DE EMBALAGENS EIR"/>
        <s v="BRASINHA INDUST E DISTRIB LTDA ME"/>
        <s v="AGROPECUARIA SCHIO LTDA"/>
        <s v="SOTRIGO SOCIEDADE TRITICOLA GOIAS L"/>
        <s v="BADIN E FAVILLA LTDA ME"/>
        <s v="BELMA IND DE GENEROS ALIMENT LTDA"/>
        <s v="PEREIRA E LEAO DOCES LTDA-ME"/>
        <s v="MULTIMARCAS IND PRODS HIG LTDA"/>
        <s v="CARLOS MAGNO PEREIRA DA SILVA"/>
        <s v="DOM LEAO CONFECCOES EIRELI"/>
        <s v="ACAO DEZ DISTRIBUIÇÃO E LOGISTICA EIRELI"/>
        <s v="SANREMO S/A OK"/>
        <s v="LATICINIOS DIOLAC LTDA"/>
        <s v="SWEDISH MATCH DO BRASIL S A"/>
        <s v="FLORA PRODUTOS DE HIGIENE E LIMPEZA"/>
        <s v="COOPERATIVA MISTA DOS PROD RURAIS"/>
        <s v="TERMOLAR SA"/>
        <s v="BELAFRUTA ATACADISTA DE FRUTAS LTDA"/>
        <s v="FRUITMIX COM E IMP EXP LTDA"/>
        <s v="RN COMERCIO DE PRODUTOS ALIM LTDA"/>
        <s v="HAVAI ALIMENTOS E EMBALAGENS LTDA"/>
        <s v="SUPER PACK EMBALAGENS E FESTAS LTDA-ME"/>
        <s v="BRAGANCA INDUSTRIA COMERCIO DE CARNES EDERIVADOS EIRELI"/>
        <s v="FECULARIA LOPES LTDA"/>
        <s v="MARIA ALICE FERREIRA MONTEIRO-ME"/>
        <s v="LUMICENTER SISTEMAS ELETRONICOS DE ILUMI"/>
        <s v="GELO MINERAL INDUSTRIA E COM LTDA"/>
        <s v="LIMPPANO S A"/>
        <s v="JBS S/A"/>
        <s v="FUGINI ALIMENTOS LTDA CRISTALINA"/>
        <s v="ARCOR DO BRASIL LTDA"/>
        <s v="JACOBS DOUWE EGBERTS BR COMERC CAFES"/>
        <s v="IND E COM DE ALIM TRIANGULO LTDA"/>
        <s v="MOINHO CENTRO NORTE EIRELI"/>
        <s v="PRADELLA COMERCIO DE MASSAS EIRELI"/>
        <s v="GALLO BRASIL DISTRIBUICAO E COMERCIO LTDA"/>
        <s v="PRO OVOS COM GEN ALIMENTICIOS LTDA"/>
        <s v="MOVEIS DALCIN LTDA"/>
        <s v="MAPILA ALIMENTOS EIRELI-ME"/>
        <s v="R&amp;F ATACADISTA DE PROD ALIMENTICOS EIREL"/>
        <s v="MOCOCA S/A PROD ALIMENTICIOS"/>
        <s v="PACHECO DISTRIBUIÇÃO HORTIFRUTI LTDA"/>
        <s v="CIMEX DISTRIBUIDORA DE COSMETICOS LTDA"/>
        <s v="KUMAGAI E ARIMA LTDA"/>
        <s v="CERVEJARIA PETROPOLIS S/A"/>
        <s v="INDUSTRIA DE SUCOS 4 LEGUA LTDA"/>
        <s v="FRUTAS E VERDURAS AP"/>
        <s v="FVO BRASILIA IND E COM DE ALIM LTDA"/>
        <s v="HELBRAZ COMERCIO DE PAPELARIA EMBALAGENS"/>
        <s v="BERGAMO COMERCIO LTDA"/>
        <s v="L.A FERRETTI EIRELLI-EPP"/>
        <s v="INDUSTRIA DE DOCES REAL LTDA"/>
        <s v="FLAMBOYANT PARK HOTEL LTDA-ME"/>
        <s v="BERNARDES E ANDRADE ALIMENTOS LTDA ME"/>
        <s v="CEREALISTA MEDEIROS"/>
        <s v="ALEXANDRE ANTONIO GONÇALVES ME"/>
        <s v="VITA PACK ALIMENTOS LTDA"/>
        <s v="IND COM GEN ALIM BOLAMEL LTDA"/>
        <s v="TERMOLAR S/A"/>
      </sharedItems>
    </cacheField>
    <cacheField name="COMPRADOR" numFmtId="0">
      <sharedItems containsBlank="1" count="21">
        <s v="Leonardo"/>
        <s v="Sergio"/>
        <s v="Bruna"/>
        <s v="Isvania"/>
        <s v="Marcelo"/>
        <s v="Não Informado"/>
        <s v="Claudio"/>
        <s v="James"/>
        <s v="Edines"/>
        <s v="Daniela"/>
        <s v="Anisio/Geraldo"/>
        <s v="Patrimonio"/>
        <s v="Manoel"/>
        <s v="Pedro"/>
        <s v="Maralucia"/>
        <s v="Debora"/>
        <s v="Joelma"/>
        <s v="Mara"/>
        <s v="        Pedro"/>
        <s v="ANISIO"/>
        <m/>
      </sharedItems>
    </cacheField>
    <cacheField name="MOTIVO DA DEVOLUÇÃO" numFmtId="0">
      <sharedItems containsBlank="1" count="39">
        <s v="Chegando Sem Boleto"/>
        <s v="Divergência De Preço"/>
        <s v="Erro De Tributação"/>
        <s v="Falta De Mercadoria"/>
        <s v="Fora Do Agendamento"/>
        <s v="Fora Do Horário"/>
        <s v="Má Qualidade"/>
        <s v="Prazo De Validade"/>
        <s v="Produto inativo"/>
        <s v="Sem Pedido"/>
        <s v="Troca De Nf-falta de peso"/>
        <s v="Deixou A Nf E Não Voltou"/>
        <s v="Mercadoria batida/misturada"/>
        <s v="Mercadoria em desacordo com o pedido"/>
        <s v="Sem retorno do Fornecedor"/>
        <s v="Troca De Nf-falta de Mercadoria"/>
        <s v="Data de Emissão fora do prazo"/>
        <s v="Quantidade A Mais"/>
        <s v="Sem Espaço Para O Produto"/>
        <s v="Sem retorno do comprador"/>
        <s v="NF recusada - Contabilidade"/>
        <s v="Prazo De Validade do Produto"/>
        <s v="Sem Pedido - Comprador"/>
        <s v="Sem pedido - Fornecedor"/>
        <s v="Bloqueio Troca - Almoxarifado"/>
        <s v="Boleto vencido - Sem Retorno Fornecedor"/>
        <s v="Quantidade A Mais - Fornecedor"/>
        <s v="Motorista Não Aguardou"/>
        <s v="Não Informado"/>
        <s v="Pedido Feito no Dia - não autorizado"/>
        <s v="Pendencia Financeira - Sem Quitação Total"/>
        <s v="Prorrogação - Sem Retorno"/>
        <s v="Recebimento Não Conseguiu Receber"/>
        <s v="Bonificação em desacordo da nf de venda"/>
        <s v="NF Cancelada na Sefaz"/>
        <s v="Quantidade A Mais - Comprador"/>
        <s v="Boleto vencido - Sem Retorno Comprador"/>
        <s v="Boleto Sem Registro - Boleto Sem Desconto"/>
        <m u="1"/>
      </sharedItems>
    </cacheField>
    <cacheField name="AUTORIZADO POR:" numFmtId="0">
      <sharedItems containsBlank="1" count="81">
        <s v="JUSCELIA"/>
        <s v="CONTABILIDADE"/>
        <s v="RECEBIMENTO"/>
        <s v="MARCELO"/>
        <s v="ANDERSON"/>
        <s v="CLAUDIO"/>
        <s v="JAMES"/>
        <s v="BETANIA"/>
        <s v="LEONARDO"/>
        <s v="SERGIO"/>
        <s v="RENATA"/>
        <s v="DANIELA"/>
        <s v="SALA DE NOTAS"/>
        <s v="ANDERSON "/>
        <s v="RECEBIMENTO "/>
        <s v="RECEBIMENTOI"/>
        <s v="ANISIO"/>
        <s v="ISVANIA"/>
        <s v="AGENDAMENTO"/>
        <s v="ALICE"/>
        <s v="CONTABIL"/>
        <s v="AMANDA"/>
        <s v="BRUNO"/>
        <s v="BETANIA "/>
        <s v="RENATA "/>
        <s v="NÃO INFORMADO"/>
        <s v="ALMOXERIFADO"/>
        <s v="BRUNA"/>
        <s v="LEONADOR "/>
        <s v="JAMES "/>
        <s v="PATRIMONIO"/>
        <s v="EVELYN"/>
        <s v="FERNANDA"/>
        <s v="DANELA"/>
        <s v="CADASTRO"/>
        <s v="BRUNO AGEN"/>
        <s v="JULIETY"/>
        <s v="CONTAT"/>
        <s v="BERANIA"/>
        <s v="BARBARA"/>
        <s v="ISVANIA "/>
        <s v="RECEBIMETNO"/>
        <s v="juscelia "/>
        <s v="EDINES"/>
        <s v="FINANCEIRO"/>
        <s v="EVELY"/>
        <s v="FORN. CANCELOU"/>
        <s v="GABI"/>
        <s v="RECEBIMENT"/>
        <s v="MARCELO "/>
        <s v="Leonardo "/>
        <s v="CONTABILIDADE "/>
        <s v="MARA"/>
        <s v="PEDRO"/>
        <s v="FISCAL"/>
        <s v="REBEBIMENTO"/>
        <s v="FORNECEDOR"/>
        <s v="CLAUDIO "/>
        <s v="THIAGO "/>
        <s v="DEBORA"/>
        <s v="NOTAS"/>
        <s v="CANTABIL"/>
        <s v="EVILY"/>
        <s v="FINANCEIRO "/>
        <s v="ALMOXARIFADO"/>
        <s v="NOTAS "/>
        <s v="Ednes"/>
        <s v="PLANTAO"/>
        <s v="Anisio/Geraldo"/>
        <s v="NETO"/>
        <s v="contal"/>
        <s v="MARA "/>
        <s v="DEBORA "/>
        <s v="ELMA"/>
        <s v="LEORNADO "/>
        <s v="EVELLYN"/>
        <s v="JOELMA"/>
        <s v="fiscal "/>
        <s v="DEBORA COMPRADORA"/>
        <m u="1"/>
        <s v="LEORNADO" u="1"/>
      </sharedItems>
    </cacheField>
  </cacheFields>
  <extLst>
    <ext xmlns:x14="http://schemas.microsoft.com/office/spreadsheetml/2009/9/main" uri="{725AE2AE-9491-48be-B2B4-4EB974FC3084}">
      <x14:pivotCacheDefinition pivotCacheId="9401348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12">
  <r>
    <x v="0"/>
    <x v="0"/>
    <x v="0"/>
    <x v="0"/>
    <x v="0"/>
    <x v="0"/>
    <x v="0"/>
    <x v="0"/>
  </r>
  <r>
    <x v="0"/>
    <x v="0"/>
    <x v="1"/>
    <x v="0"/>
    <x v="0"/>
    <x v="0"/>
    <x v="0"/>
    <x v="0"/>
  </r>
  <r>
    <x v="1"/>
    <x v="0"/>
    <x v="2"/>
    <x v="1"/>
    <x v="1"/>
    <x v="1"/>
    <x v="1"/>
    <x v="0"/>
  </r>
  <r>
    <x v="2"/>
    <x v="0"/>
    <x v="3"/>
    <x v="1"/>
    <x v="1"/>
    <x v="1"/>
    <x v="1"/>
    <x v="0"/>
  </r>
  <r>
    <x v="3"/>
    <x v="0"/>
    <x v="4"/>
    <x v="1"/>
    <x v="1"/>
    <x v="1"/>
    <x v="1"/>
    <x v="0"/>
  </r>
  <r>
    <x v="1"/>
    <x v="0"/>
    <x v="5"/>
    <x v="2"/>
    <x v="2"/>
    <x v="2"/>
    <x v="2"/>
    <x v="1"/>
  </r>
  <r>
    <x v="0"/>
    <x v="0"/>
    <x v="6"/>
    <x v="2"/>
    <x v="2"/>
    <x v="2"/>
    <x v="2"/>
    <x v="1"/>
  </r>
  <r>
    <x v="0"/>
    <x v="0"/>
    <x v="7"/>
    <x v="3"/>
    <x v="3"/>
    <x v="3"/>
    <x v="3"/>
    <x v="2"/>
  </r>
  <r>
    <x v="0"/>
    <x v="0"/>
    <x v="8"/>
    <x v="3"/>
    <x v="3"/>
    <x v="3"/>
    <x v="3"/>
    <x v="2"/>
  </r>
  <r>
    <x v="2"/>
    <x v="0"/>
    <x v="9"/>
    <x v="4"/>
    <x v="4"/>
    <x v="4"/>
    <x v="4"/>
    <x v="3"/>
  </r>
  <r>
    <x v="2"/>
    <x v="0"/>
    <x v="10"/>
    <x v="4"/>
    <x v="4"/>
    <x v="4"/>
    <x v="4"/>
    <x v="3"/>
  </r>
  <r>
    <x v="4"/>
    <x v="0"/>
    <x v="11"/>
    <x v="5"/>
    <x v="5"/>
    <x v="5"/>
    <x v="5"/>
    <x v="2"/>
  </r>
  <r>
    <x v="4"/>
    <x v="0"/>
    <x v="12"/>
    <x v="5"/>
    <x v="5"/>
    <x v="5"/>
    <x v="5"/>
    <x v="2"/>
  </r>
  <r>
    <x v="4"/>
    <x v="0"/>
    <x v="13"/>
    <x v="5"/>
    <x v="5"/>
    <x v="5"/>
    <x v="5"/>
    <x v="2"/>
  </r>
  <r>
    <x v="4"/>
    <x v="0"/>
    <x v="14"/>
    <x v="5"/>
    <x v="5"/>
    <x v="5"/>
    <x v="5"/>
    <x v="2"/>
  </r>
  <r>
    <x v="0"/>
    <x v="0"/>
    <x v="15"/>
    <x v="1"/>
    <x v="1"/>
    <x v="1"/>
    <x v="5"/>
    <x v="4"/>
  </r>
  <r>
    <x v="0"/>
    <x v="0"/>
    <x v="16"/>
    <x v="1"/>
    <x v="1"/>
    <x v="1"/>
    <x v="5"/>
    <x v="4"/>
  </r>
  <r>
    <x v="0"/>
    <x v="0"/>
    <x v="17"/>
    <x v="1"/>
    <x v="1"/>
    <x v="1"/>
    <x v="5"/>
    <x v="4"/>
  </r>
  <r>
    <x v="0"/>
    <x v="0"/>
    <x v="18"/>
    <x v="1"/>
    <x v="1"/>
    <x v="1"/>
    <x v="5"/>
    <x v="4"/>
  </r>
  <r>
    <x v="0"/>
    <x v="0"/>
    <x v="19"/>
    <x v="1"/>
    <x v="1"/>
    <x v="1"/>
    <x v="5"/>
    <x v="4"/>
  </r>
  <r>
    <x v="0"/>
    <x v="0"/>
    <x v="20"/>
    <x v="1"/>
    <x v="1"/>
    <x v="1"/>
    <x v="5"/>
    <x v="4"/>
  </r>
  <r>
    <x v="0"/>
    <x v="0"/>
    <x v="21"/>
    <x v="1"/>
    <x v="1"/>
    <x v="1"/>
    <x v="5"/>
    <x v="4"/>
  </r>
  <r>
    <x v="0"/>
    <x v="0"/>
    <x v="22"/>
    <x v="1"/>
    <x v="1"/>
    <x v="1"/>
    <x v="5"/>
    <x v="4"/>
  </r>
  <r>
    <x v="0"/>
    <x v="0"/>
    <x v="23"/>
    <x v="1"/>
    <x v="1"/>
    <x v="1"/>
    <x v="5"/>
    <x v="4"/>
  </r>
  <r>
    <x v="0"/>
    <x v="0"/>
    <x v="24"/>
    <x v="1"/>
    <x v="1"/>
    <x v="1"/>
    <x v="5"/>
    <x v="4"/>
  </r>
  <r>
    <x v="0"/>
    <x v="0"/>
    <x v="25"/>
    <x v="1"/>
    <x v="1"/>
    <x v="1"/>
    <x v="5"/>
    <x v="4"/>
  </r>
  <r>
    <x v="0"/>
    <x v="0"/>
    <x v="26"/>
    <x v="1"/>
    <x v="1"/>
    <x v="1"/>
    <x v="5"/>
    <x v="4"/>
  </r>
  <r>
    <x v="0"/>
    <x v="0"/>
    <x v="27"/>
    <x v="1"/>
    <x v="1"/>
    <x v="1"/>
    <x v="5"/>
    <x v="4"/>
  </r>
  <r>
    <x v="0"/>
    <x v="0"/>
    <x v="28"/>
    <x v="1"/>
    <x v="1"/>
    <x v="1"/>
    <x v="5"/>
    <x v="4"/>
  </r>
  <r>
    <x v="0"/>
    <x v="0"/>
    <x v="29"/>
    <x v="1"/>
    <x v="1"/>
    <x v="1"/>
    <x v="5"/>
    <x v="4"/>
  </r>
  <r>
    <x v="0"/>
    <x v="0"/>
    <x v="30"/>
    <x v="1"/>
    <x v="1"/>
    <x v="1"/>
    <x v="5"/>
    <x v="4"/>
  </r>
  <r>
    <x v="0"/>
    <x v="0"/>
    <x v="31"/>
    <x v="1"/>
    <x v="1"/>
    <x v="1"/>
    <x v="5"/>
    <x v="4"/>
  </r>
  <r>
    <x v="0"/>
    <x v="0"/>
    <x v="32"/>
    <x v="1"/>
    <x v="1"/>
    <x v="1"/>
    <x v="5"/>
    <x v="4"/>
  </r>
  <r>
    <x v="0"/>
    <x v="0"/>
    <x v="33"/>
    <x v="1"/>
    <x v="1"/>
    <x v="1"/>
    <x v="5"/>
    <x v="4"/>
  </r>
  <r>
    <x v="0"/>
    <x v="0"/>
    <x v="34"/>
    <x v="1"/>
    <x v="1"/>
    <x v="1"/>
    <x v="5"/>
    <x v="4"/>
  </r>
  <r>
    <x v="0"/>
    <x v="0"/>
    <x v="35"/>
    <x v="1"/>
    <x v="1"/>
    <x v="1"/>
    <x v="5"/>
    <x v="4"/>
  </r>
  <r>
    <x v="0"/>
    <x v="0"/>
    <x v="36"/>
    <x v="1"/>
    <x v="1"/>
    <x v="1"/>
    <x v="5"/>
    <x v="4"/>
  </r>
  <r>
    <x v="0"/>
    <x v="0"/>
    <x v="37"/>
    <x v="1"/>
    <x v="1"/>
    <x v="1"/>
    <x v="5"/>
    <x v="4"/>
  </r>
  <r>
    <x v="0"/>
    <x v="0"/>
    <x v="38"/>
    <x v="1"/>
    <x v="1"/>
    <x v="1"/>
    <x v="5"/>
    <x v="4"/>
  </r>
  <r>
    <x v="0"/>
    <x v="0"/>
    <x v="39"/>
    <x v="1"/>
    <x v="1"/>
    <x v="1"/>
    <x v="5"/>
    <x v="4"/>
  </r>
  <r>
    <x v="0"/>
    <x v="0"/>
    <x v="40"/>
    <x v="1"/>
    <x v="1"/>
    <x v="1"/>
    <x v="5"/>
    <x v="4"/>
  </r>
  <r>
    <x v="0"/>
    <x v="0"/>
    <x v="41"/>
    <x v="1"/>
    <x v="1"/>
    <x v="1"/>
    <x v="5"/>
    <x v="4"/>
  </r>
  <r>
    <x v="0"/>
    <x v="0"/>
    <x v="42"/>
    <x v="1"/>
    <x v="1"/>
    <x v="1"/>
    <x v="5"/>
    <x v="4"/>
  </r>
  <r>
    <x v="0"/>
    <x v="0"/>
    <x v="43"/>
    <x v="1"/>
    <x v="1"/>
    <x v="1"/>
    <x v="5"/>
    <x v="4"/>
  </r>
  <r>
    <x v="0"/>
    <x v="0"/>
    <x v="44"/>
    <x v="1"/>
    <x v="1"/>
    <x v="1"/>
    <x v="5"/>
    <x v="4"/>
  </r>
  <r>
    <x v="0"/>
    <x v="0"/>
    <x v="45"/>
    <x v="1"/>
    <x v="1"/>
    <x v="1"/>
    <x v="5"/>
    <x v="4"/>
  </r>
  <r>
    <x v="0"/>
    <x v="0"/>
    <x v="46"/>
    <x v="1"/>
    <x v="1"/>
    <x v="1"/>
    <x v="5"/>
    <x v="4"/>
  </r>
  <r>
    <x v="0"/>
    <x v="0"/>
    <x v="47"/>
    <x v="1"/>
    <x v="1"/>
    <x v="1"/>
    <x v="5"/>
    <x v="4"/>
  </r>
  <r>
    <x v="0"/>
    <x v="0"/>
    <x v="48"/>
    <x v="1"/>
    <x v="1"/>
    <x v="1"/>
    <x v="5"/>
    <x v="4"/>
  </r>
  <r>
    <x v="0"/>
    <x v="0"/>
    <x v="49"/>
    <x v="1"/>
    <x v="1"/>
    <x v="1"/>
    <x v="5"/>
    <x v="4"/>
  </r>
  <r>
    <x v="0"/>
    <x v="0"/>
    <x v="50"/>
    <x v="1"/>
    <x v="1"/>
    <x v="1"/>
    <x v="5"/>
    <x v="4"/>
  </r>
  <r>
    <x v="0"/>
    <x v="0"/>
    <x v="51"/>
    <x v="1"/>
    <x v="1"/>
    <x v="1"/>
    <x v="5"/>
    <x v="4"/>
  </r>
  <r>
    <x v="0"/>
    <x v="0"/>
    <x v="52"/>
    <x v="1"/>
    <x v="1"/>
    <x v="1"/>
    <x v="5"/>
    <x v="4"/>
  </r>
  <r>
    <x v="0"/>
    <x v="0"/>
    <x v="53"/>
    <x v="1"/>
    <x v="1"/>
    <x v="1"/>
    <x v="5"/>
    <x v="4"/>
  </r>
  <r>
    <x v="0"/>
    <x v="0"/>
    <x v="54"/>
    <x v="1"/>
    <x v="1"/>
    <x v="1"/>
    <x v="5"/>
    <x v="4"/>
  </r>
  <r>
    <x v="0"/>
    <x v="0"/>
    <x v="55"/>
    <x v="1"/>
    <x v="1"/>
    <x v="1"/>
    <x v="5"/>
    <x v="4"/>
  </r>
  <r>
    <x v="0"/>
    <x v="0"/>
    <x v="56"/>
    <x v="1"/>
    <x v="1"/>
    <x v="1"/>
    <x v="5"/>
    <x v="4"/>
  </r>
  <r>
    <x v="0"/>
    <x v="0"/>
    <x v="57"/>
    <x v="1"/>
    <x v="1"/>
    <x v="1"/>
    <x v="5"/>
    <x v="4"/>
  </r>
  <r>
    <x v="0"/>
    <x v="0"/>
    <x v="58"/>
    <x v="1"/>
    <x v="1"/>
    <x v="1"/>
    <x v="5"/>
    <x v="4"/>
  </r>
  <r>
    <x v="0"/>
    <x v="0"/>
    <x v="59"/>
    <x v="1"/>
    <x v="1"/>
    <x v="1"/>
    <x v="5"/>
    <x v="4"/>
  </r>
  <r>
    <x v="0"/>
    <x v="0"/>
    <x v="60"/>
    <x v="1"/>
    <x v="1"/>
    <x v="1"/>
    <x v="5"/>
    <x v="4"/>
  </r>
  <r>
    <x v="0"/>
    <x v="0"/>
    <x v="61"/>
    <x v="1"/>
    <x v="1"/>
    <x v="1"/>
    <x v="5"/>
    <x v="4"/>
  </r>
  <r>
    <x v="0"/>
    <x v="0"/>
    <x v="62"/>
    <x v="1"/>
    <x v="1"/>
    <x v="1"/>
    <x v="5"/>
    <x v="4"/>
  </r>
  <r>
    <x v="0"/>
    <x v="0"/>
    <x v="63"/>
    <x v="1"/>
    <x v="1"/>
    <x v="1"/>
    <x v="5"/>
    <x v="4"/>
  </r>
  <r>
    <x v="0"/>
    <x v="0"/>
    <x v="64"/>
    <x v="1"/>
    <x v="1"/>
    <x v="1"/>
    <x v="5"/>
    <x v="4"/>
  </r>
  <r>
    <x v="0"/>
    <x v="0"/>
    <x v="65"/>
    <x v="1"/>
    <x v="1"/>
    <x v="1"/>
    <x v="5"/>
    <x v="4"/>
  </r>
  <r>
    <x v="0"/>
    <x v="0"/>
    <x v="66"/>
    <x v="1"/>
    <x v="1"/>
    <x v="1"/>
    <x v="5"/>
    <x v="4"/>
  </r>
  <r>
    <x v="0"/>
    <x v="0"/>
    <x v="67"/>
    <x v="1"/>
    <x v="1"/>
    <x v="1"/>
    <x v="5"/>
    <x v="4"/>
  </r>
  <r>
    <x v="0"/>
    <x v="0"/>
    <x v="68"/>
    <x v="1"/>
    <x v="1"/>
    <x v="1"/>
    <x v="5"/>
    <x v="4"/>
  </r>
  <r>
    <x v="0"/>
    <x v="0"/>
    <x v="69"/>
    <x v="1"/>
    <x v="1"/>
    <x v="1"/>
    <x v="5"/>
    <x v="4"/>
  </r>
  <r>
    <x v="0"/>
    <x v="0"/>
    <x v="70"/>
    <x v="1"/>
    <x v="1"/>
    <x v="1"/>
    <x v="5"/>
    <x v="4"/>
  </r>
  <r>
    <x v="0"/>
    <x v="0"/>
    <x v="71"/>
    <x v="1"/>
    <x v="1"/>
    <x v="1"/>
    <x v="5"/>
    <x v="4"/>
  </r>
  <r>
    <x v="0"/>
    <x v="0"/>
    <x v="72"/>
    <x v="1"/>
    <x v="1"/>
    <x v="1"/>
    <x v="5"/>
    <x v="4"/>
  </r>
  <r>
    <x v="0"/>
    <x v="0"/>
    <x v="73"/>
    <x v="1"/>
    <x v="1"/>
    <x v="1"/>
    <x v="5"/>
    <x v="4"/>
  </r>
  <r>
    <x v="0"/>
    <x v="0"/>
    <x v="74"/>
    <x v="1"/>
    <x v="1"/>
    <x v="1"/>
    <x v="5"/>
    <x v="4"/>
  </r>
  <r>
    <x v="0"/>
    <x v="0"/>
    <x v="75"/>
    <x v="1"/>
    <x v="1"/>
    <x v="1"/>
    <x v="5"/>
    <x v="4"/>
  </r>
  <r>
    <x v="0"/>
    <x v="0"/>
    <x v="76"/>
    <x v="1"/>
    <x v="1"/>
    <x v="1"/>
    <x v="5"/>
    <x v="4"/>
  </r>
  <r>
    <x v="0"/>
    <x v="0"/>
    <x v="77"/>
    <x v="1"/>
    <x v="1"/>
    <x v="1"/>
    <x v="5"/>
    <x v="4"/>
  </r>
  <r>
    <x v="0"/>
    <x v="0"/>
    <x v="78"/>
    <x v="1"/>
    <x v="1"/>
    <x v="1"/>
    <x v="5"/>
    <x v="4"/>
  </r>
  <r>
    <x v="0"/>
    <x v="0"/>
    <x v="79"/>
    <x v="1"/>
    <x v="1"/>
    <x v="1"/>
    <x v="5"/>
    <x v="4"/>
  </r>
  <r>
    <x v="0"/>
    <x v="0"/>
    <x v="80"/>
    <x v="1"/>
    <x v="1"/>
    <x v="1"/>
    <x v="5"/>
    <x v="4"/>
  </r>
  <r>
    <x v="0"/>
    <x v="0"/>
    <x v="81"/>
    <x v="1"/>
    <x v="1"/>
    <x v="1"/>
    <x v="5"/>
    <x v="4"/>
  </r>
  <r>
    <x v="0"/>
    <x v="0"/>
    <x v="82"/>
    <x v="1"/>
    <x v="1"/>
    <x v="1"/>
    <x v="5"/>
    <x v="4"/>
  </r>
  <r>
    <x v="0"/>
    <x v="0"/>
    <x v="83"/>
    <x v="1"/>
    <x v="1"/>
    <x v="1"/>
    <x v="5"/>
    <x v="4"/>
  </r>
  <r>
    <x v="0"/>
    <x v="0"/>
    <x v="84"/>
    <x v="1"/>
    <x v="1"/>
    <x v="1"/>
    <x v="5"/>
    <x v="4"/>
  </r>
  <r>
    <x v="0"/>
    <x v="0"/>
    <x v="85"/>
    <x v="1"/>
    <x v="1"/>
    <x v="1"/>
    <x v="5"/>
    <x v="4"/>
  </r>
  <r>
    <x v="0"/>
    <x v="0"/>
    <x v="86"/>
    <x v="1"/>
    <x v="1"/>
    <x v="1"/>
    <x v="5"/>
    <x v="4"/>
  </r>
  <r>
    <x v="0"/>
    <x v="0"/>
    <x v="87"/>
    <x v="1"/>
    <x v="1"/>
    <x v="1"/>
    <x v="5"/>
    <x v="4"/>
  </r>
  <r>
    <x v="0"/>
    <x v="0"/>
    <x v="88"/>
    <x v="1"/>
    <x v="1"/>
    <x v="1"/>
    <x v="5"/>
    <x v="4"/>
  </r>
  <r>
    <x v="0"/>
    <x v="0"/>
    <x v="89"/>
    <x v="1"/>
    <x v="1"/>
    <x v="1"/>
    <x v="5"/>
    <x v="4"/>
  </r>
  <r>
    <x v="0"/>
    <x v="0"/>
    <x v="90"/>
    <x v="1"/>
    <x v="1"/>
    <x v="1"/>
    <x v="5"/>
    <x v="4"/>
  </r>
  <r>
    <x v="0"/>
    <x v="0"/>
    <x v="91"/>
    <x v="1"/>
    <x v="1"/>
    <x v="1"/>
    <x v="5"/>
    <x v="4"/>
  </r>
  <r>
    <x v="0"/>
    <x v="0"/>
    <x v="92"/>
    <x v="1"/>
    <x v="1"/>
    <x v="1"/>
    <x v="5"/>
    <x v="4"/>
  </r>
  <r>
    <x v="0"/>
    <x v="0"/>
    <x v="93"/>
    <x v="1"/>
    <x v="1"/>
    <x v="1"/>
    <x v="5"/>
    <x v="4"/>
  </r>
  <r>
    <x v="0"/>
    <x v="0"/>
    <x v="94"/>
    <x v="1"/>
    <x v="1"/>
    <x v="1"/>
    <x v="5"/>
    <x v="4"/>
  </r>
  <r>
    <x v="0"/>
    <x v="0"/>
    <x v="95"/>
    <x v="1"/>
    <x v="1"/>
    <x v="1"/>
    <x v="5"/>
    <x v="4"/>
  </r>
  <r>
    <x v="0"/>
    <x v="0"/>
    <x v="96"/>
    <x v="1"/>
    <x v="1"/>
    <x v="1"/>
    <x v="5"/>
    <x v="4"/>
  </r>
  <r>
    <x v="0"/>
    <x v="0"/>
    <x v="97"/>
    <x v="1"/>
    <x v="1"/>
    <x v="1"/>
    <x v="5"/>
    <x v="4"/>
  </r>
  <r>
    <x v="0"/>
    <x v="0"/>
    <x v="98"/>
    <x v="1"/>
    <x v="1"/>
    <x v="1"/>
    <x v="5"/>
    <x v="4"/>
  </r>
  <r>
    <x v="3"/>
    <x v="0"/>
    <x v="99"/>
    <x v="6"/>
    <x v="6"/>
    <x v="6"/>
    <x v="6"/>
    <x v="5"/>
  </r>
  <r>
    <x v="4"/>
    <x v="0"/>
    <x v="100"/>
    <x v="7"/>
    <x v="7"/>
    <x v="5"/>
    <x v="7"/>
    <x v="2"/>
  </r>
  <r>
    <x v="2"/>
    <x v="0"/>
    <x v="101"/>
    <x v="1"/>
    <x v="1"/>
    <x v="1"/>
    <x v="8"/>
    <x v="2"/>
  </r>
  <r>
    <x v="2"/>
    <x v="0"/>
    <x v="102"/>
    <x v="1"/>
    <x v="1"/>
    <x v="1"/>
    <x v="8"/>
    <x v="2"/>
  </r>
  <r>
    <x v="2"/>
    <x v="0"/>
    <x v="103"/>
    <x v="1"/>
    <x v="1"/>
    <x v="1"/>
    <x v="8"/>
    <x v="2"/>
  </r>
  <r>
    <x v="1"/>
    <x v="0"/>
    <x v="104"/>
    <x v="8"/>
    <x v="8"/>
    <x v="7"/>
    <x v="9"/>
    <x v="6"/>
  </r>
  <r>
    <x v="2"/>
    <x v="0"/>
    <x v="105"/>
    <x v="8"/>
    <x v="8"/>
    <x v="7"/>
    <x v="9"/>
    <x v="6"/>
  </r>
  <r>
    <x v="1"/>
    <x v="0"/>
    <x v="106"/>
    <x v="1"/>
    <x v="1"/>
    <x v="1"/>
    <x v="9"/>
    <x v="0"/>
  </r>
  <r>
    <x v="1"/>
    <x v="0"/>
    <x v="107"/>
    <x v="1"/>
    <x v="1"/>
    <x v="1"/>
    <x v="9"/>
    <x v="0"/>
  </r>
  <r>
    <x v="2"/>
    <x v="0"/>
    <x v="108"/>
    <x v="1"/>
    <x v="1"/>
    <x v="1"/>
    <x v="9"/>
    <x v="0"/>
  </r>
  <r>
    <x v="3"/>
    <x v="0"/>
    <x v="109"/>
    <x v="2"/>
    <x v="2"/>
    <x v="3"/>
    <x v="9"/>
    <x v="0"/>
  </r>
  <r>
    <x v="3"/>
    <x v="0"/>
    <x v="110"/>
    <x v="1"/>
    <x v="1"/>
    <x v="1"/>
    <x v="9"/>
    <x v="0"/>
  </r>
  <r>
    <x v="0"/>
    <x v="0"/>
    <x v="111"/>
    <x v="9"/>
    <x v="9"/>
    <x v="7"/>
    <x v="9"/>
    <x v="0"/>
  </r>
  <r>
    <x v="3"/>
    <x v="0"/>
    <x v="112"/>
    <x v="10"/>
    <x v="10"/>
    <x v="7"/>
    <x v="9"/>
    <x v="0"/>
  </r>
  <r>
    <x v="2"/>
    <x v="0"/>
    <x v="113"/>
    <x v="6"/>
    <x v="6"/>
    <x v="8"/>
    <x v="10"/>
    <x v="2"/>
  </r>
  <r>
    <x v="0"/>
    <x v="0"/>
    <x v="114"/>
    <x v="11"/>
    <x v="11"/>
    <x v="8"/>
    <x v="10"/>
    <x v="2"/>
  </r>
  <r>
    <x v="3"/>
    <x v="1"/>
    <x v="115"/>
    <x v="12"/>
    <x v="12"/>
    <x v="7"/>
    <x v="11"/>
    <x v="4"/>
  </r>
  <r>
    <x v="3"/>
    <x v="1"/>
    <x v="116"/>
    <x v="12"/>
    <x v="12"/>
    <x v="7"/>
    <x v="11"/>
    <x v="4"/>
  </r>
  <r>
    <x v="3"/>
    <x v="1"/>
    <x v="117"/>
    <x v="12"/>
    <x v="12"/>
    <x v="7"/>
    <x v="11"/>
    <x v="4"/>
  </r>
  <r>
    <x v="0"/>
    <x v="1"/>
    <x v="118"/>
    <x v="13"/>
    <x v="13"/>
    <x v="7"/>
    <x v="11"/>
    <x v="2"/>
  </r>
  <r>
    <x v="0"/>
    <x v="1"/>
    <x v="119"/>
    <x v="14"/>
    <x v="14"/>
    <x v="1"/>
    <x v="1"/>
    <x v="7"/>
  </r>
  <r>
    <x v="3"/>
    <x v="1"/>
    <x v="120"/>
    <x v="15"/>
    <x v="15"/>
    <x v="6"/>
    <x v="3"/>
    <x v="5"/>
  </r>
  <r>
    <x v="4"/>
    <x v="1"/>
    <x v="121"/>
    <x v="16"/>
    <x v="16"/>
    <x v="0"/>
    <x v="4"/>
    <x v="8"/>
  </r>
  <r>
    <x v="4"/>
    <x v="1"/>
    <x v="122"/>
    <x v="16"/>
    <x v="16"/>
    <x v="0"/>
    <x v="4"/>
    <x v="8"/>
  </r>
  <r>
    <x v="1"/>
    <x v="1"/>
    <x v="123"/>
    <x v="13"/>
    <x v="13"/>
    <x v="7"/>
    <x v="5"/>
    <x v="6"/>
  </r>
  <r>
    <x v="4"/>
    <x v="1"/>
    <x v="124"/>
    <x v="17"/>
    <x v="17"/>
    <x v="2"/>
    <x v="5"/>
    <x v="2"/>
  </r>
  <r>
    <x v="4"/>
    <x v="1"/>
    <x v="125"/>
    <x v="12"/>
    <x v="12"/>
    <x v="7"/>
    <x v="5"/>
    <x v="2"/>
  </r>
  <r>
    <x v="4"/>
    <x v="1"/>
    <x v="126"/>
    <x v="12"/>
    <x v="12"/>
    <x v="7"/>
    <x v="5"/>
    <x v="2"/>
  </r>
  <r>
    <x v="4"/>
    <x v="1"/>
    <x v="127"/>
    <x v="12"/>
    <x v="12"/>
    <x v="7"/>
    <x v="5"/>
    <x v="2"/>
  </r>
  <r>
    <x v="4"/>
    <x v="1"/>
    <x v="128"/>
    <x v="18"/>
    <x v="18"/>
    <x v="0"/>
    <x v="5"/>
    <x v="4"/>
  </r>
  <r>
    <x v="4"/>
    <x v="1"/>
    <x v="129"/>
    <x v="19"/>
    <x v="19"/>
    <x v="0"/>
    <x v="5"/>
    <x v="4"/>
  </r>
  <r>
    <x v="1"/>
    <x v="1"/>
    <x v="130"/>
    <x v="20"/>
    <x v="20"/>
    <x v="0"/>
    <x v="5"/>
    <x v="2"/>
  </r>
  <r>
    <x v="1"/>
    <x v="1"/>
    <x v="131"/>
    <x v="20"/>
    <x v="20"/>
    <x v="0"/>
    <x v="5"/>
    <x v="2"/>
  </r>
  <r>
    <x v="1"/>
    <x v="1"/>
    <x v="132"/>
    <x v="20"/>
    <x v="20"/>
    <x v="0"/>
    <x v="5"/>
    <x v="2"/>
  </r>
  <r>
    <x v="4"/>
    <x v="1"/>
    <x v="133"/>
    <x v="1"/>
    <x v="1"/>
    <x v="1"/>
    <x v="7"/>
    <x v="2"/>
  </r>
  <r>
    <x v="4"/>
    <x v="1"/>
    <x v="134"/>
    <x v="14"/>
    <x v="14"/>
    <x v="1"/>
    <x v="7"/>
    <x v="2"/>
  </r>
  <r>
    <x v="4"/>
    <x v="1"/>
    <x v="135"/>
    <x v="21"/>
    <x v="21"/>
    <x v="1"/>
    <x v="9"/>
    <x v="9"/>
  </r>
  <r>
    <x v="1"/>
    <x v="1"/>
    <x v="136"/>
    <x v="22"/>
    <x v="22"/>
    <x v="7"/>
    <x v="9"/>
    <x v="7"/>
  </r>
  <r>
    <x v="1"/>
    <x v="1"/>
    <x v="137"/>
    <x v="22"/>
    <x v="22"/>
    <x v="7"/>
    <x v="9"/>
    <x v="7"/>
  </r>
  <r>
    <x v="3"/>
    <x v="1"/>
    <x v="138"/>
    <x v="23"/>
    <x v="23"/>
    <x v="0"/>
    <x v="9"/>
    <x v="7"/>
  </r>
  <r>
    <x v="3"/>
    <x v="1"/>
    <x v="120"/>
    <x v="15"/>
    <x v="15"/>
    <x v="6"/>
    <x v="9"/>
    <x v="5"/>
  </r>
  <r>
    <x v="0"/>
    <x v="1"/>
    <x v="111"/>
    <x v="9"/>
    <x v="9"/>
    <x v="7"/>
    <x v="9"/>
    <x v="7"/>
  </r>
  <r>
    <x v="2"/>
    <x v="1"/>
    <x v="139"/>
    <x v="14"/>
    <x v="14"/>
    <x v="1"/>
    <x v="9"/>
    <x v="9"/>
  </r>
  <r>
    <x v="4"/>
    <x v="1"/>
    <x v="140"/>
    <x v="1"/>
    <x v="1"/>
    <x v="1"/>
    <x v="9"/>
    <x v="2"/>
  </r>
  <r>
    <x v="4"/>
    <x v="1"/>
    <x v="141"/>
    <x v="1"/>
    <x v="1"/>
    <x v="1"/>
    <x v="9"/>
    <x v="2"/>
  </r>
  <r>
    <x v="4"/>
    <x v="1"/>
    <x v="142"/>
    <x v="14"/>
    <x v="14"/>
    <x v="1"/>
    <x v="9"/>
    <x v="7"/>
  </r>
  <r>
    <x v="3"/>
    <x v="1"/>
    <x v="143"/>
    <x v="24"/>
    <x v="24"/>
    <x v="8"/>
    <x v="10"/>
    <x v="2"/>
  </r>
  <r>
    <x v="0"/>
    <x v="1"/>
    <x v="144"/>
    <x v="24"/>
    <x v="24"/>
    <x v="8"/>
    <x v="10"/>
    <x v="2"/>
  </r>
  <r>
    <x v="2"/>
    <x v="2"/>
    <x v="145"/>
    <x v="25"/>
    <x v="25"/>
    <x v="6"/>
    <x v="11"/>
    <x v="2"/>
  </r>
  <r>
    <x v="0"/>
    <x v="2"/>
    <x v="146"/>
    <x v="26"/>
    <x v="26"/>
    <x v="8"/>
    <x v="11"/>
    <x v="2"/>
  </r>
  <r>
    <x v="2"/>
    <x v="2"/>
    <x v="147"/>
    <x v="26"/>
    <x v="26"/>
    <x v="8"/>
    <x v="11"/>
    <x v="2"/>
  </r>
  <r>
    <x v="4"/>
    <x v="2"/>
    <x v="148"/>
    <x v="27"/>
    <x v="27"/>
    <x v="3"/>
    <x v="1"/>
    <x v="7"/>
  </r>
  <r>
    <x v="4"/>
    <x v="2"/>
    <x v="149"/>
    <x v="27"/>
    <x v="27"/>
    <x v="3"/>
    <x v="1"/>
    <x v="7"/>
  </r>
  <r>
    <x v="4"/>
    <x v="2"/>
    <x v="150"/>
    <x v="27"/>
    <x v="27"/>
    <x v="3"/>
    <x v="1"/>
    <x v="7"/>
  </r>
  <r>
    <x v="1"/>
    <x v="2"/>
    <x v="151"/>
    <x v="21"/>
    <x v="21"/>
    <x v="1"/>
    <x v="1"/>
    <x v="7"/>
  </r>
  <r>
    <x v="0"/>
    <x v="2"/>
    <x v="152"/>
    <x v="1"/>
    <x v="1"/>
    <x v="1"/>
    <x v="1"/>
    <x v="7"/>
  </r>
  <r>
    <x v="0"/>
    <x v="2"/>
    <x v="153"/>
    <x v="24"/>
    <x v="24"/>
    <x v="8"/>
    <x v="3"/>
    <x v="2"/>
  </r>
  <r>
    <x v="0"/>
    <x v="2"/>
    <x v="154"/>
    <x v="4"/>
    <x v="4"/>
    <x v="4"/>
    <x v="4"/>
    <x v="7"/>
  </r>
  <r>
    <x v="0"/>
    <x v="2"/>
    <x v="155"/>
    <x v="4"/>
    <x v="4"/>
    <x v="4"/>
    <x v="4"/>
    <x v="7"/>
  </r>
  <r>
    <x v="2"/>
    <x v="2"/>
    <x v="156"/>
    <x v="4"/>
    <x v="4"/>
    <x v="1"/>
    <x v="4"/>
    <x v="10"/>
  </r>
  <r>
    <x v="1"/>
    <x v="2"/>
    <x v="157"/>
    <x v="28"/>
    <x v="28"/>
    <x v="4"/>
    <x v="4"/>
    <x v="7"/>
  </r>
  <r>
    <x v="1"/>
    <x v="2"/>
    <x v="158"/>
    <x v="28"/>
    <x v="28"/>
    <x v="4"/>
    <x v="4"/>
    <x v="7"/>
  </r>
  <r>
    <x v="4"/>
    <x v="2"/>
    <x v="159"/>
    <x v="29"/>
    <x v="29"/>
    <x v="9"/>
    <x v="4"/>
    <x v="11"/>
  </r>
  <r>
    <x v="3"/>
    <x v="2"/>
    <x v="160"/>
    <x v="30"/>
    <x v="30"/>
    <x v="4"/>
    <x v="4"/>
    <x v="7"/>
  </r>
  <r>
    <x v="1"/>
    <x v="2"/>
    <x v="161"/>
    <x v="31"/>
    <x v="31"/>
    <x v="6"/>
    <x v="5"/>
    <x v="12"/>
  </r>
  <r>
    <x v="4"/>
    <x v="2"/>
    <x v="162"/>
    <x v="32"/>
    <x v="32"/>
    <x v="10"/>
    <x v="6"/>
    <x v="2"/>
  </r>
  <r>
    <x v="1"/>
    <x v="2"/>
    <x v="163"/>
    <x v="33"/>
    <x v="33"/>
    <x v="4"/>
    <x v="12"/>
    <x v="3"/>
  </r>
  <r>
    <x v="2"/>
    <x v="2"/>
    <x v="164"/>
    <x v="34"/>
    <x v="34"/>
    <x v="7"/>
    <x v="13"/>
    <x v="7"/>
  </r>
  <r>
    <x v="4"/>
    <x v="2"/>
    <x v="165"/>
    <x v="34"/>
    <x v="34"/>
    <x v="7"/>
    <x v="9"/>
    <x v="7"/>
  </r>
  <r>
    <x v="4"/>
    <x v="2"/>
    <x v="166"/>
    <x v="34"/>
    <x v="34"/>
    <x v="7"/>
    <x v="9"/>
    <x v="7"/>
  </r>
  <r>
    <x v="4"/>
    <x v="2"/>
    <x v="167"/>
    <x v="27"/>
    <x v="27"/>
    <x v="3"/>
    <x v="9"/>
    <x v="7"/>
  </r>
  <r>
    <x v="1"/>
    <x v="2"/>
    <x v="168"/>
    <x v="35"/>
    <x v="35"/>
    <x v="0"/>
    <x v="9"/>
    <x v="7"/>
  </r>
  <r>
    <x v="3"/>
    <x v="2"/>
    <x v="169"/>
    <x v="14"/>
    <x v="14"/>
    <x v="1"/>
    <x v="9"/>
    <x v="10"/>
  </r>
  <r>
    <x v="0"/>
    <x v="2"/>
    <x v="170"/>
    <x v="1"/>
    <x v="1"/>
    <x v="1"/>
    <x v="9"/>
    <x v="7"/>
  </r>
  <r>
    <x v="1"/>
    <x v="2"/>
    <x v="171"/>
    <x v="36"/>
    <x v="36"/>
    <x v="6"/>
    <x v="9"/>
    <x v="7"/>
  </r>
  <r>
    <x v="1"/>
    <x v="2"/>
    <x v="172"/>
    <x v="37"/>
    <x v="37"/>
    <x v="8"/>
    <x v="9"/>
    <x v="7"/>
  </r>
  <r>
    <x v="0"/>
    <x v="2"/>
    <x v="173"/>
    <x v="1"/>
    <x v="1"/>
    <x v="6"/>
    <x v="9"/>
    <x v="2"/>
  </r>
  <r>
    <x v="0"/>
    <x v="2"/>
    <x v="174"/>
    <x v="7"/>
    <x v="7"/>
    <x v="8"/>
    <x v="10"/>
    <x v="2"/>
  </r>
  <r>
    <x v="2"/>
    <x v="2"/>
    <x v="175"/>
    <x v="38"/>
    <x v="38"/>
    <x v="10"/>
    <x v="10"/>
    <x v="2"/>
  </r>
  <r>
    <x v="0"/>
    <x v="2"/>
    <x v="176"/>
    <x v="39"/>
    <x v="39"/>
    <x v="10"/>
    <x v="10"/>
    <x v="2"/>
  </r>
  <r>
    <x v="3"/>
    <x v="2"/>
    <x v="177"/>
    <x v="24"/>
    <x v="24"/>
    <x v="8"/>
    <x v="10"/>
    <x v="2"/>
  </r>
  <r>
    <x v="3"/>
    <x v="3"/>
    <x v="178"/>
    <x v="40"/>
    <x v="40"/>
    <x v="3"/>
    <x v="9"/>
    <x v="5"/>
  </r>
  <r>
    <x v="0"/>
    <x v="3"/>
    <x v="179"/>
    <x v="7"/>
    <x v="7"/>
    <x v="8"/>
    <x v="10"/>
    <x v="2"/>
  </r>
  <r>
    <x v="1"/>
    <x v="4"/>
    <x v="180"/>
    <x v="41"/>
    <x v="41"/>
    <x v="3"/>
    <x v="0"/>
    <x v="12"/>
  </r>
  <r>
    <x v="1"/>
    <x v="4"/>
    <x v="181"/>
    <x v="41"/>
    <x v="41"/>
    <x v="3"/>
    <x v="0"/>
    <x v="12"/>
  </r>
  <r>
    <x v="0"/>
    <x v="4"/>
    <x v="182"/>
    <x v="41"/>
    <x v="41"/>
    <x v="3"/>
    <x v="0"/>
    <x v="12"/>
  </r>
  <r>
    <x v="0"/>
    <x v="4"/>
    <x v="183"/>
    <x v="41"/>
    <x v="41"/>
    <x v="3"/>
    <x v="0"/>
    <x v="12"/>
  </r>
  <r>
    <x v="0"/>
    <x v="4"/>
    <x v="184"/>
    <x v="41"/>
    <x v="41"/>
    <x v="3"/>
    <x v="0"/>
    <x v="12"/>
  </r>
  <r>
    <x v="3"/>
    <x v="4"/>
    <x v="185"/>
    <x v="41"/>
    <x v="41"/>
    <x v="3"/>
    <x v="0"/>
    <x v="7"/>
  </r>
  <r>
    <x v="3"/>
    <x v="4"/>
    <x v="186"/>
    <x v="42"/>
    <x v="42"/>
    <x v="7"/>
    <x v="0"/>
    <x v="2"/>
  </r>
  <r>
    <x v="0"/>
    <x v="4"/>
    <x v="187"/>
    <x v="43"/>
    <x v="43"/>
    <x v="2"/>
    <x v="11"/>
    <x v="2"/>
  </r>
  <r>
    <x v="3"/>
    <x v="4"/>
    <x v="188"/>
    <x v="8"/>
    <x v="8"/>
    <x v="7"/>
    <x v="11"/>
    <x v="13"/>
  </r>
  <r>
    <x v="3"/>
    <x v="4"/>
    <x v="189"/>
    <x v="8"/>
    <x v="8"/>
    <x v="7"/>
    <x v="11"/>
    <x v="13"/>
  </r>
  <r>
    <x v="3"/>
    <x v="4"/>
    <x v="190"/>
    <x v="8"/>
    <x v="8"/>
    <x v="7"/>
    <x v="11"/>
    <x v="13"/>
  </r>
  <r>
    <x v="3"/>
    <x v="4"/>
    <x v="191"/>
    <x v="8"/>
    <x v="8"/>
    <x v="7"/>
    <x v="11"/>
    <x v="13"/>
  </r>
  <r>
    <x v="3"/>
    <x v="4"/>
    <x v="192"/>
    <x v="8"/>
    <x v="8"/>
    <x v="7"/>
    <x v="11"/>
    <x v="13"/>
  </r>
  <r>
    <x v="3"/>
    <x v="4"/>
    <x v="193"/>
    <x v="8"/>
    <x v="8"/>
    <x v="7"/>
    <x v="11"/>
    <x v="13"/>
  </r>
  <r>
    <x v="3"/>
    <x v="4"/>
    <x v="194"/>
    <x v="8"/>
    <x v="8"/>
    <x v="7"/>
    <x v="11"/>
    <x v="13"/>
  </r>
  <r>
    <x v="4"/>
    <x v="4"/>
    <x v="195"/>
    <x v="22"/>
    <x v="22"/>
    <x v="7"/>
    <x v="1"/>
    <x v="7"/>
  </r>
  <r>
    <x v="3"/>
    <x v="4"/>
    <x v="196"/>
    <x v="22"/>
    <x v="22"/>
    <x v="7"/>
    <x v="1"/>
    <x v="6"/>
  </r>
  <r>
    <x v="2"/>
    <x v="4"/>
    <x v="197"/>
    <x v="5"/>
    <x v="44"/>
    <x v="1"/>
    <x v="3"/>
    <x v="2"/>
  </r>
  <r>
    <x v="4"/>
    <x v="4"/>
    <x v="198"/>
    <x v="44"/>
    <x v="45"/>
    <x v="10"/>
    <x v="3"/>
    <x v="2"/>
  </r>
  <r>
    <x v="1"/>
    <x v="4"/>
    <x v="199"/>
    <x v="42"/>
    <x v="42"/>
    <x v="7"/>
    <x v="3"/>
    <x v="6"/>
  </r>
  <r>
    <x v="2"/>
    <x v="4"/>
    <x v="200"/>
    <x v="45"/>
    <x v="46"/>
    <x v="1"/>
    <x v="3"/>
    <x v="2"/>
  </r>
  <r>
    <x v="1"/>
    <x v="4"/>
    <x v="201"/>
    <x v="45"/>
    <x v="46"/>
    <x v="1"/>
    <x v="3"/>
    <x v="2"/>
  </r>
  <r>
    <x v="0"/>
    <x v="4"/>
    <x v="202"/>
    <x v="27"/>
    <x v="27"/>
    <x v="4"/>
    <x v="4"/>
    <x v="3"/>
  </r>
  <r>
    <x v="0"/>
    <x v="4"/>
    <x v="203"/>
    <x v="27"/>
    <x v="27"/>
    <x v="4"/>
    <x v="4"/>
    <x v="3"/>
  </r>
  <r>
    <x v="0"/>
    <x v="4"/>
    <x v="204"/>
    <x v="27"/>
    <x v="27"/>
    <x v="4"/>
    <x v="4"/>
    <x v="3"/>
  </r>
  <r>
    <x v="0"/>
    <x v="4"/>
    <x v="205"/>
    <x v="27"/>
    <x v="27"/>
    <x v="4"/>
    <x v="4"/>
    <x v="3"/>
  </r>
  <r>
    <x v="0"/>
    <x v="4"/>
    <x v="206"/>
    <x v="27"/>
    <x v="27"/>
    <x v="4"/>
    <x v="4"/>
    <x v="3"/>
  </r>
  <r>
    <x v="2"/>
    <x v="4"/>
    <x v="207"/>
    <x v="27"/>
    <x v="27"/>
    <x v="3"/>
    <x v="4"/>
    <x v="7"/>
  </r>
  <r>
    <x v="2"/>
    <x v="4"/>
    <x v="208"/>
    <x v="27"/>
    <x v="27"/>
    <x v="3"/>
    <x v="4"/>
    <x v="7"/>
  </r>
  <r>
    <x v="2"/>
    <x v="4"/>
    <x v="209"/>
    <x v="27"/>
    <x v="27"/>
    <x v="3"/>
    <x v="4"/>
    <x v="7"/>
  </r>
  <r>
    <x v="2"/>
    <x v="4"/>
    <x v="210"/>
    <x v="27"/>
    <x v="27"/>
    <x v="3"/>
    <x v="4"/>
    <x v="7"/>
  </r>
  <r>
    <x v="2"/>
    <x v="4"/>
    <x v="211"/>
    <x v="27"/>
    <x v="27"/>
    <x v="3"/>
    <x v="4"/>
    <x v="7"/>
  </r>
  <r>
    <x v="2"/>
    <x v="4"/>
    <x v="212"/>
    <x v="27"/>
    <x v="27"/>
    <x v="3"/>
    <x v="4"/>
    <x v="7"/>
  </r>
  <r>
    <x v="1"/>
    <x v="4"/>
    <x v="213"/>
    <x v="46"/>
    <x v="47"/>
    <x v="3"/>
    <x v="5"/>
    <x v="2"/>
  </r>
  <r>
    <x v="2"/>
    <x v="4"/>
    <x v="214"/>
    <x v="47"/>
    <x v="48"/>
    <x v="1"/>
    <x v="5"/>
    <x v="2"/>
  </r>
  <r>
    <x v="2"/>
    <x v="4"/>
    <x v="215"/>
    <x v="8"/>
    <x v="8"/>
    <x v="7"/>
    <x v="13"/>
    <x v="6"/>
  </r>
  <r>
    <x v="4"/>
    <x v="4"/>
    <x v="216"/>
    <x v="48"/>
    <x v="49"/>
    <x v="0"/>
    <x v="9"/>
    <x v="7"/>
  </r>
  <r>
    <x v="0"/>
    <x v="4"/>
    <x v="217"/>
    <x v="49"/>
    <x v="50"/>
    <x v="3"/>
    <x v="9"/>
    <x v="7"/>
  </r>
  <r>
    <x v="2"/>
    <x v="4"/>
    <x v="9"/>
    <x v="4"/>
    <x v="4"/>
    <x v="4"/>
    <x v="14"/>
    <x v="14"/>
  </r>
  <r>
    <x v="2"/>
    <x v="4"/>
    <x v="218"/>
    <x v="46"/>
    <x v="47"/>
    <x v="3"/>
    <x v="14"/>
    <x v="2"/>
  </r>
  <r>
    <x v="4"/>
    <x v="4"/>
    <x v="219"/>
    <x v="41"/>
    <x v="41"/>
    <x v="2"/>
    <x v="14"/>
    <x v="15"/>
  </r>
  <r>
    <x v="4"/>
    <x v="4"/>
    <x v="220"/>
    <x v="41"/>
    <x v="41"/>
    <x v="2"/>
    <x v="14"/>
    <x v="15"/>
  </r>
  <r>
    <x v="4"/>
    <x v="4"/>
    <x v="221"/>
    <x v="41"/>
    <x v="41"/>
    <x v="2"/>
    <x v="14"/>
    <x v="15"/>
  </r>
  <r>
    <x v="3"/>
    <x v="4"/>
    <x v="222"/>
    <x v="24"/>
    <x v="24"/>
    <x v="8"/>
    <x v="15"/>
    <x v="2"/>
  </r>
  <r>
    <x v="0"/>
    <x v="4"/>
    <x v="223"/>
    <x v="7"/>
    <x v="7"/>
    <x v="8"/>
    <x v="10"/>
    <x v="2"/>
  </r>
  <r>
    <x v="2"/>
    <x v="4"/>
    <x v="224"/>
    <x v="50"/>
    <x v="51"/>
    <x v="10"/>
    <x v="10"/>
    <x v="2"/>
  </r>
  <r>
    <x v="4"/>
    <x v="5"/>
    <x v="225"/>
    <x v="3"/>
    <x v="3"/>
    <x v="3"/>
    <x v="16"/>
    <x v="2"/>
  </r>
  <r>
    <x v="4"/>
    <x v="5"/>
    <x v="226"/>
    <x v="3"/>
    <x v="3"/>
    <x v="3"/>
    <x v="16"/>
    <x v="2"/>
  </r>
  <r>
    <x v="2"/>
    <x v="5"/>
    <x v="227"/>
    <x v="6"/>
    <x v="6"/>
    <x v="7"/>
    <x v="11"/>
    <x v="2"/>
  </r>
  <r>
    <x v="3"/>
    <x v="5"/>
    <x v="228"/>
    <x v="10"/>
    <x v="10"/>
    <x v="7"/>
    <x v="11"/>
    <x v="2"/>
  </r>
  <r>
    <x v="3"/>
    <x v="5"/>
    <x v="229"/>
    <x v="51"/>
    <x v="52"/>
    <x v="3"/>
    <x v="11"/>
    <x v="2"/>
  </r>
  <r>
    <x v="3"/>
    <x v="5"/>
    <x v="230"/>
    <x v="51"/>
    <x v="52"/>
    <x v="3"/>
    <x v="11"/>
    <x v="2"/>
  </r>
  <r>
    <x v="0"/>
    <x v="5"/>
    <x v="231"/>
    <x v="52"/>
    <x v="20"/>
    <x v="0"/>
    <x v="11"/>
    <x v="2"/>
  </r>
  <r>
    <x v="0"/>
    <x v="5"/>
    <x v="232"/>
    <x v="53"/>
    <x v="53"/>
    <x v="3"/>
    <x v="11"/>
    <x v="2"/>
  </r>
  <r>
    <x v="4"/>
    <x v="5"/>
    <x v="233"/>
    <x v="14"/>
    <x v="14"/>
    <x v="1"/>
    <x v="1"/>
    <x v="7"/>
  </r>
  <r>
    <x v="4"/>
    <x v="5"/>
    <x v="234"/>
    <x v="54"/>
    <x v="54"/>
    <x v="10"/>
    <x v="1"/>
    <x v="16"/>
  </r>
  <r>
    <x v="0"/>
    <x v="5"/>
    <x v="235"/>
    <x v="1"/>
    <x v="1"/>
    <x v="1"/>
    <x v="1"/>
    <x v="7"/>
  </r>
  <r>
    <x v="1"/>
    <x v="5"/>
    <x v="236"/>
    <x v="55"/>
    <x v="55"/>
    <x v="7"/>
    <x v="2"/>
    <x v="1"/>
  </r>
  <r>
    <x v="3"/>
    <x v="5"/>
    <x v="237"/>
    <x v="56"/>
    <x v="56"/>
    <x v="6"/>
    <x v="2"/>
    <x v="1"/>
  </r>
  <r>
    <x v="4"/>
    <x v="5"/>
    <x v="124"/>
    <x v="17"/>
    <x v="17"/>
    <x v="3"/>
    <x v="3"/>
    <x v="17"/>
  </r>
  <r>
    <x v="3"/>
    <x v="5"/>
    <x v="238"/>
    <x v="40"/>
    <x v="40"/>
    <x v="6"/>
    <x v="3"/>
    <x v="2"/>
  </r>
  <r>
    <x v="3"/>
    <x v="5"/>
    <x v="239"/>
    <x v="15"/>
    <x v="15"/>
    <x v="6"/>
    <x v="3"/>
    <x v="2"/>
  </r>
  <r>
    <x v="2"/>
    <x v="5"/>
    <x v="240"/>
    <x v="57"/>
    <x v="57"/>
    <x v="4"/>
    <x v="3"/>
    <x v="2"/>
  </r>
  <r>
    <x v="2"/>
    <x v="5"/>
    <x v="241"/>
    <x v="5"/>
    <x v="44"/>
    <x v="4"/>
    <x v="3"/>
    <x v="2"/>
  </r>
  <r>
    <x v="0"/>
    <x v="5"/>
    <x v="242"/>
    <x v="1"/>
    <x v="1"/>
    <x v="1"/>
    <x v="3"/>
    <x v="2"/>
  </r>
  <r>
    <x v="3"/>
    <x v="5"/>
    <x v="243"/>
    <x v="1"/>
    <x v="1"/>
    <x v="1"/>
    <x v="3"/>
    <x v="2"/>
  </r>
  <r>
    <x v="3"/>
    <x v="5"/>
    <x v="244"/>
    <x v="1"/>
    <x v="1"/>
    <x v="1"/>
    <x v="3"/>
    <x v="2"/>
  </r>
  <r>
    <x v="3"/>
    <x v="5"/>
    <x v="245"/>
    <x v="1"/>
    <x v="1"/>
    <x v="1"/>
    <x v="3"/>
    <x v="2"/>
  </r>
  <r>
    <x v="2"/>
    <x v="5"/>
    <x v="246"/>
    <x v="58"/>
    <x v="58"/>
    <x v="0"/>
    <x v="4"/>
    <x v="18"/>
  </r>
  <r>
    <x v="2"/>
    <x v="5"/>
    <x v="247"/>
    <x v="6"/>
    <x v="6"/>
    <x v="7"/>
    <x v="4"/>
    <x v="6"/>
  </r>
  <r>
    <x v="0"/>
    <x v="5"/>
    <x v="248"/>
    <x v="6"/>
    <x v="6"/>
    <x v="7"/>
    <x v="4"/>
    <x v="6"/>
  </r>
  <r>
    <x v="0"/>
    <x v="5"/>
    <x v="249"/>
    <x v="6"/>
    <x v="6"/>
    <x v="7"/>
    <x v="4"/>
    <x v="6"/>
  </r>
  <r>
    <x v="0"/>
    <x v="5"/>
    <x v="250"/>
    <x v="59"/>
    <x v="59"/>
    <x v="9"/>
    <x v="4"/>
    <x v="11"/>
  </r>
  <r>
    <x v="4"/>
    <x v="5"/>
    <x v="251"/>
    <x v="1"/>
    <x v="1"/>
    <x v="1"/>
    <x v="5"/>
    <x v="12"/>
  </r>
  <r>
    <x v="0"/>
    <x v="5"/>
    <x v="252"/>
    <x v="51"/>
    <x v="52"/>
    <x v="3"/>
    <x v="5"/>
    <x v="2"/>
  </r>
  <r>
    <x v="0"/>
    <x v="5"/>
    <x v="253"/>
    <x v="5"/>
    <x v="44"/>
    <x v="3"/>
    <x v="5"/>
    <x v="2"/>
  </r>
  <r>
    <x v="0"/>
    <x v="5"/>
    <x v="254"/>
    <x v="45"/>
    <x v="46"/>
    <x v="1"/>
    <x v="6"/>
    <x v="2"/>
  </r>
  <r>
    <x v="3"/>
    <x v="5"/>
    <x v="255"/>
    <x v="12"/>
    <x v="12"/>
    <x v="7"/>
    <x v="13"/>
    <x v="6"/>
  </r>
  <r>
    <x v="1"/>
    <x v="5"/>
    <x v="256"/>
    <x v="60"/>
    <x v="60"/>
    <x v="3"/>
    <x v="8"/>
    <x v="7"/>
  </r>
  <r>
    <x v="4"/>
    <x v="5"/>
    <x v="257"/>
    <x v="14"/>
    <x v="14"/>
    <x v="1"/>
    <x v="17"/>
    <x v="7"/>
  </r>
  <r>
    <x v="2"/>
    <x v="5"/>
    <x v="258"/>
    <x v="1"/>
    <x v="1"/>
    <x v="1"/>
    <x v="9"/>
    <x v="7"/>
  </r>
  <r>
    <x v="2"/>
    <x v="5"/>
    <x v="259"/>
    <x v="57"/>
    <x v="57"/>
    <x v="4"/>
    <x v="9"/>
    <x v="2"/>
  </r>
  <r>
    <x v="0"/>
    <x v="5"/>
    <x v="178"/>
    <x v="40"/>
    <x v="40"/>
    <x v="3"/>
    <x v="9"/>
    <x v="17"/>
  </r>
  <r>
    <x v="1"/>
    <x v="5"/>
    <x v="260"/>
    <x v="14"/>
    <x v="14"/>
    <x v="1"/>
    <x v="9"/>
    <x v="7"/>
  </r>
  <r>
    <x v="1"/>
    <x v="5"/>
    <x v="261"/>
    <x v="14"/>
    <x v="14"/>
    <x v="1"/>
    <x v="9"/>
    <x v="7"/>
  </r>
  <r>
    <x v="0"/>
    <x v="5"/>
    <x v="262"/>
    <x v="1"/>
    <x v="1"/>
    <x v="1"/>
    <x v="9"/>
    <x v="7"/>
  </r>
  <r>
    <x v="3"/>
    <x v="5"/>
    <x v="263"/>
    <x v="2"/>
    <x v="2"/>
    <x v="3"/>
    <x v="9"/>
    <x v="7"/>
  </r>
  <r>
    <x v="2"/>
    <x v="5"/>
    <x v="264"/>
    <x v="61"/>
    <x v="61"/>
    <x v="9"/>
    <x v="10"/>
    <x v="11"/>
  </r>
  <r>
    <x v="0"/>
    <x v="5"/>
    <x v="265"/>
    <x v="24"/>
    <x v="24"/>
    <x v="8"/>
    <x v="10"/>
    <x v="2"/>
  </r>
  <r>
    <x v="4"/>
    <x v="5"/>
    <x v="266"/>
    <x v="62"/>
    <x v="62"/>
    <x v="10"/>
    <x v="10"/>
    <x v="2"/>
  </r>
  <r>
    <x v="2"/>
    <x v="5"/>
    <x v="267"/>
    <x v="62"/>
    <x v="62"/>
    <x v="10"/>
    <x v="10"/>
    <x v="2"/>
  </r>
  <r>
    <x v="3"/>
    <x v="5"/>
    <x v="268"/>
    <x v="7"/>
    <x v="7"/>
    <x v="8"/>
    <x v="10"/>
    <x v="2"/>
  </r>
  <r>
    <x v="1"/>
    <x v="6"/>
    <x v="269"/>
    <x v="6"/>
    <x v="6"/>
    <x v="7"/>
    <x v="16"/>
    <x v="6"/>
  </r>
  <r>
    <x v="2"/>
    <x v="6"/>
    <x v="270"/>
    <x v="63"/>
    <x v="63"/>
    <x v="6"/>
    <x v="11"/>
    <x v="2"/>
  </r>
  <r>
    <x v="2"/>
    <x v="6"/>
    <x v="271"/>
    <x v="63"/>
    <x v="63"/>
    <x v="6"/>
    <x v="11"/>
    <x v="2"/>
  </r>
  <r>
    <x v="4"/>
    <x v="6"/>
    <x v="251"/>
    <x v="1"/>
    <x v="1"/>
    <x v="1"/>
    <x v="11"/>
    <x v="2"/>
  </r>
  <r>
    <x v="1"/>
    <x v="6"/>
    <x v="272"/>
    <x v="6"/>
    <x v="6"/>
    <x v="7"/>
    <x v="1"/>
    <x v="6"/>
  </r>
  <r>
    <x v="4"/>
    <x v="6"/>
    <x v="273"/>
    <x v="8"/>
    <x v="8"/>
    <x v="7"/>
    <x v="1"/>
    <x v="7"/>
  </r>
  <r>
    <x v="1"/>
    <x v="6"/>
    <x v="274"/>
    <x v="64"/>
    <x v="64"/>
    <x v="0"/>
    <x v="1"/>
    <x v="7"/>
  </r>
  <r>
    <x v="0"/>
    <x v="6"/>
    <x v="275"/>
    <x v="5"/>
    <x v="44"/>
    <x v="4"/>
    <x v="2"/>
    <x v="19"/>
  </r>
  <r>
    <x v="4"/>
    <x v="6"/>
    <x v="276"/>
    <x v="5"/>
    <x v="44"/>
    <x v="6"/>
    <x v="2"/>
    <x v="20"/>
  </r>
  <r>
    <x v="1"/>
    <x v="6"/>
    <x v="277"/>
    <x v="5"/>
    <x v="44"/>
    <x v="6"/>
    <x v="2"/>
    <x v="20"/>
  </r>
  <r>
    <x v="1"/>
    <x v="6"/>
    <x v="278"/>
    <x v="64"/>
    <x v="64"/>
    <x v="0"/>
    <x v="2"/>
    <x v="20"/>
  </r>
  <r>
    <x v="3"/>
    <x v="6"/>
    <x v="279"/>
    <x v="5"/>
    <x v="44"/>
    <x v="3"/>
    <x v="2"/>
    <x v="20"/>
  </r>
  <r>
    <x v="4"/>
    <x v="6"/>
    <x v="280"/>
    <x v="11"/>
    <x v="11"/>
    <x v="0"/>
    <x v="4"/>
    <x v="7"/>
  </r>
  <r>
    <x v="2"/>
    <x v="6"/>
    <x v="281"/>
    <x v="65"/>
    <x v="65"/>
    <x v="9"/>
    <x v="4"/>
    <x v="11"/>
  </r>
  <r>
    <x v="2"/>
    <x v="6"/>
    <x v="282"/>
    <x v="59"/>
    <x v="59"/>
    <x v="9"/>
    <x v="4"/>
    <x v="11"/>
  </r>
  <r>
    <x v="0"/>
    <x v="6"/>
    <x v="283"/>
    <x v="66"/>
    <x v="66"/>
    <x v="3"/>
    <x v="5"/>
    <x v="12"/>
  </r>
  <r>
    <x v="1"/>
    <x v="6"/>
    <x v="284"/>
    <x v="38"/>
    <x v="38"/>
    <x v="10"/>
    <x v="6"/>
    <x v="2"/>
  </r>
  <r>
    <x v="1"/>
    <x v="6"/>
    <x v="285"/>
    <x v="5"/>
    <x v="44"/>
    <x v="6"/>
    <x v="12"/>
    <x v="2"/>
  </r>
  <r>
    <x v="3"/>
    <x v="6"/>
    <x v="286"/>
    <x v="67"/>
    <x v="67"/>
    <x v="0"/>
    <x v="13"/>
    <x v="10"/>
  </r>
  <r>
    <x v="1"/>
    <x v="6"/>
    <x v="287"/>
    <x v="1"/>
    <x v="1"/>
    <x v="1"/>
    <x v="7"/>
    <x v="2"/>
  </r>
  <r>
    <x v="4"/>
    <x v="6"/>
    <x v="288"/>
    <x v="13"/>
    <x v="13"/>
    <x v="7"/>
    <x v="18"/>
    <x v="2"/>
  </r>
  <r>
    <x v="4"/>
    <x v="6"/>
    <x v="289"/>
    <x v="1"/>
    <x v="1"/>
    <x v="1"/>
    <x v="9"/>
    <x v="10"/>
  </r>
  <r>
    <x v="4"/>
    <x v="6"/>
    <x v="290"/>
    <x v="67"/>
    <x v="67"/>
    <x v="0"/>
    <x v="9"/>
    <x v="10"/>
  </r>
  <r>
    <x v="1"/>
    <x v="6"/>
    <x v="291"/>
    <x v="8"/>
    <x v="8"/>
    <x v="7"/>
    <x v="9"/>
    <x v="6"/>
  </r>
  <r>
    <x v="1"/>
    <x v="6"/>
    <x v="292"/>
    <x v="8"/>
    <x v="8"/>
    <x v="7"/>
    <x v="9"/>
    <x v="6"/>
  </r>
  <r>
    <x v="1"/>
    <x v="6"/>
    <x v="293"/>
    <x v="1"/>
    <x v="1"/>
    <x v="1"/>
    <x v="9"/>
    <x v="10"/>
  </r>
  <r>
    <x v="3"/>
    <x v="6"/>
    <x v="294"/>
    <x v="14"/>
    <x v="14"/>
    <x v="1"/>
    <x v="9"/>
    <x v="9"/>
  </r>
  <r>
    <x v="2"/>
    <x v="6"/>
    <x v="227"/>
    <x v="6"/>
    <x v="6"/>
    <x v="7"/>
    <x v="15"/>
    <x v="6"/>
  </r>
  <r>
    <x v="4"/>
    <x v="6"/>
    <x v="295"/>
    <x v="68"/>
    <x v="68"/>
    <x v="9"/>
    <x v="15"/>
    <x v="21"/>
  </r>
  <r>
    <x v="2"/>
    <x v="6"/>
    <x v="296"/>
    <x v="68"/>
    <x v="68"/>
    <x v="9"/>
    <x v="10"/>
    <x v="2"/>
  </r>
  <r>
    <x v="2"/>
    <x v="6"/>
    <x v="297"/>
    <x v="68"/>
    <x v="68"/>
    <x v="9"/>
    <x v="10"/>
    <x v="2"/>
  </r>
  <r>
    <x v="0"/>
    <x v="6"/>
    <x v="298"/>
    <x v="6"/>
    <x v="6"/>
    <x v="7"/>
    <x v="10"/>
    <x v="12"/>
  </r>
  <r>
    <x v="1"/>
    <x v="7"/>
    <x v="299"/>
    <x v="27"/>
    <x v="27"/>
    <x v="3"/>
    <x v="0"/>
    <x v="7"/>
  </r>
  <r>
    <x v="2"/>
    <x v="7"/>
    <x v="300"/>
    <x v="69"/>
    <x v="69"/>
    <x v="3"/>
    <x v="16"/>
    <x v="2"/>
  </r>
  <r>
    <x v="2"/>
    <x v="7"/>
    <x v="207"/>
    <x v="27"/>
    <x v="27"/>
    <x v="3"/>
    <x v="16"/>
    <x v="2"/>
  </r>
  <r>
    <x v="2"/>
    <x v="7"/>
    <x v="208"/>
    <x v="27"/>
    <x v="27"/>
    <x v="3"/>
    <x v="16"/>
    <x v="2"/>
  </r>
  <r>
    <x v="2"/>
    <x v="7"/>
    <x v="209"/>
    <x v="27"/>
    <x v="27"/>
    <x v="3"/>
    <x v="16"/>
    <x v="2"/>
  </r>
  <r>
    <x v="2"/>
    <x v="7"/>
    <x v="210"/>
    <x v="27"/>
    <x v="27"/>
    <x v="3"/>
    <x v="16"/>
    <x v="2"/>
  </r>
  <r>
    <x v="2"/>
    <x v="7"/>
    <x v="211"/>
    <x v="27"/>
    <x v="27"/>
    <x v="3"/>
    <x v="16"/>
    <x v="2"/>
  </r>
  <r>
    <x v="2"/>
    <x v="7"/>
    <x v="212"/>
    <x v="27"/>
    <x v="27"/>
    <x v="3"/>
    <x v="16"/>
    <x v="2"/>
  </r>
  <r>
    <x v="2"/>
    <x v="7"/>
    <x v="301"/>
    <x v="66"/>
    <x v="66"/>
    <x v="3"/>
    <x v="16"/>
    <x v="1"/>
  </r>
  <r>
    <x v="2"/>
    <x v="7"/>
    <x v="302"/>
    <x v="66"/>
    <x v="66"/>
    <x v="3"/>
    <x v="16"/>
    <x v="1"/>
  </r>
  <r>
    <x v="2"/>
    <x v="7"/>
    <x v="303"/>
    <x v="70"/>
    <x v="70"/>
    <x v="0"/>
    <x v="16"/>
    <x v="2"/>
  </r>
  <r>
    <x v="2"/>
    <x v="7"/>
    <x v="304"/>
    <x v="48"/>
    <x v="49"/>
    <x v="0"/>
    <x v="16"/>
    <x v="2"/>
  </r>
  <r>
    <x v="2"/>
    <x v="7"/>
    <x v="305"/>
    <x v="48"/>
    <x v="49"/>
    <x v="0"/>
    <x v="16"/>
    <x v="2"/>
  </r>
  <r>
    <x v="2"/>
    <x v="7"/>
    <x v="306"/>
    <x v="48"/>
    <x v="49"/>
    <x v="0"/>
    <x v="16"/>
    <x v="2"/>
  </r>
  <r>
    <x v="2"/>
    <x v="7"/>
    <x v="307"/>
    <x v="48"/>
    <x v="49"/>
    <x v="0"/>
    <x v="16"/>
    <x v="2"/>
  </r>
  <r>
    <x v="2"/>
    <x v="7"/>
    <x v="308"/>
    <x v="48"/>
    <x v="49"/>
    <x v="0"/>
    <x v="16"/>
    <x v="2"/>
  </r>
  <r>
    <x v="2"/>
    <x v="7"/>
    <x v="309"/>
    <x v="71"/>
    <x v="71"/>
    <x v="3"/>
    <x v="11"/>
    <x v="2"/>
  </r>
  <r>
    <x v="3"/>
    <x v="7"/>
    <x v="310"/>
    <x v="27"/>
    <x v="27"/>
    <x v="3"/>
    <x v="11"/>
    <x v="2"/>
  </r>
  <r>
    <x v="3"/>
    <x v="7"/>
    <x v="311"/>
    <x v="27"/>
    <x v="27"/>
    <x v="3"/>
    <x v="11"/>
    <x v="2"/>
  </r>
  <r>
    <x v="3"/>
    <x v="7"/>
    <x v="312"/>
    <x v="23"/>
    <x v="23"/>
    <x v="0"/>
    <x v="11"/>
    <x v="2"/>
  </r>
  <r>
    <x v="3"/>
    <x v="7"/>
    <x v="313"/>
    <x v="25"/>
    <x v="25"/>
    <x v="6"/>
    <x v="11"/>
    <x v="2"/>
  </r>
  <r>
    <x v="0"/>
    <x v="7"/>
    <x v="314"/>
    <x v="64"/>
    <x v="64"/>
    <x v="0"/>
    <x v="1"/>
    <x v="1"/>
  </r>
  <r>
    <x v="0"/>
    <x v="7"/>
    <x v="204"/>
    <x v="27"/>
    <x v="27"/>
    <x v="3"/>
    <x v="1"/>
    <x v="7"/>
  </r>
  <r>
    <x v="0"/>
    <x v="7"/>
    <x v="202"/>
    <x v="27"/>
    <x v="27"/>
    <x v="3"/>
    <x v="1"/>
    <x v="7"/>
  </r>
  <r>
    <x v="0"/>
    <x v="7"/>
    <x v="203"/>
    <x v="27"/>
    <x v="27"/>
    <x v="3"/>
    <x v="1"/>
    <x v="7"/>
  </r>
  <r>
    <x v="3"/>
    <x v="7"/>
    <x v="315"/>
    <x v="27"/>
    <x v="27"/>
    <x v="3"/>
    <x v="1"/>
    <x v="7"/>
  </r>
  <r>
    <x v="3"/>
    <x v="7"/>
    <x v="316"/>
    <x v="27"/>
    <x v="27"/>
    <x v="3"/>
    <x v="1"/>
    <x v="7"/>
  </r>
  <r>
    <x v="3"/>
    <x v="7"/>
    <x v="317"/>
    <x v="27"/>
    <x v="27"/>
    <x v="3"/>
    <x v="1"/>
    <x v="7"/>
  </r>
  <r>
    <x v="3"/>
    <x v="7"/>
    <x v="318"/>
    <x v="27"/>
    <x v="27"/>
    <x v="3"/>
    <x v="1"/>
    <x v="7"/>
  </r>
  <r>
    <x v="4"/>
    <x v="7"/>
    <x v="319"/>
    <x v="5"/>
    <x v="44"/>
    <x v="4"/>
    <x v="2"/>
    <x v="1"/>
  </r>
  <r>
    <x v="0"/>
    <x v="7"/>
    <x v="320"/>
    <x v="64"/>
    <x v="64"/>
    <x v="3"/>
    <x v="2"/>
    <x v="1"/>
  </r>
  <r>
    <x v="0"/>
    <x v="7"/>
    <x v="321"/>
    <x v="64"/>
    <x v="64"/>
    <x v="4"/>
    <x v="2"/>
    <x v="1"/>
  </r>
  <r>
    <x v="3"/>
    <x v="7"/>
    <x v="322"/>
    <x v="64"/>
    <x v="64"/>
    <x v="0"/>
    <x v="2"/>
    <x v="1"/>
  </r>
  <r>
    <x v="3"/>
    <x v="7"/>
    <x v="323"/>
    <x v="64"/>
    <x v="64"/>
    <x v="0"/>
    <x v="2"/>
    <x v="1"/>
  </r>
  <r>
    <x v="1"/>
    <x v="7"/>
    <x v="324"/>
    <x v="39"/>
    <x v="39"/>
    <x v="10"/>
    <x v="3"/>
    <x v="2"/>
  </r>
  <r>
    <x v="4"/>
    <x v="7"/>
    <x v="325"/>
    <x v="72"/>
    <x v="72"/>
    <x v="4"/>
    <x v="3"/>
    <x v="2"/>
  </r>
  <r>
    <x v="0"/>
    <x v="7"/>
    <x v="326"/>
    <x v="73"/>
    <x v="73"/>
    <x v="7"/>
    <x v="3"/>
    <x v="2"/>
  </r>
  <r>
    <x v="2"/>
    <x v="7"/>
    <x v="327"/>
    <x v="5"/>
    <x v="44"/>
    <x v="0"/>
    <x v="3"/>
    <x v="2"/>
  </r>
  <r>
    <x v="3"/>
    <x v="7"/>
    <x v="328"/>
    <x v="41"/>
    <x v="41"/>
    <x v="3"/>
    <x v="3"/>
    <x v="7"/>
  </r>
  <r>
    <x v="2"/>
    <x v="7"/>
    <x v="329"/>
    <x v="74"/>
    <x v="74"/>
    <x v="9"/>
    <x v="4"/>
    <x v="11"/>
  </r>
  <r>
    <x v="2"/>
    <x v="7"/>
    <x v="330"/>
    <x v="75"/>
    <x v="75"/>
    <x v="3"/>
    <x v="4"/>
    <x v="7"/>
  </r>
  <r>
    <x v="2"/>
    <x v="7"/>
    <x v="331"/>
    <x v="75"/>
    <x v="75"/>
    <x v="3"/>
    <x v="4"/>
    <x v="7"/>
  </r>
  <r>
    <x v="1"/>
    <x v="7"/>
    <x v="332"/>
    <x v="74"/>
    <x v="74"/>
    <x v="9"/>
    <x v="4"/>
    <x v="11"/>
  </r>
  <r>
    <x v="1"/>
    <x v="7"/>
    <x v="333"/>
    <x v="60"/>
    <x v="60"/>
    <x v="3"/>
    <x v="4"/>
    <x v="7"/>
  </r>
  <r>
    <x v="1"/>
    <x v="7"/>
    <x v="334"/>
    <x v="75"/>
    <x v="75"/>
    <x v="3"/>
    <x v="4"/>
    <x v="7"/>
  </r>
  <r>
    <x v="4"/>
    <x v="7"/>
    <x v="335"/>
    <x v="40"/>
    <x v="40"/>
    <x v="6"/>
    <x v="7"/>
    <x v="2"/>
  </r>
  <r>
    <x v="1"/>
    <x v="7"/>
    <x v="336"/>
    <x v="40"/>
    <x v="40"/>
    <x v="6"/>
    <x v="7"/>
    <x v="2"/>
  </r>
  <r>
    <x v="1"/>
    <x v="7"/>
    <x v="337"/>
    <x v="76"/>
    <x v="76"/>
    <x v="7"/>
    <x v="7"/>
    <x v="2"/>
  </r>
  <r>
    <x v="1"/>
    <x v="7"/>
    <x v="338"/>
    <x v="77"/>
    <x v="77"/>
    <x v="7"/>
    <x v="7"/>
    <x v="2"/>
  </r>
  <r>
    <x v="3"/>
    <x v="7"/>
    <x v="339"/>
    <x v="5"/>
    <x v="44"/>
    <x v="4"/>
    <x v="7"/>
    <x v="2"/>
  </r>
  <r>
    <x v="2"/>
    <x v="7"/>
    <x v="340"/>
    <x v="23"/>
    <x v="23"/>
    <x v="0"/>
    <x v="9"/>
    <x v="7"/>
  </r>
  <r>
    <x v="2"/>
    <x v="7"/>
    <x v="341"/>
    <x v="77"/>
    <x v="77"/>
    <x v="7"/>
    <x v="9"/>
    <x v="6"/>
  </r>
  <r>
    <x v="4"/>
    <x v="7"/>
    <x v="342"/>
    <x v="25"/>
    <x v="25"/>
    <x v="6"/>
    <x v="9"/>
    <x v="7"/>
  </r>
  <r>
    <x v="2"/>
    <x v="7"/>
    <x v="343"/>
    <x v="78"/>
    <x v="78"/>
    <x v="0"/>
    <x v="9"/>
    <x v="7"/>
  </r>
  <r>
    <x v="0"/>
    <x v="7"/>
    <x v="344"/>
    <x v="78"/>
    <x v="78"/>
    <x v="0"/>
    <x v="9"/>
    <x v="7"/>
  </r>
  <r>
    <x v="1"/>
    <x v="7"/>
    <x v="345"/>
    <x v="79"/>
    <x v="79"/>
    <x v="4"/>
    <x v="9"/>
    <x v="7"/>
  </r>
  <r>
    <x v="1"/>
    <x v="7"/>
    <x v="346"/>
    <x v="23"/>
    <x v="23"/>
    <x v="0"/>
    <x v="9"/>
    <x v="7"/>
  </r>
  <r>
    <x v="1"/>
    <x v="7"/>
    <x v="347"/>
    <x v="23"/>
    <x v="23"/>
    <x v="0"/>
    <x v="9"/>
    <x v="7"/>
  </r>
  <r>
    <x v="0"/>
    <x v="7"/>
    <x v="348"/>
    <x v="80"/>
    <x v="80"/>
    <x v="3"/>
    <x v="9"/>
    <x v="7"/>
  </r>
  <r>
    <x v="3"/>
    <x v="7"/>
    <x v="349"/>
    <x v="78"/>
    <x v="78"/>
    <x v="0"/>
    <x v="9"/>
    <x v="7"/>
  </r>
  <r>
    <x v="2"/>
    <x v="7"/>
    <x v="350"/>
    <x v="81"/>
    <x v="81"/>
    <x v="3"/>
    <x v="10"/>
    <x v="2"/>
  </r>
  <r>
    <x v="2"/>
    <x v="7"/>
    <x v="351"/>
    <x v="70"/>
    <x v="70"/>
    <x v="0"/>
    <x v="10"/>
    <x v="2"/>
  </r>
  <r>
    <x v="2"/>
    <x v="8"/>
    <x v="9"/>
    <x v="4"/>
    <x v="4"/>
    <x v="4"/>
    <x v="16"/>
    <x v="2"/>
  </r>
  <r>
    <x v="2"/>
    <x v="8"/>
    <x v="352"/>
    <x v="82"/>
    <x v="82"/>
    <x v="3"/>
    <x v="11"/>
    <x v="2"/>
  </r>
  <r>
    <x v="2"/>
    <x v="8"/>
    <x v="353"/>
    <x v="82"/>
    <x v="82"/>
    <x v="3"/>
    <x v="11"/>
    <x v="2"/>
  </r>
  <r>
    <x v="2"/>
    <x v="8"/>
    <x v="354"/>
    <x v="83"/>
    <x v="83"/>
    <x v="5"/>
    <x v="11"/>
    <x v="2"/>
  </r>
  <r>
    <x v="1"/>
    <x v="8"/>
    <x v="355"/>
    <x v="8"/>
    <x v="8"/>
    <x v="7"/>
    <x v="1"/>
    <x v="7"/>
  </r>
  <r>
    <x v="3"/>
    <x v="8"/>
    <x v="356"/>
    <x v="84"/>
    <x v="84"/>
    <x v="3"/>
    <x v="1"/>
    <x v="7"/>
  </r>
  <r>
    <x v="0"/>
    <x v="8"/>
    <x v="357"/>
    <x v="85"/>
    <x v="85"/>
    <x v="0"/>
    <x v="3"/>
    <x v="2"/>
  </r>
  <r>
    <x v="3"/>
    <x v="8"/>
    <x v="358"/>
    <x v="86"/>
    <x v="86"/>
    <x v="0"/>
    <x v="3"/>
    <x v="4"/>
  </r>
  <r>
    <x v="3"/>
    <x v="8"/>
    <x v="359"/>
    <x v="86"/>
    <x v="86"/>
    <x v="0"/>
    <x v="3"/>
    <x v="4"/>
  </r>
  <r>
    <x v="3"/>
    <x v="8"/>
    <x v="360"/>
    <x v="86"/>
    <x v="86"/>
    <x v="0"/>
    <x v="3"/>
    <x v="4"/>
  </r>
  <r>
    <x v="3"/>
    <x v="8"/>
    <x v="361"/>
    <x v="86"/>
    <x v="86"/>
    <x v="0"/>
    <x v="3"/>
    <x v="4"/>
  </r>
  <r>
    <x v="3"/>
    <x v="8"/>
    <x v="362"/>
    <x v="86"/>
    <x v="86"/>
    <x v="0"/>
    <x v="3"/>
    <x v="4"/>
  </r>
  <r>
    <x v="3"/>
    <x v="8"/>
    <x v="363"/>
    <x v="57"/>
    <x v="57"/>
    <x v="6"/>
    <x v="3"/>
    <x v="2"/>
  </r>
  <r>
    <x v="4"/>
    <x v="8"/>
    <x v="364"/>
    <x v="87"/>
    <x v="87"/>
    <x v="0"/>
    <x v="4"/>
    <x v="7"/>
  </r>
  <r>
    <x v="4"/>
    <x v="8"/>
    <x v="365"/>
    <x v="87"/>
    <x v="87"/>
    <x v="0"/>
    <x v="4"/>
    <x v="7"/>
  </r>
  <r>
    <x v="4"/>
    <x v="8"/>
    <x v="366"/>
    <x v="87"/>
    <x v="87"/>
    <x v="0"/>
    <x v="4"/>
    <x v="7"/>
  </r>
  <r>
    <x v="1"/>
    <x v="8"/>
    <x v="367"/>
    <x v="87"/>
    <x v="87"/>
    <x v="0"/>
    <x v="4"/>
    <x v="7"/>
  </r>
  <r>
    <x v="1"/>
    <x v="8"/>
    <x v="368"/>
    <x v="87"/>
    <x v="87"/>
    <x v="0"/>
    <x v="4"/>
    <x v="7"/>
  </r>
  <r>
    <x v="2"/>
    <x v="8"/>
    <x v="369"/>
    <x v="58"/>
    <x v="58"/>
    <x v="0"/>
    <x v="4"/>
    <x v="7"/>
  </r>
  <r>
    <x v="1"/>
    <x v="8"/>
    <x v="370"/>
    <x v="58"/>
    <x v="58"/>
    <x v="0"/>
    <x v="4"/>
    <x v="7"/>
  </r>
  <r>
    <x v="2"/>
    <x v="8"/>
    <x v="371"/>
    <x v="88"/>
    <x v="88"/>
    <x v="7"/>
    <x v="5"/>
    <x v="2"/>
  </r>
  <r>
    <x v="1"/>
    <x v="8"/>
    <x v="372"/>
    <x v="88"/>
    <x v="88"/>
    <x v="7"/>
    <x v="5"/>
    <x v="2"/>
  </r>
  <r>
    <x v="1"/>
    <x v="8"/>
    <x v="373"/>
    <x v="66"/>
    <x v="66"/>
    <x v="3"/>
    <x v="8"/>
    <x v="7"/>
  </r>
  <r>
    <x v="1"/>
    <x v="8"/>
    <x v="374"/>
    <x v="89"/>
    <x v="89"/>
    <x v="0"/>
    <x v="9"/>
    <x v="7"/>
  </r>
  <r>
    <x v="4"/>
    <x v="8"/>
    <x v="375"/>
    <x v="60"/>
    <x v="60"/>
    <x v="6"/>
    <x v="9"/>
    <x v="2"/>
  </r>
  <r>
    <x v="0"/>
    <x v="8"/>
    <x v="376"/>
    <x v="84"/>
    <x v="84"/>
    <x v="3"/>
    <x v="9"/>
    <x v="7"/>
  </r>
  <r>
    <x v="3"/>
    <x v="8"/>
    <x v="377"/>
    <x v="23"/>
    <x v="23"/>
    <x v="0"/>
    <x v="9"/>
    <x v="7"/>
  </r>
  <r>
    <x v="3"/>
    <x v="8"/>
    <x v="378"/>
    <x v="90"/>
    <x v="90"/>
    <x v="3"/>
    <x v="9"/>
    <x v="17"/>
  </r>
  <r>
    <x v="3"/>
    <x v="9"/>
    <x v="379"/>
    <x v="91"/>
    <x v="91"/>
    <x v="8"/>
    <x v="10"/>
    <x v="14"/>
  </r>
  <r>
    <x v="2"/>
    <x v="9"/>
    <x v="380"/>
    <x v="38"/>
    <x v="38"/>
    <x v="10"/>
    <x v="10"/>
    <x v="14"/>
  </r>
  <r>
    <x v="4"/>
    <x v="10"/>
    <x v="381"/>
    <x v="92"/>
    <x v="92"/>
    <x v="0"/>
    <x v="16"/>
    <x v="20"/>
  </r>
  <r>
    <x v="4"/>
    <x v="10"/>
    <x v="382"/>
    <x v="93"/>
    <x v="93"/>
    <x v="0"/>
    <x v="16"/>
    <x v="20"/>
  </r>
  <r>
    <x v="2"/>
    <x v="10"/>
    <x v="383"/>
    <x v="52"/>
    <x v="20"/>
    <x v="0"/>
    <x v="16"/>
    <x v="2"/>
  </r>
  <r>
    <x v="2"/>
    <x v="10"/>
    <x v="384"/>
    <x v="92"/>
    <x v="92"/>
    <x v="0"/>
    <x v="16"/>
    <x v="7"/>
  </r>
  <r>
    <x v="2"/>
    <x v="10"/>
    <x v="385"/>
    <x v="93"/>
    <x v="93"/>
    <x v="0"/>
    <x v="16"/>
    <x v="7"/>
  </r>
  <r>
    <x v="2"/>
    <x v="10"/>
    <x v="386"/>
    <x v="93"/>
    <x v="93"/>
    <x v="0"/>
    <x v="16"/>
    <x v="7"/>
  </r>
  <r>
    <x v="1"/>
    <x v="10"/>
    <x v="387"/>
    <x v="93"/>
    <x v="93"/>
    <x v="0"/>
    <x v="16"/>
    <x v="7"/>
  </r>
  <r>
    <x v="1"/>
    <x v="10"/>
    <x v="388"/>
    <x v="93"/>
    <x v="93"/>
    <x v="0"/>
    <x v="16"/>
    <x v="7"/>
  </r>
  <r>
    <x v="1"/>
    <x v="10"/>
    <x v="389"/>
    <x v="92"/>
    <x v="92"/>
    <x v="0"/>
    <x v="16"/>
    <x v="7"/>
  </r>
  <r>
    <x v="2"/>
    <x v="10"/>
    <x v="390"/>
    <x v="94"/>
    <x v="94"/>
    <x v="0"/>
    <x v="16"/>
    <x v="7"/>
  </r>
  <r>
    <x v="2"/>
    <x v="10"/>
    <x v="391"/>
    <x v="95"/>
    <x v="0"/>
    <x v="0"/>
    <x v="16"/>
    <x v="7"/>
  </r>
  <r>
    <x v="2"/>
    <x v="10"/>
    <x v="392"/>
    <x v="0"/>
    <x v="0"/>
    <x v="0"/>
    <x v="16"/>
    <x v="7"/>
  </r>
  <r>
    <x v="2"/>
    <x v="10"/>
    <x v="212"/>
    <x v="27"/>
    <x v="27"/>
    <x v="3"/>
    <x v="16"/>
    <x v="2"/>
  </r>
  <r>
    <x v="2"/>
    <x v="10"/>
    <x v="208"/>
    <x v="27"/>
    <x v="27"/>
    <x v="3"/>
    <x v="16"/>
    <x v="2"/>
  </r>
  <r>
    <x v="2"/>
    <x v="10"/>
    <x v="207"/>
    <x v="27"/>
    <x v="27"/>
    <x v="3"/>
    <x v="16"/>
    <x v="2"/>
  </r>
  <r>
    <x v="2"/>
    <x v="10"/>
    <x v="209"/>
    <x v="27"/>
    <x v="27"/>
    <x v="3"/>
    <x v="16"/>
    <x v="2"/>
  </r>
  <r>
    <x v="2"/>
    <x v="10"/>
    <x v="210"/>
    <x v="27"/>
    <x v="27"/>
    <x v="3"/>
    <x v="16"/>
    <x v="2"/>
  </r>
  <r>
    <x v="2"/>
    <x v="10"/>
    <x v="211"/>
    <x v="27"/>
    <x v="27"/>
    <x v="3"/>
    <x v="16"/>
    <x v="2"/>
  </r>
  <r>
    <x v="0"/>
    <x v="10"/>
    <x v="154"/>
    <x v="4"/>
    <x v="4"/>
    <x v="4"/>
    <x v="16"/>
    <x v="20"/>
  </r>
  <r>
    <x v="0"/>
    <x v="10"/>
    <x v="155"/>
    <x v="4"/>
    <x v="4"/>
    <x v="4"/>
    <x v="16"/>
    <x v="20"/>
  </r>
  <r>
    <x v="3"/>
    <x v="10"/>
    <x v="310"/>
    <x v="27"/>
    <x v="27"/>
    <x v="3"/>
    <x v="16"/>
    <x v="20"/>
  </r>
  <r>
    <x v="3"/>
    <x v="10"/>
    <x v="311"/>
    <x v="27"/>
    <x v="27"/>
    <x v="3"/>
    <x v="16"/>
    <x v="20"/>
  </r>
  <r>
    <x v="3"/>
    <x v="10"/>
    <x v="315"/>
    <x v="27"/>
    <x v="27"/>
    <x v="3"/>
    <x v="16"/>
    <x v="20"/>
  </r>
  <r>
    <x v="3"/>
    <x v="10"/>
    <x v="316"/>
    <x v="27"/>
    <x v="27"/>
    <x v="3"/>
    <x v="16"/>
    <x v="20"/>
  </r>
  <r>
    <x v="3"/>
    <x v="10"/>
    <x v="317"/>
    <x v="27"/>
    <x v="27"/>
    <x v="3"/>
    <x v="16"/>
    <x v="20"/>
  </r>
  <r>
    <x v="3"/>
    <x v="10"/>
    <x v="318"/>
    <x v="27"/>
    <x v="27"/>
    <x v="3"/>
    <x v="16"/>
    <x v="20"/>
  </r>
  <r>
    <x v="3"/>
    <x v="10"/>
    <x v="393"/>
    <x v="93"/>
    <x v="93"/>
    <x v="0"/>
    <x v="16"/>
    <x v="20"/>
  </r>
  <r>
    <x v="3"/>
    <x v="10"/>
    <x v="394"/>
    <x v="92"/>
    <x v="92"/>
    <x v="0"/>
    <x v="16"/>
    <x v="20"/>
  </r>
  <r>
    <x v="3"/>
    <x v="10"/>
    <x v="395"/>
    <x v="96"/>
    <x v="95"/>
    <x v="7"/>
    <x v="11"/>
    <x v="2"/>
  </r>
  <r>
    <x v="0"/>
    <x v="10"/>
    <x v="396"/>
    <x v="34"/>
    <x v="34"/>
    <x v="7"/>
    <x v="11"/>
    <x v="2"/>
  </r>
  <r>
    <x v="2"/>
    <x v="10"/>
    <x v="397"/>
    <x v="97"/>
    <x v="96"/>
    <x v="4"/>
    <x v="1"/>
    <x v="3"/>
  </r>
  <r>
    <x v="2"/>
    <x v="10"/>
    <x v="398"/>
    <x v="97"/>
    <x v="96"/>
    <x v="4"/>
    <x v="1"/>
    <x v="3"/>
  </r>
  <r>
    <x v="2"/>
    <x v="10"/>
    <x v="399"/>
    <x v="97"/>
    <x v="96"/>
    <x v="0"/>
    <x v="1"/>
    <x v="7"/>
  </r>
  <r>
    <x v="2"/>
    <x v="10"/>
    <x v="400"/>
    <x v="97"/>
    <x v="96"/>
    <x v="0"/>
    <x v="1"/>
    <x v="7"/>
  </r>
  <r>
    <x v="0"/>
    <x v="10"/>
    <x v="401"/>
    <x v="97"/>
    <x v="96"/>
    <x v="4"/>
    <x v="1"/>
    <x v="7"/>
  </r>
  <r>
    <x v="0"/>
    <x v="10"/>
    <x v="402"/>
    <x v="97"/>
    <x v="96"/>
    <x v="4"/>
    <x v="1"/>
    <x v="7"/>
  </r>
  <r>
    <x v="0"/>
    <x v="10"/>
    <x v="403"/>
    <x v="97"/>
    <x v="96"/>
    <x v="4"/>
    <x v="1"/>
    <x v="7"/>
  </r>
  <r>
    <x v="0"/>
    <x v="10"/>
    <x v="404"/>
    <x v="97"/>
    <x v="96"/>
    <x v="4"/>
    <x v="1"/>
    <x v="7"/>
  </r>
  <r>
    <x v="0"/>
    <x v="10"/>
    <x v="405"/>
    <x v="97"/>
    <x v="96"/>
    <x v="4"/>
    <x v="1"/>
    <x v="7"/>
  </r>
  <r>
    <x v="0"/>
    <x v="10"/>
    <x v="406"/>
    <x v="97"/>
    <x v="96"/>
    <x v="4"/>
    <x v="1"/>
    <x v="7"/>
  </r>
  <r>
    <x v="0"/>
    <x v="10"/>
    <x v="407"/>
    <x v="97"/>
    <x v="96"/>
    <x v="4"/>
    <x v="1"/>
    <x v="7"/>
  </r>
  <r>
    <x v="1"/>
    <x v="10"/>
    <x v="408"/>
    <x v="98"/>
    <x v="97"/>
    <x v="0"/>
    <x v="1"/>
    <x v="7"/>
  </r>
  <r>
    <x v="1"/>
    <x v="10"/>
    <x v="409"/>
    <x v="98"/>
    <x v="97"/>
    <x v="0"/>
    <x v="1"/>
    <x v="7"/>
  </r>
  <r>
    <x v="1"/>
    <x v="10"/>
    <x v="410"/>
    <x v="63"/>
    <x v="63"/>
    <x v="6"/>
    <x v="1"/>
    <x v="7"/>
  </r>
  <r>
    <x v="0"/>
    <x v="10"/>
    <x v="411"/>
    <x v="98"/>
    <x v="97"/>
    <x v="0"/>
    <x v="1"/>
    <x v="7"/>
  </r>
  <r>
    <x v="3"/>
    <x v="10"/>
    <x v="412"/>
    <x v="97"/>
    <x v="96"/>
    <x v="4"/>
    <x v="1"/>
    <x v="7"/>
  </r>
  <r>
    <x v="3"/>
    <x v="10"/>
    <x v="413"/>
    <x v="97"/>
    <x v="96"/>
    <x v="4"/>
    <x v="1"/>
    <x v="7"/>
  </r>
  <r>
    <x v="3"/>
    <x v="10"/>
    <x v="414"/>
    <x v="97"/>
    <x v="96"/>
    <x v="4"/>
    <x v="1"/>
    <x v="7"/>
  </r>
  <r>
    <x v="3"/>
    <x v="10"/>
    <x v="415"/>
    <x v="97"/>
    <x v="96"/>
    <x v="4"/>
    <x v="1"/>
    <x v="7"/>
  </r>
  <r>
    <x v="3"/>
    <x v="10"/>
    <x v="416"/>
    <x v="97"/>
    <x v="96"/>
    <x v="4"/>
    <x v="1"/>
    <x v="7"/>
  </r>
  <r>
    <x v="3"/>
    <x v="10"/>
    <x v="417"/>
    <x v="97"/>
    <x v="96"/>
    <x v="4"/>
    <x v="1"/>
    <x v="7"/>
  </r>
  <r>
    <x v="3"/>
    <x v="10"/>
    <x v="418"/>
    <x v="97"/>
    <x v="96"/>
    <x v="4"/>
    <x v="1"/>
    <x v="7"/>
  </r>
  <r>
    <x v="0"/>
    <x v="10"/>
    <x v="419"/>
    <x v="99"/>
    <x v="44"/>
    <x v="1"/>
    <x v="3"/>
    <x v="2"/>
  </r>
  <r>
    <x v="2"/>
    <x v="10"/>
    <x v="420"/>
    <x v="100"/>
    <x v="98"/>
    <x v="3"/>
    <x v="4"/>
    <x v="17"/>
  </r>
  <r>
    <x v="2"/>
    <x v="10"/>
    <x v="421"/>
    <x v="100"/>
    <x v="98"/>
    <x v="3"/>
    <x v="4"/>
    <x v="17"/>
  </r>
  <r>
    <x v="2"/>
    <x v="10"/>
    <x v="422"/>
    <x v="101"/>
    <x v="99"/>
    <x v="0"/>
    <x v="4"/>
    <x v="10"/>
  </r>
  <r>
    <x v="2"/>
    <x v="10"/>
    <x v="423"/>
    <x v="101"/>
    <x v="99"/>
    <x v="0"/>
    <x v="4"/>
    <x v="10"/>
  </r>
  <r>
    <x v="1"/>
    <x v="10"/>
    <x v="424"/>
    <x v="76"/>
    <x v="76"/>
    <x v="7"/>
    <x v="7"/>
    <x v="2"/>
  </r>
  <r>
    <x v="1"/>
    <x v="10"/>
    <x v="425"/>
    <x v="13"/>
    <x v="13"/>
    <x v="7"/>
    <x v="18"/>
    <x v="2"/>
  </r>
  <r>
    <x v="2"/>
    <x v="10"/>
    <x v="426"/>
    <x v="98"/>
    <x v="97"/>
    <x v="0"/>
    <x v="9"/>
    <x v="7"/>
  </r>
  <r>
    <x v="2"/>
    <x v="10"/>
    <x v="427"/>
    <x v="97"/>
    <x v="96"/>
    <x v="4"/>
    <x v="9"/>
    <x v="3"/>
  </r>
  <r>
    <x v="3"/>
    <x v="10"/>
    <x v="428"/>
    <x v="98"/>
    <x v="97"/>
    <x v="0"/>
    <x v="9"/>
    <x v="7"/>
  </r>
  <r>
    <x v="2"/>
    <x v="10"/>
    <x v="429"/>
    <x v="86"/>
    <x v="86"/>
    <x v="0"/>
    <x v="19"/>
    <x v="2"/>
  </r>
  <r>
    <x v="0"/>
    <x v="11"/>
    <x v="430"/>
    <x v="58"/>
    <x v="58"/>
    <x v="0"/>
    <x v="0"/>
    <x v="12"/>
  </r>
  <r>
    <x v="2"/>
    <x v="11"/>
    <x v="431"/>
    <x v="87"/>
    <x v="87"/>
    <x v="0"/>
    <x v="16"/>
    <x v="7"/>
  </r>
  <r>
    <x v="2"/>
    <x v="11"/>
    <x v="432"/>
    <x v="102"/>
    <x v="100"/>
    <x v="3"/>
    <x v="16"/>
    <x v="17"/>
  </r>
  <r>
    <x v="2"/>
    <x v="11"/>
    <x v="433"/>
    <x v="41"/>
    <x v="41"/>
    <x v="3"/>
    <x v="16"/>
    <x v="7"/>
  </r>
  <r>
    <x v="2"/>
    <x v="11"/>
    <x v="434"/>
    <x v="41"/>
    <x v="41"/>
    <x v="3"/>
    <x v="16"/>
    <x v="7"/>
  </r>
  <r>
    <x v="2"/>
    <x v="11"/>
    <x v="435"/>
    <x v="41"/>
    <x v="41"/>
    <x v="3"/>
    <x v="16"/>
    <x v="7"/>
  </r>
  <r>
    <x v="2"/>
    <x v="11"/>
    <x v="436"/>
    <x v="103"/>
    <x v="101"/>
    <x v="0"/>
    <x v="16"/>
    <x v="7"/>
  </r>
  <r>
    <x v="4"/>
    <x v="11"/>
    <x v="437"/>
    <x v="102"/>
    <x v="100"/>
    <x v="3"/>
    <x v="16"/>
    <x v="2"/>
  </r>
  <r>
    <x v="4"/>
    <x v="11"/>
    <x v="438"/>
    <x v="104"/>
    <x v="102"/>
    <x v="8"/>
    <x v="11"/>
    <x v="2"/>
  </r>
  <r>
    <x v="4"/>
    <x v="11"/>
    <x v="439"/>
    <x v="105"/>
    <x v="96"/>
    <x v="0"/>
    <x v="1"/>
    <x v="7"/>
  </r>
  <r>
    <x v="4"/>
    <x v="11"/>
    <x v="440"/>
    <x v="105"/>
    <x v="96"/>
    <x v="0"/>
    <x v="1"/>
    <x v="7"/>
  </r>
  <r>
    <x v="4"/>
    <x v="11"/>
    <x v="441"/>
    <x v="97"/>
    <x v="96"/>
    <x v="3"/>
    <x v="1"/>
    <x v="7"/>
  </r>
  <r>
    <x v="4"/>
    <x v="11"/>
    <x v="442"/>
    <x v="97"/>
    <x v="96"/>
    <x v="3"/>
    <x v="1"/>
    <x v="7"/>
  </r>
  <r>
    <x v="1"/>
    <x v="11"/>
    <x v="443"/>
    <x v="97"/>
    <x v="96"/>
    <x v="3"/>
    <x v="1"/>
    <x v="7"/>
  </r>
  <r>
    <x v="1"/>
    <x v="11"/>
    <x v="444"/>
    <x v="97"/>
    <x v="96"/>
    <x v="3"/>
    <x v="1"/>
    <x v="7"/>
  </r>
  <r>
    <x v="1"/>
    <x v="11"/>
    <x v="445"/>
    <x v="97"/>
    <x v="96"/>
    <x v="3"/>
    <x v="1"/>
    <x v="7"/>
  </r>
  <r>
    <x v="1"/>
    <x v="11"/>
    <x v="446"/>
    <x v="97"/>
    <x v="96"/>
    <x v="3"/>
    <x v="1"/>
    <x v="7"/>
  </r>
  <r>
    <x v="1"/>
    <x v="11"/>
    <x v="447"/>
    <x v="97"/>
    <x v="96"/>
    <x v="3"/>
    <x v="1"/>
    <x v="7"/>
  </r>
  <r>
    <x v="1"/>
    <x v="11"/>
    <x v="448"/>
    <x v="97"/>
    <x v="96"/>
    <x v="3"/>
    <x v="1"/>
    <x v="7"/>
  </r>
  <r>
    <x v="1"/>
    <x v="11"/>
    <x v="449"/>
    <x v="39"/>
    <x v="39"/>
    <x v="10"/>
    <x v="3"/>
    <x v="2"/>
  </r>
  <r>
    <x v="2"/>
    <x v="11"/>
    <x v="207"/>
    <x v="27"/>
    <x v="27"/>
    <x v="4"/>
    <x v="4"/>
    <x v="2"/>
  </r>
  <r>
    <x v="2"/>
    <x v="11"/>
    <x v="208"/>
    <x v="27"/>
    <x v="27"/>
    <x v="4"/>
    <x v="4"/>
    <x v="2"/>
  </r>
  <r>
    <x v="2"/>
    <x v="11"/>
    <x v="209"/>
    <x v="27"/>
    <x v="27"/>
    <x v="4"/>
    <x v="4"/>
    <x v="2"/>
  </r>
  <r>
    <x v="2"/>
    <x v="11"/>
    <x v="210"/>
    <x v="27"/>
    <x v="27"/>
    <x v="4"/>
    <x v="4"/>
    <x v="2"/>
  </r>
  <r>
    <x v="2"/>
    <x v="11"/>
    <x v="211"/>
    <x v="27"/>
    <x v="27"/>
    <x v="4"/>
    <x v="4"/>
    <x v="2"/>
  </r>
  <r>
    <x v="2"/>
    <x v="11"/>
    <x v="212"/>
    <x v="27"/>
    <x v="27"/>
    <x v="4"/>
    <x v="4"/>
    <x v="2"/>
  </r>
  <r>
    <x v="2"/>
    <x v="11"/>
    <x v="450"/>
    <x v="30"/>
    <x v="30"/>
    <x v="4"/>
    <x v="4"/>
    <x v="3"/>
  </r>
  <r>
    <x v="2"/>
    <x v="11"/>
    <x v="451"/>
    <x v="30"/>
    <x v="30"/>
    <x v="4"/>
    <x v="4"/>
    <x v="3"/>
  </r>
  <r>
    <x v="2"/>
    <x v="11"/>
    <x v="452"/>
    <x v="87"/>
    <x v="87"/>
    <x v="0"/>
    <x v="4"/>
    <x v="22"/>
  </r>
  <r>
    <x v="1"/>
    <x v="11"/>
    <x v="299"/>
    <x v="27"/>
    <x v="27"/>
    <x v="5"/>
    <x v="20"/>
    <x v="17"/>
  </r>
  <r>
    <x v="0"/>
    <x v="11"/>
    <x v="453"/>
    <x v="102"/>
    <x v="100"/>
    <x v="3"/>
    <x v="20"/>
    <x v="1"/>
  </r>
  <r>
    <x v="1"/>
    <x v="11"/>
    <x v="368"/>
    <x v="87"/>
    <x v="87"/>
    <x v="0"/>
    <x v="20"/>
    <x v="1"/>
  </r>
  <r>
    <x v="0"/>
    <x v="11"/>
    <x v="454"/>
    <x v="103"/>
    <x v="101"/>
    <x v="0"/>
    <x v="20"/>
    <x v="1"/>
  </r>
  <r>
    <x v="2"/>
    <x v="11"/>
    <x v="455"/>
    <x v="60"/>
    <x v="60"/>
    <x v="3"/>
    <x v="8"/>
    <x v="2"/>
  </r>
  <r>
    <x v="4"/>
    <x v="11"/>
    <x v="456"/>
    <x v="106"/>
    <x v="103"/>
    <x v="3"/>
    <x v="14"/>
    <x v="17"/>
  </r>
  <r>
    <x v="4"/>
    <x v="11"/>
    <x v="457"/>
    <x v="106"/>
    <x v="103"/>
    <x v="3"/>
    <x v="14"/>
    <x v="17"/>
  </r>
  <r>
    <x v="4"/>
    <x v="11"/>
    <x v="458"/>
    <x v="107"/>
    <x v="104"/>
    <x v="7"/>
    <x v="15"/>
    <x v="6"/>
  </r>
  <r>
    <x v="0"/>
    <x v="11"/>
    <x v="459"/>
    <x v="107"/>
    <x v="104"/>
    <x v="7"/>
    <x v="15"/>
    <x v="6"/>
  </r>
  <r>
    <x v="4"/>
    <x v="11"/>
    <x v="460"/>
    <x v="108"/>
    <x v="105"/>
    <x v="10"/>
    <x v="10"/>
    <x v="2"/>
  </r>
  <r>
    <x v="2"/>
    <x v="11"/>
    <x v="461"/>
    <x v="6"/>
    <x v="6"/>
    <x v="7"/>
    <x v="10"/>
    <x v="2"/>
  </r>
  <r>
    <x v="0"/>
    <x v="11"/>
    <x v="462"/>
    <x v="6"/>
    <x v="6"/>
    <x v="7"/>
    <x v="10"/>
    <x v="6"/>
  </r>
  <r>
    <x v="2"/>
    <x v="11"/>
    <x v="463"/>
    <x v="109"/>
    <x v="106"/>
    <x v="10"/>
    <x v="10"/>
    <x v="2"/>
  </r>
  <r>
    <x v="0"/>
    <x v="11"/>
    <x v="464"/>
    <x v="91"/>
    <x v="91"/>
    <x v="8"/>
    <x v="10"/>
    <x v="2"/>
  </r>
  <r>
    <x v="2"/>
    <x v="12"/>
    <x v="465"/>
    <x v="67"/>
    <x v="67"/>
    <x v="0"/>
    <x v="16"/>
    <x v="7"/>
  </r>
  <r>
    <x v="2"/>
    <x v="12"/>
    <x v="466"/>
    <x v="67"/>
    <x v="67"/>
    <x v="0"/>
    <x v="16"/>
    <x v="7"/>
  </r>
  <r>
    <x v="2"/>
    <x v="12"/>
    <x v="467"/>
    <x v="67"/>
    <x v="67"/>
    <x v="0"/>
    <x v="16"/>
    <x v="7"/>
  </r>
  <r>
    <x v="4"/>
    <x v="12"/>
    <x v="124"/>
    <x v="17"/>
    <x v="17"/>
    <x v="3"/>
    <x v="16"/>
    <x v="2"/>
  </r>
  <r>
    <x v="0"/>
    <x v="12"/>
    <x v="468"/>
    <x v="110"/>
    <x v="107"/>
    <x v="11"/>
    <x v="11"/>
    <x v="2"/>
  </r>
  <r>
    <x v="0"/>
    <x v="12"/>
    <x v="469"/>
    <x v="104"/>
    <x v="102"/>
    <x v="8"/>
    <x v="11"/>
    <x v="2"/>
  </r>
  <r>
    <x v="4"/>
    <x v="12"/>
    <x v="470"/>
    <x v="26"/>
    <x v="26"/>
    <x v="8"/>
    <x v="11"/>
    <x v="2"/>
  </r>
  <r>
    <x v="1"/>
    <x v="12"/>
    <x v="471"/>
    <x v="111"/>
    <x v="108"/>
    <x v="1"/>
    <x v="11"/>
    <x v="2"/>
  </r>
  <r>
    <x v="2"/>
    <x v="12"/>
    <x v="472"/>
    <x v="111"/>
    <x v="108"/>
    <x v="1"/>
    <x v="1"/>
    <x v="7"/>
  </r>
  <r>
    <x v="4"/>
    <x v="12"/>
    <x v="473"/>
    <x v="111"/>
    <x v="108"/>
    <x v="1"/>
    <x v="1"/>
    <x v="7"/>
  </r>
  <r>
    <x v="1"/>
    <x v="12"/>
    <x v="474"/>
    <x v="111"/>
    <x v="108"/>
    <x v="1"/>
    <x v="1"/>
    <x v="7"/>
  </r>
  <r>
    <x v="0"/>
    <x v="12"/>
    <x v="475"/>
    <x v="111"/>
    <x v="108"/>
    <x v="1"/>
    <x v="1"/>
    <x v="7"/>
  </r>
  <r>
    <x v="4"/>
    <x v="12"/>
    <x v="476"/>
    <x v="112"/>
    <x v="109"/>
    <x v="0"/>
    <x v="1"/>
    <x v="8"/>
  </r>
  <r>
    <x v="3"/>
    <x v="12"/>
    <x v="477"/>
    <x v="9"/>
    <x v="9"/>
    <x v="7"/>
    <x v="1"/>
    <x v="7"/>
  </r>
  <r>
    <x v="3"/>
    <x v="12"/>
    <x v="478"/>
    <x v="111"/>
    <x v="108"/>
    <x v="1"/>
    <x v="1"/>
    <x v="7"/>
  </r>
  <r>
    <x v="2"/>
    <x v="12"/>
    <x v="479"/>
    <x v="105"/>
    <x v="96"/>
    <x v="4"/>
    <x v="4"/>
    <x v="7"/>
  </r>
  <r>
    <x v="2"/>
    <x v="12"/>
    <x v="397"/>
    <x v="105"/>
    <x v="96"/>
    <x v="4"/>
    <x v="4"/>
    <x v="7"/>
  </r>
  <r>
    <x v="2"/>
    <x v="12"/>
    <x v="480"/>
    <x v="105"/>
    <x v="96"/>
    <x v="4"/>
    <x v="4"/>
    <x v="7"/>
  </r>
  <r>
    <x v="2"/>
    <x v="12"/>
    <x v="398"/>
    <x v="105"/>
    <x v="96"/>
    <x v="4"/>
    <x v="4"/>
    <x v="7"/>
  </r>
  <r>
    <x v="2"/>
    <x v="12"/>
    <x v="400"/>
    <x v="105"/>
    <x v="96"/>
    <x v="4"/>
    <x v="4"/>
    <x v="7"/>
  </r>
  <r>
    <x v="2"/>
    <x v="12"/>
    <x v="399"/>
    <x v="105"/>
    <x v="96"/>
    <x v="0"/>
    <x v="4"/>
    <x v="7"/>
  </r>
  <r>
    <x v="2"/>
    <x v="12"/>
    <x v="427"/>
    <x v="105"/>
    <x v="96"/>
    <x v="0"/>
    <x v="4"/>
    <x v="7"/>
  </r>
  <r>
    <x v="2"/>
    <x v="12"/>
    <x v="481"/>
    <x v="105"/>
    <x v="96"/>
    <x v="4"/>
    <x v="4"/>
    <x v="7"/>
  </r>
  <r>
    <x v="0"/>
    <x v="12"/>
    <x v="401"/>
    <x v="105"/>
    <x v="96"/>
    <x v="4"/>
    <x v="4"/>
    <x v="7"/>
  </r>
  <r>
    <x v="0"/>
    <x v="12"/>
    <x v="402"/>
    <x v="105"/>
    <x v="96"/>
    <x v="4"/>
    <x v="4"/>
    <x v="7"/>
  </r>
  <r>
    <x v="0"/>
    <x v="12"/>
    <x v="403"/>
    <x v="105"/>
    <x v="96"/>
    <x v="4"/>
    <x v="4"/>
    <x v="7"/>
  </r>
  <r>
    <x v="0"/>
    <x v="12"/>
    <x v="405"/>
    <x v="105"/>
    <x v="96"/>
    <x v="4"/>
    <x v="4"/>
    <x v="7"/>
  </r>
  <r>
    <x v="0"/>
    <x v="12"/>
    <x v="406"/>
    <x v="105"/>
    <x v="96"/>
    <x v="4"/>
    <x v="4"/>
    <x v="7"/>
  </r>
  <r>
    <x v="0"/>
    <x v="12"/>
    <x v="407"/>
    <x v="105"/>
    <x v="96"/>
    <x v="4"/>
    <x v="4"/>
    <x v="7"/>
  </r>
  <r>
    <x v="0"/>
    <x v="12"/>
    <x v="404"/>
    <x v="105"/>
    <x v="96"/>
    <x v="4"/>
    <x v="4"/>
    <x v="7"/>
  </r>
  <r>
    <x v="0"/>
    <x v="12"/>
    <x v="482"/>
    <x v="34"/>
    <x v="34"/>
    <x v="7"/>
    <x v="4"/>
    <x v="7"/>
  </r>
  <r>
    <x v="0"/>
    <x v="12"/>
    <x v="483"/>
    <x v="34"/>
    <x v="34"/>
    <x v="7"/>
    <x v="4"/>
    <x v="7"/>
  </r>
  <r>
    <x v="1"/>
    <x v="12"/>
    <x v="484"/>
    <x v="5"/>
    <x v="44"/>
    <x v="1"/>
    <x v="5"/>
    <x v="2"/>
  </r>
  <r>
    <x v="1"/>
    <x v="12"/>
    <x v="485"/>
    <x v="5"/>
    <x v="44"/>
    <x v="1"/>
    <x v="5"/>
    <x v="2"/>
  </r>
  <r>
    <x v="1"/>
    <x v="12"/>
    <x v="486"/>
    <x v="5"/>
    <x v="44"/>
    <x v="1"/>
    <x v="5"/>
    <x v="2"/>
  </r>
  <r>
    <x v="1"/>
    <x v="12"/>
    <x v="487"/>
    <x v="109"/>
    <x v="106"/>
    <x v="10"/>
    <x v="6"/>
    <x v="2"/>
  </r>
  <r>
    <x v="0"/>
    <x v="12"/>
    <x v="488"/>
    <x v="14"/>
    <x v="14"/>
    <x v="1"/>
    <x v="13"/>
    <x v="2"/>
  </r>
  <r>
    <x v="3"/>
    <x v="12"/>
    <x v="361"/>
    <x v="86"/>
    <x v="86"/>
    <x v="0"/>
    <x v="20"/>
    <x v="1"/>
  </r>
  <r>
    <x v="3"/>
    <x v="12"/>
    <x v="362"/>
    <x v="86"/>
    <x v="86"/>
    <x v="0"/>
    <x v="20"/>
    <x v="1"/>
  </r>
  <r>
    <x v="3"/>
    <x v="12"/>
    <x v="489"/>
    <x v="86"/>
    <x v="86"/>
    <x v="0"/>
    <x v="20"/>
    <x v="1"/>
  </r>
  <r>
    <x v="1"/>
    <x v="12"/>
    <x v="490"/>
    <x v="14"/>
    <x v="14"/>
    <x v="1"/>
    <x v="21"/>
    <x v="2"/>
  </r>
  <r>
    <x v="1"/>
    <x v="12"/>
    <x v="491"/>
    <x v="14"/>
    <x v="14"/>
    <x v="1"/>
    <x v="21"/>
    <x v="2"/>
  </r>
  <r>
    <x v="4"/>
    <x v="12"/>
    <x v="492"/>
    <x v="14"/>
    <x v="14"/>
    <x v="1"/>
    <x v="21"/>
    <x v="9"/>
  </r>
  <r>
    <x v="4"/>
    <x v="12"/>
    <x v="493"/>
    <x v="14"/>
    <x v="14"/>
    <x v="1"/>
    <x v="21"/>
    <x v="9"/>
  </r>
  <r>
    <x v="0"/>
    <x v="12"/>
    <x v="494"/>
    <x v="57"/>
    <x v="57"/>
    <x v="3"/>
    <x v="22"/>
    <x v="7"/>
  </r>
  <r>
    <x v="4"/>
    <x v="12"/>
    <x v="495"/>
    <x v="113"/>
    <x v="110"/>
    <x v="6"/>
    <x v="23"/>
    <x v="7"/>
  </r>
  <r>
    <x v="1"/>
    <x v="12"/>
    <x v="496"/>
    <x v="114"/>
    <x v="111"/>
    <x v="7"/>
    <x v="23"/>
    <x v="6"/>
  </r>
  <r>
    <x v="3"/>
    <x v="12"/>
    <x v="497"/>
    <x v="14"/>
    <x v="14"/>
    <x v="1"/>
    <x v="23"/>
    <x v="7"/>
  </r>
  <r>
    <x v="0"/>
    <x v="12"/>
    <x v="498"/>
    <x v="115"/>
    <x v="112"/>
    <x v="6"/>
    <x v="10"/>
    <x v="7"/>
  </r>
  <r>
    <x v="0"/>
    <x v="12"/>
    <x v="499"/>
    <x v="116"/>
    <x v="113"/>
    <x v="10"/>
    <x v="10"/>
    <x v="2"/>
  </r>
  <r>
    <x v="3"/>
    <x v="12"/>
    <x v="500"/>
    <x v="112"/>
    <x v="109"/>
    <x v="0"/>
    <x v="10"/>
    <x v="7"/>
  </r>
  <r>
    <x v="2"/>
    <x v="13"/>
    <x v="501"/>
    <x v="99"/>
    <x v="44"/>
    <x v="3"/>
    <x v="11"/>
    <x v="2"/>
  </r>
  <r>
    <x v="3"/>
    <x v="13"/>
    <x v="502"/>
    <x v="32"/>
    <x v="32"/>
    <x v="10"/>
    <x v="11"/>
    <x v="2"/>
  </r>
  <r>
    <x v="0"/>
    <x v="13"/>
    <x v="503"/>
    <x v="117"/>
    <x v="114"/>
    <x v="0"/>
    <x v="11"/>
    <x v="2"/>
  </r>
  <r>
    <x v="0"/>
    <x v="13"/>
    <x v="504"/>
    <x v="117"/>
    <x v="114"/>
    <x v="0"/>
    <x v="11"/>
    <x v="2"/>
  </r>
  <r>
    <x v="0"/>
    <x v="13"/>
    <x v="505"/>
    <x v="5"/>
    <x v="44"/>
    <x v="6"/>
    <x v="11"/>
    <x v="2"/>
  </r>
  <r>
    <x v="1"/>
    <x v="13"/>
    <x v="506"/>
    <x v="36"/>
    <x v="36"/>
    <x v="6"/>
    <x v="11"/>
    <x v="2"/>
  </r>
  <r>
    <x v="1"/>
    <x v="13"/>
    <x v="507"/>
    <x v="36"/>
    <x v="36"/>
    <x v="6"/>
    <x v="11"/>
    <x v="2"/>
  </r>
  <r>
    <x v="1"/>
    <x v="13"/>
    <x v="508"/>
    <x v="36"/>
    <x v="36"/>
    <x v="6"/>
    <x v="11"/>
    <x v="2"/>
  </r>
  <r>
    <x v="1"/>
    <x v="13"/>
    <x v="509"/>
    <x v="42"/>
    <x v="42"/>
    <x v="7"/>
    <x v="11"/>
    <x v="2"/>
  </r>
  <r>
    <x v="1"/>
    <x v="13"/>
    <x v="510"/>
    <x v="42"/>
    <x v="42"/>
    <x v="7"/>
    <x v="11"/>
    <x v="2"/>
  </r>
  <r>
    <x v="1"/>
    <x v="13"/>
    <x v="511"/>
    <x v="42"/>
    <x v="42"/>
    <x v="7"/>
    <x v="11"/>
    <x v="2"/>
  </r>
  <r>
    <x v="1"/>
    <x v="13"/>
    <x v="512"/>
    <x v="42"/>
    <x v="42"/>
    <x v="7"/>
    <x v="11"/>
    <x v="2"/>
  </r>
  <r>
    <x v="1"/>
    <x v="13"/>
    <x v="513"/>
    <x v="42"/>
    <x v="42"/>
    <x v="7"/>
    <x v="11"/>
    <x v="2"/>
  </r>
  <r>
    <x v="1"/>
    <x v="13"/>
    <x v="514"/>
    <x v="42"/>
    <x v="42"/>
    <x v="7"/>
    <x v="11"/>
    <x v="2"/>
  </r>
  <r>
    <x v="1"/>
    <x v="13"/>
    <x v="515"/>
    <x v="42"/>
    <x v="42"/>
    <x v="7"/>
    <x v="11"/>
    <x v="2"/>
  </r>
  <r>
    <x v="1"/>
    <x v="13"/>
    <x v="516"/>
    <x v="42"/>
    <x v="42"/>
    <x v="7"/>
    <x v="11"/>
    <x v="2"/>
  </r>
  <r>
    <x v="1"/>
    <x v="13"/>
    <x v="517"/>
    <x v="42"/>
    <x v="42"/>
    <x v="7"/>
    <x v="11"/>
    <x v="2"/>
  </r>
  <r>
    <x v="4"/>
    <x v="13"/>
    <x v="518"/>
    <x v="118"/>
    <x v="115"/>
    <x v="1"/>
    <x v="1"/>
    <x v="23"/>
  </r>
  <r>
    <x v="2"/>
    <x v="13"/>
    <x v="519"/>
    <x v="99"/>
    <x v="44"/>
    <x v="6"/>
    <x v="3"/>
    <x v="2"/>
  </r>
  <r>
    <x v="3"/>
    <x v="13"/>
    <x v="520"/>
    <x v="6"/>
    <x v="6"/>
    <x v="10"/>
    <x v="3"/>
    <x v="2"/>
  </r>
  <r>
    <x v="3"/>
    <x v="13"/>
    <x v="521"/>
    <x v="118"/>
    <x v="115"/>
    <x v="1"/>
    <x v="4"/>
    <x v="24"/>
  </r>
  <r>
    <x v="3"/>
    <x v="13"/>
    <x v="522"/>
    <x v="119"/>
    <x v="116"/>
    <x v="4"/>
    <x v="4"/>
    <x v="4"/>
  </r>
  <r>
    <x v="1"/>
    <x v="13"/>
    <x v="523"/>
    <x v="5"/>
    <x v="44"/>
    <x v="6"/>
    <x v="12"/>
    <x v="2"/>
  </r>
  <r>
    <x v="2"/>
    <x v="13"/>
    <x v="524"/>
    <x v="60"/>
    <x v="60"/>
    <x v="6"/>
    <x v="13"/>
    <x v="23"/>
  </r>
  <r>
    <x v="2"/>
    <x v="13"/>
    <x v="525"/>
    <x v="99"/>
    <x v="44"/>
    <x v="3"/>
    <x v="13"/>
    <x v="23"/>
  </r>
  <r>
    <x v="0"/>
    <x v="13"/>
    <x v="526"/>
    <x v="60"/>
    <x v="60"/>
    <x v="6"/>
    <x v="13"/>
    <x v="2"/>
  </r>
  <r>
    <x v="1"/>
    <x v="13"/>
    <x v="527"/>
    <x v="66"/>
    <x v="66"/>
    <x v="3"/>
    <x v="20"/>
    <x v="1"/>
  </r>
  <r>
    <x v="1"/>
    <x v="13"/>
    <x v="373"/>
    <x v="66"/>
    <x v="66"/>
    <x v="3"/>
    <x v="20"/>
    <x v="1"/>
  </r>
  <r>
    <x v="1"/>
    <x v="13"/>
    <x v="355"/>
    <x v="8"/>
    <x v="8"/>
    <x v="7"/>
    <x v="20"/>
    <x v="1"/>
  </r>
  <r>
    <x v="1"/>
    <x v="13"/>
    <x v="528"/>
    <x v="88"/>
    <x v="88"/>
    <x v="7"/>
    <x v="21"/>
    <x v="2"/>
  </r>
  <r>
    <x v="2"/>
    <x v="13"/>
    <x v="529"/>
    <x v="88"/>
    <x v="88"/>
    <x v="7"/>
    <x v="22"/>
    <x v="23"/>
  </r>
  <r>
    <x v="1"/>
    <x v="13"/>
    <x v="530"/>
    <x v="60"/>
    <x v="60"/>
    <x v="6"/>
    <x v="23"/>
    <x v="23"/>
  </r>
  <r>
    <x v="1"/>
    <x v="13"/>
    <x v="531"/>
    <x v="60"/>
    <x v="60"/>
    <x v="6"/>
    <x v="23"/>
    <x v="23"/>
  </r>
  <r>
    <x v="4"/>
    <x v="13"/>
    <x v="532"/>
    <x v="78"/>
    <x v="78"/>
    <x v="0"/>
    <x v="23"/>
    <x v="23"/>
  </r>
  <r>
    <x v="0"/>
    <x v="13"/>
    <x v="533"/>
    <x v="120"/>
    <x v="117"/>
    <x v="0"/>
    <x v="23"/>
    <x v="8"/>
  </r>
  <r>
    <x v="4"/>
    <x v="13"/>
    <x v="534"/>
    <x v="121"/>
    <x v="118"/>
    <x v="7"/>
    <x v="23"/>
    <x v="23"/>
  </r>
  <r>
    <x v="0"/>
    <x v="13"/>
    <x v="396"/>
    <x v="34"/>
    <x v="34"/>
    <x v="7"/>
    <x v="23"/>
    <x v="23"/>
  </r>
  <r>
    <x v="0"/>
    <x v="13"/>
    <x v="535"/>
    <x v="60"/>
    <x v="60"/>
    <x v="6"/>
    <x v="23"/>
    <x v="23"/>
  </r>
  <r>
    <x v="4"/>
    <x v="13"/>
    <x v="536"/>
    <x v="122"/>
    <x v="119"/>
    <x v="10"/>
    <x v="10"/>
    <x v="2"/>
  </r>
  <r>
    <x v="3"/>
    <x v="13"/>
    <x v="537"/>
    <x v="123"/>
    <x v="120"/>
    <x v="10"/>
    <x v="10"/>
    <x v="2"/>
  </r>
  <r>
    <x v="3"/>
    <x v="13"/>
    <x v="538"/>
    <x v="91"/>
    <x v="91"/>
    <x v="8"/>
    <x v="10"/>
    <x v="2"/>
  </r>
  <r>
    <x v="3"/>
    <x v="14"/>
    <x v="539"/>
    <x v="124"/>
    <x v="121"/>
    <x v="5"/>
    <x v="11"/>
    <x v="2"/>
  </r>
  <r>
    <x v="3"/>
    <x v="14"/>
    <x v="540"/>
    <x v="125"/>
    <x v="122"/>
    <x v="7"/>
    <x v="11"/>
    <x v="2"/>
  </r>
  <r>
    <x v="4"/>
    <x v="14"/>
    <x v="541"/>
    <x v="126"/>
    <x v="123"/>
    <x v="7"/>
    <x v="3"/>
    <x v="2"/>
  </r>
  <r>
    <x v="1"/>
    <x v="14"/>
    <x v="542"/>
    <x v="98"/>
    <x v="97"/>
    <x v="0"/>
    <x v="5"/>
    <x v="2"/>
  </r>
  <r>
    <x v="1"/>
    <x v="14"/>
    <x v="543"/>
    <x v="98"/>
    <x v="97"/>
    <x v="0"/>
    <x v="5"/>
    <x v="2"/>
  </r>
  <r>
    <x v="0"/>
    <x v="14"/>
    <x v="544"/>
    <x v="87"/>
    <x v="87"/>
    <x v="1"/>
    <x v="5"/>
    <x v="2"/>
  </r>
  <r>
    <x v="0"/>
    <x v="14"/>
    <x v="545"/>
    <x v="87"/>
    <x v="87"/>
    <x v="0"/>
    <x v="5"/>
    <x v="2"/>
  </r>
  <r>
    <x v="1"/>
    <x v="14"/>
    <x v="546"/>
    <x v="127"/>
    <x v="124"/>
    <x v="0"/>
    <x v="20"/>
    <x v="1"/>
  </r>
  <r>
    <x v="4"/>
    <x v="14"/>
    <x v="547"/>
    <x v="1"/>
    <x v="1"/>
    <x v="1"/>
    <x v="23"/>
    <x v="7"/>
  </r>
  <r>
    <x v="4"/>
    <x v="14"/>
    <x v="548"/>
    <x v="1"/>
    <x v="1"/>
    <x v="1"/>
    <x v="23"/>
    <x v="7"/>
  </r>
  <r>
    <x v="2"/>
    <x v="14"/>
    <x v="549"/>
    <x v="128"/>
    <x v="60"/>
    <x v="6"/>
    <x v="10"/>
    <x v="5"/>
  </r>
  <r>
    <x v="2"/>
    <x v="14"/>
    <x v="550"/>
    <x v="128"/>
    <x v="60"/>
    <x v="6"/>
    <x v="10"/>
    <x v="5"/>
  </r>
  <r>
    <x v="0"/>
    <x v="14"/>
    <x v="551"/>
    <x v="39"/>
    <x v="39"/>
    <x v="10"/>
    <x v="10"/>
    <x v="2"/>
  </r>
  <r>
    <x v="3"/>
    <x v="15"/>
    <x v="552"/>
    <x v="40"/>
    <x v="40"/>
    <x v="4"/>
    <x v="23"/>
    <x v="3"/>
  </r>
  <r>
    <x v="3"/>
    <x v="15"/>
    <x v="553"/>
    <x v="24"/>
    <x v="24"/>
    <x v="9"/>
    <x v="10"/>
    <x v="2"/>
  </r>
  <r>
    <x v="1"/>
    <x v="15"/>
    <x v="554"/>
    <x v="7"/>
    <x v="7"/>
    <x v="5"/>
    <x v="10"/>
    <x v="2"/>
  </r>
  <r>
    <x v="4"/>
    <x v="16"/>
    <x v="555"/>
    <x v="129"/>
    <x v="125"/>
    <x v="7"/>
    <x v="3"/>
    <x v="2"/>
  </r>
  <r>
    <x v="1"/>
    <x v="16"/>
    <x v="556"/>
    <x v="90"/>
    <x v="90"/>
    <x v="4"/>
    <x v="4"/>
    <x v="10"/>
  </r>
  <r>
    <x v="2"/>
    <x v="16"/>
    <x v="557"/>
    <x v="130"/>
    <x v="126"/>
    <x v="4"/>
    <x v="4"/>
    <x v="3"/>
  </r>
  <r>
    <x v="2"/>
    <x v="16"/>
    <x v="558"/>
    <x v="8"/>
    <x v="8"/>
    <x v="7"/>
    <x v="4"/>
    <x v="6"/>
  </r>
  <r>
    <x v="2"/>
    <x v="16"/>
    <x v="559"/>
    <x v="8"/>
    <x v="8"/>
    <x v="7"/>
    <x v="4"/>
    <x v="6"/>
  </r>
  <r>
    <x v="2"/>
    <x v="16"/>
    <x v="560"/>
    <x v="131"/>
    <x v="127"/>
    <x v="0"/>
    <x v="4"/>
    <x v="7"/>
  </r>
  <r>
    <x v="1"/>
    <x v="16"/>
    <x v="542"/>
    <x v="98"/>
    <x v="97"/>
    <x v="0"/>
    <x v="4"/>
    <x v="7"/>
  </r>
  <r>
    <x v="1"/>
    <x v="16"/>
    <x v="543"/>
    <x v="98"/>
    <x v="97"/>
    <x v="0"/>
    <x v="4"/>
    <x v="7"/>
  </r>
  <r>
    <x v="1"/>
    <x v="16"/>
    <x v="447"/>
    <x v="97"/>
    <x v="96"/>
    <x v="3"/>
    <x v="4"/>
    <x v="7"/>
  </r>
  <r>
    <x v="1"/>
    <x v="16"/>
    <x v="448"/>
    <x v="97"/>
    <x v="96"/>
    <x v="3"/>
    <x v="4"/>
    <x v="7"/>
  </r>
  <r>
    <x v="1"/>
    <x v="16"/>
    <x v="443"/>
    <x v="97"/>
    <x v="96"/>
    <x v="3"/>
    <x v="4"/>
    <x v="7"/>
  </r>
  <r>
    <x v="1"/>
    <x v="16"/>
    <x v="446"/>
    <x v="97"/>
    <x v="96"/>
    <x v="3"/>
    <x v="4"/>
    <x v="7"/>
  </r>
  <r>
    <x v="1"/>
    <x v="16"/>
    <x v="444"/>
    <x v="97"/>
    <x v="96"/>
    <x v="3"/>
    <x v="4"/>
    <x v="7"/>
  </r>
  <r>
    <x v="1"/>
    <x v="16"/>
    <x v="445"/>
    <x v="97"/>
    <x v="96"/>
    <x v="3"/>
    <x v="4"/>
    <x v="7"/>
  </r>
  <r>
    <x v="4"/>
    <x v="16"/>
    <x v="561"/>
    <x v="8"/>
    <x v="8"/>
    <x v="7"/>
    <x v="4"/>
    <x v="6"/>
  </r>
  <r>
    <x v="4"/>
    <x v="16"/>
    <x v="562"/>
    <x v="8"/>
    <x v="8"/>
    <x v="7"/>
    <x v="4"/>
    <x v="6"/>
  </r>
  <r>
    <x v="4"/>
    <x v="16"/>
    <x v="563"/>
    <x v="8"/>
    <x v="8"/>
    <x v="7"/>
    <x v="4"/>
    <x v="6"/>
  </r>
  <r>
    <x v="4"/>
    <x v="16"/>
    <x v="564"/>
    <x v="8"/>
    <x v="8"/>
    <x v="7"/>
    <x v="4"/>
    <x v="6"/>
  </r>
  <r>
    <x v="4"/>
    <x v="16"/>
    <x v="565"/>
    <x v="8"/>
    <x v="8"/>
    <x v="7"/>
    <x v="4"/>
    <x v="6"/>
  </r>
  <r>
    <x v="4"/>
    <x v="16"/>
    <x v="566"/>
    <x v="8"/>
    <x v="8"/>
    <x v="7"/>
    <x v="4"/>
    <x v="6"/>
  </r>
  <r>
    <x v="4"/>
    <x v="16"/>
    <x v="567"/>
    <x v="8"/>
    <x v="8"/>
    <x v="7"/>
    <x v="4"/>
    <x v="6"/>
  </r>
  <r>
    <x v="4"/>
    <x v="16"/>
    <x v="568"/>
    <x v="8"/>
    <x v="8"/>
    <x v="7"/>
    <x v="4"/>
    <x v="6"/>
  </r>
  <r>
    <x v="4"/>
    <x v="16"/>
    <x v="569"/>
    <x v="8"/>
    <x v="8"/>
    <x v="7"/>
    <x v="4"/>
    <x v="6"/>
  </r>
  <r>
    <x v="4"/>
    <x v="16"/>
    <x v="570"/>
    <x v="8"/>
    <x v="8"/>
    <x v="7"/>
    <x v="4"/>
    <x v="6"/>
  </r>
  <r>
    <x v="4"/>
    <x v="16"/>
    <x v="571"/>
    <x v="8"/>
    <x v="8"/>
    <x v="7"/>
    <x v="4"/>
    <x v="6"/>
  </r>
  <r>
    <x v="4"/>
    <x v="16"/>
    <x v="442"/>
    <x v="97"/>
    <x v="96"/>
    <x v="3"/>
    <x v="4"/>
    <x v="7"/>
  </r>
  <r>
    <x v="4"/>
    <x v="16"/>
    <x v="439"/>
    <x v="105"/>
    <x v="96"/>
    <x v="0"/>
    <x v="4"/>
    <x v="25"/>
  </r>
  <r>
    <x v="4"/>
    <x v="16"/>
    <x v="572"/>
    <x v="97"/>
    <x v="96"/>
    <x v="3"/>
    <x v="4"/>
    <x v="7"/>
  </r>
  <r>
    <x v="4"/>
    <x v="16"/>
    <x v="440"/>
    <x v="105"/>
    <x v="96"/>
    <x v="0"/>
    <x v="4"/>
    <x v="7"/>
  </r>
  <r>
    <x v="4"/>
    <x v="16"/>
    <x v="573"/>
    <x v="59"/>
    <x v="59"/>
    <x v="9"/>
    <x v="4"/>
    <x v="7"/>
  </r>
  <r>
    <x v="0"/>
    <x v="16"/>
    <x v="574"/>
    <x v="73"/>
    <x v="73"/>
    <x v="9"/>
    <x v="5"/>
    <x v="2"/>
  </r>
  <r>
    <x v="3"/>
    <x v="16"/>
    <x v="521"/>
    <x v="118"/>
    <x v="115"/>
    <x v="1"/>
    <x v="5"/>
    <x v="4"/>
  </r>
  <r>
    <x v="1"/>
    <x v="16"/>
    <x v="575"/>
    <x v="132"/>
    <x v="128"/>
    <x v="0"/>
    <x v="12"/>
    <x v="2"/>
  </r>
  <r>
    <x v="3"/>
    <x v="16"/>
    <x v="576"/>
    <x v="12"/>
    <x v="12"/>
    <x v="6"/>
    <x v="21"/>
    <x v="2"/>
  </r>
  <r>
    <x v="3"/>
    <x v="16"/>
    <x v="577"/>
    <x v="60"/>
    <x v="60"/>
    <x v="3"/>
    <x v="8"/>
    <x v="7"/>
  </r>
  <r>
    <x v="3"/>
    <x v="16"/>
    <x v="578"/>
    <x v="13"/>
    <x v="13"/>
    <x v="7"/>
    <x v="18"/>
    <x v="6"/>
  </r>
  <r>
    <x v="2"/>
    <x v="16"/>
    <x v="579"/>
    <x v="8"/>
    <x v="8"/>
    <x v="0"/>
    <x v="22"/>
    <x v="7"/>
  </r>
  <r>
    <x v="1"/>
    <x v="16"/>
    <x v="580"/>
    <x v="8"/>
    <x v="8"/>
    <x v="0"/>
    <x v="22"/>
    <x v="7"/>
  </r>
  <r>
    <x v="2"/>
    <x v="16"/>
    <x v="581"/>
    <x v="133"/>
    <x v="129"/>
    <x v="7"/>
    <x v="10"/>
    <x v="2"/>
  </r>
  <r>
    <x v="2"/>
    <x v="16"/>
    <x v="582"/>
    <x v="109"/>
    <x v="106"/>
    <x v="10"/>
    <x v="10"/>
    <x v="2"/>
  </r>
  <r>
    <x v="0"/>
    <x v="16"/>
    <x v="583"/>
    <x v="39"/>
    <x v="39"/>
    <x v="10"/>
    <x v="10"/>
    <x v="2"/>
  </r>
  <r>
    <x v="3"/>
    <x v="16"/>
    <x v="584"/>
    <x v="24"/>
    <x v="24"/>
    <x v="8"/>
    <x v="10"/>
    <x v="2"/>
  </r>
  <r>
    <x v="4"/>
    <x v="17"/>
    <x v="585"/>
    <x v="22"/>
    <x v="22"/>
    <x v="7"/>
    <x v="11"/>
    <x v="2"/>
  </r>
  <r>
    <x v="4"/>
    <x v="17"/>
    <x v="586"/>
    <x v="12"/>
    <x v="12"/>
    <x v="7"/>
    <x v="1"/>
    <x v="6"/>
  </r>
  <r>
    <x v="3"/>
    <x v="17"/>
    <x v="587"/>
    <x v="133"/>
    <x v="129"/>
    <x v="7"/>
    <x v="1"/>
    <x v="7"/>
  </r>
  <r>
    <x v="0"/>
    <x v="17"/>
    <x v="588"/>
    <x v="134"/>
    <x v="130"/>
    <x v="7"/>
    <x v="5"/>
    <x v="2"/>
  </r>
  <r>
    <x v="0"/>
    <x v="17"/>
    <x v="589"/>
    <x v="1"/>
    <x v="1"/>
    <x v="1"/>
    <x v="5"/>
    <x v="2"/>
  </r>
  <r>
    <x v="0"/>
    <x v="17"/>
    <x v="590"/>
    <x v="1"/>
    <x v="1"/>
    <x v="1"/>
    <x v="5"/>
    <x v="2"/>
  </r>
  <r>
    <x v="3"/>
    <x v="17"/>
    <x v="591"/>
    <x v="15"/>
    <x v="15"/>
    <x v="6"/>
    <x v="6"/>
    <x v="2"/>
  </r>
  <r>
    <x v="3"/>
    <x v="17"/>
    <x v="592"/>
    <x v="15"/>
    <x v="15"/>
    <x v="6"/>
    <x v="6"/>
    <x v="2"/>
  </r>
  <r>
    <x v="3"/>
    <x v="17"/>
    <x v="593"/>
    <x v="1"/>
    <x v="1"/>
    <x v="1"/>
    <x v="13"/>
    <x v="9"/>
  </r>
  <r>
    <x v="3"/>
    <x v="17"/>
    <x v="594"/>
    <x v="1"/>
    <x v="1"/>
    <x v="1"/>
    <x v="13"/>
    <x v="9"/>
  </r>
  <r>
    <x v="2"/>
    <x v="17"/>
    <x v="549"/>
    <x v="128"/>
    <x v="60"/>
    <x v="6"/>
    <x v="13"/>
    <x v="5"/>
  </r>
  <r>
    <x v="2"/>
    <x v="17"/>
    <x v="595"/>
    <x v="1"/>
    <x v="1"/>
    <x v="1"/>
    <x v="8"/>
    <x v="7"/>
  </r>
  <r>
    <x v="1"/>
    <x v="17"/>
    <x v="596"/>
    <x v="2"/>
    <x v="2"/>
    <x v="0"/>
    <x v="8"/>
    <x v="7"/>
  </r>
  <r>
    <x v="5"/>
    <x v="17"/>
    <x v="597"/>
    <x v="78"/>
    <x v="78"/>
    <x v="0"/>
    <x v="23"/>
    <x v="8"/>
  </r>
  <r>
    <x v="5"/>
    <x v="17"/>
    <x v="598"/>
    <x v="2"/>
    <x v="2"/>
    <x v="0"/>
    <x v="23"/>
    <x v="8"/>
  </r>
  <r>
    <x v="0"/>
    <x v="17"/>
    <x v="599"/>
    <x v="119"/>
    <x v="116"/>
    <x v="4"/>
    <x v="23"/>
    <x v="3"/>
  </r>
  <r>
    <x v="4"/>
    <x v="17"/>
    <x v="600"/>
    <x v="48"/>
    <x v="49"/>
    <x v="0"/>
    <x v="23"/>
    <x v="8"/>
  </r>
  <r>
    <x v="0"/>
    <x v="17"/>
    <x v="601"/>
    <x v="1"/>
    <x v="1"/>
    <x v="1"/>
    <x v="23"/>
    <x v="7"/>
  </r>
  <r>
    <x v="0"/>
    <x v="17"/>
    <x v="602"/>
    <x v="1"/>
    <x v="1"/>
    <x v="1"/>
    <x v="23"/>
    <x v="7"/>
  </r>
  <r>
    <x v="3"/>
    <x v="17"/>
    <x v="603"/>
    <x v="1"/>
    <x v="1"/>
    <x v="1"/>
    <x v="23"/>
    <x v="9"/>
  </r>
  <r>
    <x v="3"/>
    <x v="17"/>
    <x v="604"/>
    <x v="1"/>
    <x v="1"/>
    <x v="1"/>
    <x v="23"/>
    <x v="9"/>
  </r>
  <r>
    <x v="0"/>
    <x v="17"/>
    <x v="605"/>
    <x v="128"/>
    <x v="60"/>
    <x v="6"/>
    <x v="14"/>
    <x v="5"/>
  </r>
  <r>
    <x v="3"/>
    <x v="17"/>
    <x v="606"/>
    <x v="107"/>
    <x v="104"/>
    <x v="7"/>
    <x v="15"/>
    <x v="6"/>
  </r>
  <r>
    <x v="3"/>
    <x v="17"/>
    <x v="607"/>
    <x v="39"/>
    <x v="39"/>
    <x v="10"/>
    <x v="15"/>
    <x v="2"/>
  </r>
  <r>
    <x v="3"/>
    <x v="17"/>
    <x v="608"/>
    <x v="128"/>
    <x v="60"/>
    <x v="6"/>
    <x v="15"/>
    <x v="5"/>
  </r>
  <r>
    <x v="2"/>
    <x v="17"/>
    <x v="609"/>
    <x v="135"/>
    <x v="131"/>
    <x v="8"/>
    <x v="10"/>
    <x v="7"/>
  </r>
  <r>
    <x v="0"/>
    <x v="18"/>
    <x v="610"/>
    <x v="136"/>
    <x v="132"/>
    <x v="3"/>
    <x v="24"/>
    <x v="26"/>
  </r>
  <r>
    <x v="0"/>
    <x v="18"/>
    <x v="611"/>
    <x v="136"/>
    <x v="132"/>
    <x v="3"/>
    <x v="24"/>
    <x v="26"/>
  </r>
  <r>
    <x v="4"/>
    <x v="18"/>
    <x v="612"/>
    <x v="136"/>
    <x v="132"/>
    <x v="3"/>
    <x v="25"/>
    <x v="2"/>
  </r>
  <r>
    <x v="4"/>
    <x v="18"/>
    <x v="613"/>
    <x v="136"/>
    <x v="132"/>
    <x v="3"/>
    <x v="25"/>
    <x v="2"/>
  </r>
  <r>
    <x v="3"/>
    <x v="18"/>
    <x v="614"/>
    <x v="136"/>
    <x v="132"/>
    <x v="3"/>
    <x v="0"/>
    <x v="27"/>
  </r>
  <r>
    <x v="3"/>
    <x v="18"/>
    <x v="615"/>
    <x v="136"/>
    <x v="132"/>
    <x v="3"/>
    <x v="0"/>
    <x v="27"/>
  </r>
  <r>
    <x v="5"/>
    <x v="18"/>
    <x v="616"/>
    <x v="1"/>
    <x v="1"/>
    <x v="1"/>
    <x v="1"/>
    <x v="9"/>
  </r>
  <r>
    <x v="5"/>
    <x v="18"/>
    <x v="617"/>
    <x v="2"/>
    <x v="2"/>
    <x v="3"/>
    <x v="3"/>
    <x v="2"/>
  </r>
  <r>
    <x v="1"/>
    <x v="18"/>
    <x v="618"/>
    <x v="14"/>
    <x v="14"/>
    <x v="1"/>
    <x v="3"/>
    <x v="2"/>
  </r>
  <r>
    <x v="3"/>
    <x v="18"/>
    <x v="619"/>
    <x v="14"/>
    <x v="14"/>
    <x v="1"/>
    <x v="3"/>
    <x v="2"/>
  </r>
  <r>
    <x v="3"/>
    <x v="18"/>
    <x v="620"/>
    <x v="14"/>
    <x v="14"/>
    <x v="1"/>
    <x v="3"/>
    <x v="2"/>
  </r>
  <r>
    <x v="0"/>
    <x v="18"/>
    <x v="589"/>
    <x v="1"/>
    <x v="1"/>
    <x v="1"/>
    <x v="4"/>
    <x v="9"/>
  </r>
  <r>
    <x v="0"/>
    <x v="18"/>
    <x v="590"/>
    <x v="1"/>
    <x v="1"/>
    <x v="1"/>
    <x v="4"/>
    <x v="9"/>
  </r>
  <r>
    <x v="1"/>
    <x v="18"/>
    <x v="621"/>
    <x v="137"/>
    <x v="133"/>
    <x v="4"/>
    <x v="5"/>
    <x v="10"/>
  </r>
  <r>
    <x v="5"/>
    <x v="18"/>
    <x v="622"/>
    <x v="138"/>
    <x v="134"/>
    <x v="5"/>
    <x v="6"/>
    <x v="2"/>
  </r>
  <r>
    <x v="1"/>
    <x v="18"/>
    <x v="623"/>
    <x v="14"/>
    <x v="14"/>
    <x v="1"/>
    <x v="21"/>
    <x v="2"/>
  </r>
  <r>
    <x v="0"/>
    <x v="18"/>
    <x v="624"/>
    <x v="14"/>
    <x v="14"/>
    <x v="1"/>
    <x v="21"/>
    <x v="2"/>
  </r>
  <r>
    <x v="3"/>
    <x v="18"/>
    <x v="625"/>
    <x v="14"/>
    <x v="14"/>
    <x v="1"/>
    <x v="21"/>
    <x v="2"/>
  </r>
  <r>
    <x v="3"/>
    <x v="18"/>
    <x v="626"/>
    <x v="14"/>
    <x v="14"/>
    <x v="1"/>
    <x v="21"/>
    <x v="2"/>
  </r>
  <r>
    <x v="4"/>
    <x v="18"/>
    <x v="627"/>
    <x v="14"/>
    <x v="14"/>
    <x v="1"/>
    <x v="21"/>
    <x v="9"/>
  </r>
  <r>
    <x v="4"/>
    <x v="18"/>
    <x v="628"/>
    <x v="14"/>
    <x v="14"/>
    <x v="1"/>
    <x v="21"/>
    <x v="9"/>
  </r>
  <r>
    <x v="3"/>
    <x v="18"/>
    <x v="629"/>
    <x v="2"/>
    <x v="2"/>
    <x v="0"/>
    <x v="8"/>
    <x v="28"/>
  </r>
  <r>
    <x v="3"/>
    <x v="18"/>
    <x v="630"/>
    <x v="114"/>
    <x v="111"/>
    <x v="7"/>
    <x v="26"/>
    <x v="29"/>
  </r>
  <r>
    <x v="4"/>
    <x v="18"/>
    <x v="631"/>
    <x v="139"/>
    <x v="135"/>
    <x v="7"/>
    <x v="18"/>
    <x v="2"/>
  </r>
  <r>
    <x v="4"/>
    <x v="18"/>
    <x v="632"/>
    <x v="139"/>
    <x v="135"/>
    <x v="7"/>
    <x v="18"/>
    <x v="2"/>
  </r>
  <r>
    <x v="5"/>
    <x v="18"/>
    <x v="633"/>
    <x v="1"/>
    <x v="1"/>
    <x v="1"/>
    <x v="22"/>
    <x v="9"/>
  </r>
  <r>
    <x v="2"/>
    <x v="18"/>
    <x v="634"/>
    <x v="57"/>
    <x v="57"/>
    <x v="4"/>
    <x v="23"/>
    <x v="2"/>
  </r>
  <r>
    <x v="0"/>
    <x v="18"/>
    <x v="635"/>
    <x v="7"/>
    <x v="7"/>
    <x v="8"/>
    <x v="10"/>
    <x v="2"/>
  </r>
  <r>
    <x v="0"/>
    <x v="18"/>
    <x v="636"/>
    <x v="140"/>
    <x v="136"/>
    <x v="6"/>
    <x v="10"/>
    <x v="2"/>
  </r>
  <r>
    <x v="1"/>
    <x v="19"/>
    <x v="637"/>
    <x v="136"/>
    <x v="132"/>
    <x v="3"/>
    <x v="25"/>
    <x v="2"/>
  </r>
  <r>
    <x v="1"/>
    <x v="19"/>
    <x v="638"/>
    <x v="136"/>
    <x v="132"/>
    <x v="3"/>
    <x v="25"/>
    <x v="2"/>
  </r>
  <r>
    <x v="0"/>
    <x v="19"/>
    <x v="639"/>
    <x v="132"/>
    <x v="128"/>
    <x v="0"/>
    <x v="11"/>
    <x v="2"/>
  </r>
  <r>
    <x v="5"/>
    <x v="19"/>
    <x v="640"/>
    <x v="1"/>
    <x v="1"/>
    <x v="1"/>
    <x v="1"/>
    <x v="7"/>
  </r>
  <r>
    <x v="2"/>
    <x v="19"/>
    <x v="641"/>
    <x v="5"/>
    <x v="44"/>
    <x v="6"/>
    <x v="2"/>
    <x v="1"/>
  </r>
  <r>
    <x v="4"/>
    <x v="19"/>
    <x v="642"/>
    <x v="5"/>
    <x v="44"/>
    <x v="6"/>
    <x v="2"/>
    <x v="1"/>
  </r>
  <r>
    <x v="1"/>
    <x v="19"/>
    <x v="643"/>
    <x v="1"/>
    <x v="1"/>
    <x v="1"/>
    <x v="3"/>
    <x v="9"/>
  </r>
  <r>
    <x v="1"/>
    <x v="19"/>
    <x v="644"/>
    <x v="1"/>
    <x v="1"/>
    <x v="1"/>
    <x v="3"/>
    <x v="9"/>
  </r>
  <r>
    <x v="1"/>
    <x v="19"/>
    <x v="645"/>
    <x v="1"/>
    <x v="1"/>
    <x v="1"/>
    <x v="3"/>
    <x v="9"/>
  </r>
  <r>
    <x v="1"/>
    <x v="19"/>
    <x v="646"/>
    <x v="1"/>
    <x v="1"/>
    <x v="1"/>
    <x v="3"/>
    <x v="9"/>
  </r>
  <r>
    <x v="2"/>
    <x v="19"/>
    <x v="647"/>
    <x v="42"/>
    <x v="42"/>
    <x v="1"/>
    <x v="4"/>
    <x v="7"/>
  </r>
  <r>
    <x v="2"/>
    <x v="19"/>
    <x v="648"/>
    <x v="73"/>
    <x v="73"/>
    <x v="9"/>
    <x v="4"/>
    <x v="10"/>
  </r>
  <r>
    <x v="2"/>
    <x v="19"/>
    <x v="649"/>
    <x v="141"/>
    <x v="137"/>
    <x v="9"/>
    <x v="4"/>
    <x v="10"/>
  </r>
  <r>
    <x v="5"/>
    <x v="19"/>
    <x v="650"/>
    <x v="42"/>
    <x v="42"/>
    <x v="1"/>
    <x v="4"/>
    <x v="7"/>
  </r>
  <r>
    <x v="5"/>
    <x v="19"/>
    <x v="651"/>
    <x v="73"/>
    <x v="73"/>
    <x v="9"/>
    <x v="4"/>
    <x v="2"/>
  </r>
  <r>
    <x v="5"/>
    <x v="19"/>
    <x v="652"/>
    <x v="73"/>
    <x v="73"/>
    <x v="9"/>
    <x v="4"/>
    <x v="2"/>
  </r>
  <r>
    <x v="5"/>
    <x v="19"/>
    <x v="653"/>
    <x v="73"/>
    <x v="73"/>
    <x v="9"/>
    <x v="4"/>
    <x v="2"/>
  </r>
  <r>
    <x v="5"/>
    <x v="19"/>
    <x v="654"/>
    <x v="73"/>
    <x v="73"/>
    <x v="9"/>
    <x v="4"/>
    <x v="2"/>
  </r>
  <r>
    <x v="5"/>
    <x v="19"/>
    <x v="655"/>
    <x v="73"/>
    <x v="73"/>
    <x v="9"/>
    <x v="4"/>
    <x v="2"/>
  </r>
  <r>
    <x v="5"/>
    <x v="19"/>
    <x v="656"/>
    <x v="73"/>
    <x v="73"/>
    <x v="9"/>
    <x v="4"/>
    <x v="2"/>
  </r>
  <r>
    <x v="1"/>
    <x v="19"/>
    <x v="334"/>
    <x v="75"/>
    <x v="75"/>
    <x v="3"/>
    <x v="5"/>
    <x v="2"/>
  </r>
  <r>
    <x v="0"/>
    <x v="19"/>
    <x v="657"/>
    <x v="142"/>
    <x v="138"/>
    <x v="3"/>
    <x v="5"/>
    <x v="2"/>
  </r>
  <r>
    <x v="5"/>
    <x v="19"/>
    <x v="658"/>
    <x v="143"/>
    <x v="139"/>
    <x v="3"/>
    <x v="5"/>
    <x v="2"/>
  </r>
  <r>
    <x v="2"/>
    <x v="19"/>
    <x v="659"/>
    <x v="1"/>
    <x v="1"/>
    <x v="1"/>
    <x v="13"/>
    <x v="7"/>
  </r>
  <r>
    <x v="1"/>
    <x v="19"/>
    <x v="660"/>
    <x v="1"/>
    <x v="1"/>
    <x v="1"/>
    <x v="13"/>
    <x v="9"/>
  </r>
  <r>
    <x v="1"/>
    <x v="19"/>
    <x v="661"/>
    <x v="1"/>
    <x v="1"/>
    <x v="1"/>
    <x v="13"/>
    <x v="9"/>
  </r>
  <r>
    <x v="1"/>
    <x v="19"/>
    <x v="662"/>
    <x v="1"/>
    <x v="1"/>
    <x v="1"/>
    <x v="13"/>
    <x v="9"/>
  </r>
  <r>
    <x v="4"/>
    <x v="19"/>
    <x v="439"/>
    <x v="105"/>
    <x v="96"/>
    <x v="0"/>
    <x v="27"/>
    <x v="17"/>
  </r>
  <r>
    <x v="4"/>
    <x v="19"/>
    <x v="440"/>
    <x v="105"/>
    <x v="96"/>
    <x v="0"/>
    <x v="27"/>
    <x v="17"/>
  </r>
  <r>
    <x v="4"/>
    <x v="19"/>
    <x v="441"/>
    <x v="97"/>
    <x v="96"/>
    <x v="3"/>
    <x v="27"/>
    <x v="17"/>
  </r>
  <r>
    <x v="4"/>
    <x v="19"/>
    <x v="442"/>
    <x v="97"/>
    <x v="96"/>
    <x v="3"/>
    <x v="27"/>
    <x v="17"/>
  </r>
  <r>
    <x v="0"/>
    <x v="19"/>
    <x v="601"/>
    <x v="1"/>
    <x v="1"/>
    <x v="1"/>
    <x v="8"/>
    <x v="7"/>
  </r>
  <r>
    <x v="0"/>
    <x v="19"/>
    <x v="663"/>
    <x v="1"/>
    <x v="1"/>
    <x v="1"/>
    <x v="8"/>
    <x v="7"/>
  </r>
  <r>
    <x v="0"/>
    <x v="19"/>
    <x v="664"/>
    <x v="1"/>
    <x v="1"/>
    <x v="1"/>
    <x v="8"/>
    <x v="7"/>
  </r>
  <r>
    <x v="2"/>
    <x v="19"/>
    <x v="665"/>
    <x v="1"/>
    <x v="1"/>
    <x v="1"/>
    <x v="8"/>
    <x v="2"/>
  </r>
  <r>
    <x v="2"/>
    <x v="19"/>
    <x v="666"/>
    <x v="1"/>
    <x v="1"/>
    <x v="1"/>
    <x v="8"/>
    <x v="2"/>
  </r>
  <r>
    <x v="0"/>
    <x v="19"/>
    <x v="667"/>
    <x v="8"/>
    <x v="8"/>
    <x v="1"/>
    <x v="26"/>
    <x v="7"/>
  </r>
  <r>
    <x v="0"/>
    <x v="19"/>
    <x v="668"/>
    <x v="137"/>
    <x v="133"/>
    <x v="4"/>
    <x v="18"/>
    <x v="2"/>
  </r>
  <r>
    <x v="1"/>
    <x v="19"/>
    <x v="669"/>
    <x v="130"/>
    <x v="126"/>
    <x v="4"/>
    <x v="18"/>
    <x v="2"/>
  </r>
  <r>
    <x v="1"/>
    <x v="19"/>
    <x v="670"/>
    <x v="130"/>
    <x v="126"/>
    <x v="4"/>
    <x v="18"/>
    <x v="2"/>
  </r>
  <r>
    <x v="1"/>
    <x v="19"/>
    <x v="671"/>
    <x v="130"/>
    <x v="126"/>
    <x v="4"/>
    <x v="18"/>
    <x v="2"/>
  </r>
  <r>
    <x v="1"/>
    <x v="19"/>
    <x v="672"/>
    <x v="130"/>
    <x v="126"/>
    <x v="4"/>
    <x v="18"/>
    <x v="2"/>
  </r>
  <r>
    <x v="1"/>
    <x v="19"/>
    <x v="673"/>
    <x v="130"/>
    <x v="126"/>
    <x v="4"/>
    <x v="18"/>
    <x v="2"/>
  </r>
  <r>
    <x v="1"/>
    <x v="19"/>
    <x v="674"/>
    <x v="130"/>
    <x v="126"/>
    <x v="4"/>
    <x v="18"/>
    <x v="2"/>
  </r>
  <r>
    <x v="0"/>
    <x v="19"/>
    <x v="602"/>
    <x v="1"/>
    <x v="1"/>
    <x v="1"/>
    <x v="22"/>
    <x v="7"/>
  </r>
  <r>
    <x v="0"/>
    <x v="19"/>
    <x v="675"/>
    <x v="8"/>
    <x v="8"/>
    <x v="1"/>
    <x v="22"/>
    <x v="7"/>
  </r>
  <r>
    <x v="4"/>
    <x v="19"/>
    <x v="566"/>
    <x v="8"/>
    <x v="8"/>
    <x v="0"/>
    <x v="22"/>
    <x v="7"/>
  </r>
  <r>
    <x v="0"/>
    <x v="19"/>
    <x v="676"/>
    <x v="42"/>
    <x v="42"/>
    <x v="1"/>
    <x v="22"/>
    <x v="7"/>
  </r>
  <r>
    <x v="0"/>
    <x v="19"/>
    <x v="677"/>
    <x v="42"/>
    <x v="42"/>
    <x v="1"/>
    <x v="22"/>
    <x v="7"/>
  </r>
  <r>
    <x v="0"/>
    <x v="19"/>
    <x v="678"/>
    <x v="42"/>
    <x v="42"/>
    <x v="1"/>
    <x v="22"/>
    <x v="7"/>
  </r>
  <r>
    <x v="3"/>
    <x v="19"/>
    <x v="679"/>
    <x v="42"/>
    <x v="42"/>
    <x v="1"/>
    <x v="22"/>
    <x v="9"/>
  </r>
  <r>
    <x v="3"/>
    <x v="19"/>
    <x v="680"/>
    <x v="8"/>
    <x v="8"/>
    <x v="9"/>
    <x v="22"/>
    <x v="7"/>
  </r>
  <r>
    <x v="4"/>
    <x v="19"/>
    <x v="567"/>
    <x v="8"/>
    <x v="8"/>
    <x v="0"/>
    <x v="23"/>
    <x v="7"/>
  </r>
  <r>
    <x v="5"/>
    <x v="19"/>
    <x v="681"/>
    <x v="22"/>
    <x v="22"/>
    <x v="1"/>
    <x v="23"/>
    <x v="7"/>
  </r>
  <r>
    <x v="5"/>
    <x v="19"/>
    <x v="682"/>
    <x v="63"/>
    <x v="63"/>
    <x v="11"/>
    <x v="23"/>
    <x v="30"/>
  </r>
  <r>
    <x v="3"/>
    <x v="19"/>
    <x v="683"/>
    <x v="8"/>
    <x v="8"/>
    <x v="1"/>
    <x v="23"/>
    <x v="7"/>
  </r>
  <r>
    <x v="5"/>
    <x v="19"/>
    <x v="684"/>
    <x v="144"/>
    <x v="140"/>
    <x v="3"/>
    <x v="23"/>
    <x v="31"/>
  </r>
  <r>
    <x v="5"/>
    <x v="19"/>
    <x v="685"/>
    <x v="48"/>
    <x v="49"/>
    <x v="0"/>
    <x v="23"/>
    <x v="7"/>
  </r>
  <r>
    <x v="1"/>
    <x v="19"/>
    <x v="686"/>
    <x v="145"/>
    <x v="141"/>
    <x v="0"/>
    <x v="15"/>
    <x v="2"/>
  </r>
  <r>
    <x v="3"/>
    <x v="19"/>
    <x v="687"/>
    <x v="54"/>
    <x v="54"/>
    <x v="10"/>
    <x v="15"/>
    <x v="2"/>
  </r>
  <r>
    <x v="0"/>
    <x v="19"/>
    <x v="688"/>
    <x v="24"/>
    <x v="24"/>
    <x v="8"/>
    <x v="10"/>
    <x v="2"/>
  </r>
  <r>
    <x v="0"/>
    <x v="19"/>
    <x v="689"/>
    <x v="146"/>
    <x v="142"/>
    <x v="1"/>
    <x v="10"/>
    <x v="9"/>
  </r>
  <r>
    <x v="3"/>
    <x v="19"/>
    <x v="690"/>
    <x v="24"/>
    <x v="24"/>
    <x v="8"/>
    <x v="10"/>
    <x v="2"/>
  </r>
  <r>
    <x v="0"/>
    <x v="20"/>
    <x v="691"/>
    <x v="147"/>
    <x v="143"/>
    <x v="1"/>
    <x v="11"/>
    <x v="2"/>
  </r>
  <r>
    <x v="5"/>
    <x v="20"/>
    <x v="692"/>
    <x v="14"/>
    <x v="14"/>
    <x v="1"/>
    <x v="3"/>
    <x v="2"/>
  </r>
  <r>
    <x v="1"/>
    <x v="20"/>
    <x v="693"/>
    <x v="126"/>
    <x v="123"/>
    <x v="1"/>
    <x v="4"/>
    <x v="7"/>
  </r>
  <r>
    <x v="2"/>
    <x v="20"/>
    <x v="694"/>
    <x v="76"/>
    <x v="76"/>
    <x v="1"/>
    <x v="5"/>
    <x v="2"/>
  </r>
  <r>
    <x v="5"/>
    <x v="20"/>
    <x v="695"/>
    <x v="23"/>
    <x v="23"/>
    <x v="6"/>
    <x v="5"/>
    <x v="2"/>
  </r>
  <r>
    <x v="5"/>
    <x v="20"/>
    <x v="696"/>
    <x v="81"/>
    <x v="81"/>
    <x v="3"/>
    <x v="5"/>
    <x v="2"/>
  </r>
  <r>
    <x v="5"/>
    <x v="20"/>
    <x v="697"/>
    <x v="81"/>
    <x v="81"/>
    <x v="3"/>
    <x v="5"/>
    <x v="2"/>
  </r>
  <r>
    <x v="5"/>
    <x v="20"/>
    <x v="698"/>
    <x v="57"/>
    <x v="57"/>
    <x v="6"/>
    <x v="5"/>
    <x v="2"/>
  </r>
  <r>
    <x v="5"/>
    <x v="20"/>
    <x v="699"/>
    <x v="57"/>
    <x v="57"/>
    <x v="6"/>
    <x v="5"/>
    <x v="2"/>
  </r>
  <r>
    <x v="5"/>
    <x v="20"/>
    <x v="700"/>
    <x v="57"/>
    <x v="57"/>
    <x v="6"/>
    <x v="5"/>
    <x v="2"/>
  </r>
  <r>
    <x v="5"/>
    <x v="20"/>
    <x v="701"/>
    <x v="57"/>
    <x v="57"/>
    <x v="6"/>
    <x v="5"/>
    <x v="2"/>
  </r>
  <r>
    <x v="3"/>
    <x v="20"/>
    <x v="702"/>
    <x v="86"/>
    <x v="86"/>
    <x v="0"/>
    <x v="21"/>
    <x v="2"/>
  </r>
  <r>
    <x v="3"/>
    <x v="20"/>
    <x v="703"/>
    <x v="86"/>
    <x v="86"/>
    <x v="0"/>
    <x v="21"/>
    <x v="2"/>
  </r>
  <r>
    <x v="0"/>
    <x v="20"/>
    <x v="704"/>
    <x v="126"/>
    <x v="123"/>
    <x v="1"/>
    <x v="22"/>
    <x v="7"/>
  </r>
  <r>
    <x v="0"/>
    <x v="20"/>
    <x v="504"/>
    <x v="117"/>
    <x v="114"/>
    <x v="0"/>
    <x v="22"/>
    <x v="7"/>
  </r>
  <r>
    <x v="0"/>
    <x v="20"/>
    <x v="503"/>
    <x v="117"/>
    <x v="114"/>
    <x v="0"/>
    <x v="22"/>
    <x v="7"/>
  </r>
  <r>
    <x v="0"/>
    <x v="20"/>
    <x v="705"/>
    <x v="148"/>
    <x v="144"/>
    <x v="1"/>
    <x v="22"/>
    <x v="7"/>
  </r>
  <r>
    <x v="2"/>
    <x v="20"/>
    <x v="706"/>
    <x v="121"/>
    <x v="118"/>
    <x v="1"/>
    <x v="22"/>
    <x v="7"/>
  </r>
  <r>
    <x v="2"/>
    <x v="20"/>
    <x v="707"/>
    <x v="57"/>
    <x v="57"/>
    <x v="4"/>
    <x v="22"/>
    <x v="7"/>
  </r>
  <r>
    <x v="4"/>
    <x v="20"/>
    <x v="708"/>
    <x v="149"/>
    <x v="145"/>
    <x v="3"/>
    <x v="23"/>
    <x v="32"/>
  </r>
  <r>
    <x v="5"/>
    <x v="20"/>
    <x v="709"/>
    <x v="12"/>
    <x v="12"/>
    <x v="1"/>
    <x v="23"/>
    <x v="7"/>
  </r>
  <r>
    <x v="0"/>
    <x v="20"/>
    <x v="710"/>
    <x v="150"/>
    <x v="146"/>
    <x v="0"/>
    <x v="23"/>
    <x v="8"/>
  </r>
  <r>
    <x v="0"/>
    <x v="20"/>
    <x v="711"/>
    <x v="57"/>
    <x v="57"/>
    <x v="4"/>
    <x v="23"/>
    <x v="3"/>
  </r>
  <r>
    <x v="3"/>
    <x v="20"/>
    <x v="712"/>
    <x v="50"/>
    <x v="51"/>
    <x v="10"/>
    <x v="15"/>
    <x v="2"/>
  </r>
  <r>
    <x v="4"/>
    <x v="20"/>
    <x v="713"/>
    <x v="24"/>
    <x v="24"/>
    <x v="5"/>
    <x v="10"/>
    <x v="2"/>
  </r>
  <r>
    <x v="3"/>
    <x v="20"/>
    <x v="714"/>
    <x v="24"/>
    <x v="24"/>
    <x v="8"/>
    <x v="10"/>
    <x v="2"/>
  </r>
  <r>
    <x v="2"/>
    <x v="21"/>
    <x v="715"/>
    <x v="24"/>
    <x v="24"/>
    <x v="5"/>
    <x v="15"/>
    <x v="2"/>
  </r>
  <r>
    <x v="2"/>
    <x v="21"/>
    <x v="716"/>
    <x v="38"/>
    <x v="38"/>
    <x v="10"/>
    <x v="10"/>
    <x v="2"/>
  </r>
  <r>
    <x v="4"/>
    <x v="22"/>
    <x v="717"/>
    <x v="99"/>
    <x v="44"/>
    <x v="3"/>
    <x v="16"/>
    <x v="2"/>
  </r>
  <r>
    <x v="4"/>
    <x v="22"/>
    <x v="718"/>
    <x v="99"/>
    <x v="44"/>
    <x v="3"/>
    <x v="16"/>
    <x v="2"/>
  </r>
  <r>
    <x v="2"/>
    <x v="22"/>
    <x v="719"/>
    <x v="47"/>
    <x v="48"/>
    <x v="1"/>
    <x v="11"/>
    <x v="2"/>
  </r>
  <r>
    <x v="2"/>
    <x v="22"/>
    <x v="720"/>
    <x v="11"/>
    <x v="11"/>
    <x v="0"/>
    <x v="11"/>
    <x v="2"/>
  </r>
  <r>
    <x v="5"/>
    <x v="22"/>
    <x v="721"/>
    <x v="151"/>
    <x v="147"/>
    <x v="1"/>
    <x v="1"/>
    <x v="7"/>
  </r>
  <r>
    <x v="5"/>
    <x v="22"/>
    <x v="722"/>
    <x v="63"/>
    <x v="63"/>
    <x v="6"/>
    <x v="2"/>
    <x v="20"/>
  </r>
  <r>
    <x v="2"/>
    <x v="22"/>
    <x v="723"/>
    <x v="152"/>
    <x v="148"/>
    <x v="9"/>
    <x v="4"/>
    <x v="11"/>
  </r>
  <r>
    <x v="2"/>
    <x v="22"/>
    <x v="724"/>
    <x v="107"/>
    <x v="104"/>
    <x v="1"/>
    <x v="4"/>
    <x v="7"/>
  </r>
  <r>
    <x v="1"/>
    <x v="22"/>
    <x v="725"/>
    <x v="152"/>
    <x v="148"/>
    <x v="9"/>
    <x v="4"/>
    <x v="11"/>
  </r>
  <r>
    <x v="0"/>
    <x v="22"/>
    <x v="544"/>
    <x v="87"/>
    <x v="87"/>
    <x v="1"/>
    <x v="4"/>
    <x v="7"/>
  </r>
  <r>
    <x v="5"/>
    <x v="22"/>
    <x v="726"/>
    <x v="64"/>
    <x v="64"/>
    <x v="0"/>
    <x v="4"/>
    <x v="7"/>
  </r>
  <r>
    <x v="5"/>
    <x v="22"/>
    <x v="727"/>
    <x v="64"/>
    <x v="64"/>
    <x v="0"/>
    <x v="4"/>
    <x v="7"/>
  </r>
  <r>
    <x v="5"/>
    <x v="22"/>
    <x v="728"/>
    <x v="64"/>
    <x v="64"/>
    <x v="0"/>
    <x v="4"/>
    <x v="7"/>
  </r>
  <r>
    <x v="5"/>
    <x v="22"/>
    <x v="729"/>
    <x v="64"/>
    <x v="64"/>
    <x v="0"/>
    <x v="4"/>
    <x v="7"/>
  </r>
  <r>
    <x v="3"/>
    <x v="22"/>
    <x v="730"/>
    <x v="65"/>
    <x v="65"/>
    <x v="9"/>
    <x v="4"/>
    <x v="7"/>
  </r>
  <r>
    <x v="3"/>
    <x v="22"/>
    <x v="731"/>
    <x v="11"/>
    <x v="11"/>
    <x v="3"/>
    <x v="4"/>
    <x v="7"/>
  </r>
  <r>
    <x v="2"/>
    <x v="22"/>
    <x v="732"/>
    <x v="153"/>
    <x v="149"/>
    <x v="3"/>
    <x v="5"/>
    <x v="4"/>
  </r>
  <r>
    <x v="2"/>
    <x v="22"/>
    <x v="733"/>
    <x v="153"/>
    <x v="149"/>
    <x v="3"/>
    <x v="5"/>
    <x v="4"/>
  </r>
  <r>
    <x v="2"/>
    <x v="22"/>
    <x v="560"/>
    <x v="131"/>
    <x v="127"/>
    <x v="0"/>
    <x v="5"/>
    <x v="4"/>
  </r>
  <r>
    <x v="2"/>
    <x v="22"/>
    <x v="734"/>
    <x v="13"/>
    <x v="13"/>
    <x v="1"/>
    <x v="5"/>
    <x v="2"/>
  </r>
  <r>
    <x v="2"/>
    <x v="22"/>
    <x v="735"/>
    <x v="99"/>
    <x v="44"/>
    <x v="3"/>
    <x v="5"/>
    <x v="2"/>
  </r>
  <r>
    <x v="4"/>
    <x v="22"/>
    <x v="736"/>
    <x v="34"/>
    <x v="34"/>
    <x v="1"/>
    <x v="5"/>
    <x v="2"/>
  </r>
  <r>
    <x v="4"/>
    <x v="22"/>
    <x v="737"/>
    <x v="34"/>
    <x v="34"/>
    <x v="1"/>
    <x v="5"/>
    <x v="2"/>
  </r>
  <r>
    <x v="2"/>
    <x v="22"/>
    <x v="738"/>
    <x v="9"/>
    <x v="9"/>
    <x v="1"/>
    <x v="5"/>
    <x v="2"/>
  </r>
  <r>
    <x v="2"/>
    <x v="22"/>
    <x v="739"/>
    <x v="9"/>
    <x v="9"/>
    <x v="1"/>
    <x v="5"/>
    <x v="2"/>
  </r>
  <r>
    <x v="3"/>
    <x v="22"/>
    <x v="740"/>
    <x v="16"/>
    <x v="16"/>
    <x v="9"/>
    <x v="5"/>
    <x v="4"/>
  </r>
  <r>
    <x v="3"/>
    <x v="22"/>
    <x v="741"/>
    <x v="16"/>
    <x v="16"/>
    <x v="9"/>
    <x v="5"/>
    <x v="4"/>
  </r>
  <r>
    <x v="5"/>
    <x v="22"/>
    <x v="742"/>
    <x v="154"/>
    <x v="150"/>
    <x v="3"/>
    <x v="8"/>
    <x v="31"/>
  </r>
  <r>
    <x v="5"/>
    <x v="22"/>
    <x v="743"/>
    <x v="154"/>
    <x v="150"/>
    <x v="3"/>
    <x v="8"/>
    <x v="31"/>
  </r>
  <r>
    <x v="4"/>
    <x v="22"/>
    <x v="744"/>
    <x v="87"/>
    <x v="87"/>
    <x v="0"/>
    <x v="26"/>
    <x v="8"/>
  </r>
  <r>
    <x v="2"/>
    <x v="22"/>
    <x v="745"/>
    <x v="121"/>
    <x v="118"/>
    <x v="1"/>
    <x v="22"/>
    <x v="7"/>
  </r>
  <r>
    <x v="1"/>
    <x v="22"/>
    <x v="746"/>
    <x v="57"/>
    <x v="57"/>
    <x v="4"/>
    <x v="22"/>
    <x v="7"/>
  </r>
  <r>
    <x v="0"/>
    <x v="22"/>
    <x v="747"/>
    <x v="65"/>
    <x v="65"/>
    <x v="9"/>
    <x v="22"/>
    <x v="33"/>
  </r>
  <r>
    <x v="0"/>
    <x v="22"/>
    <x v="748"/>
    <x v="121"/>
    <x v="118"/>
    <x v="1"/>
    <x v="22"/>
    <x v="7"/>
  </r>
  <r>
    <x v="3"/>
    <x v="22"/>
    <x v="749"/>
    <x v="8"/>
    <x v="8"/>
    <x v="1"/>
    <x v="22"/>
    <x v="7"/>
  </r>
  <r>
    <x v="2"/>
    <x v="22"/>
    <x v="750"/>
    <x v="42"/>
    <x v="42"/>
    <x v="1"/>
    <x v="23"/>
    <x v="7"/>
  </r>
  <r>
    <x v="4"/>
    <x v="22"/>
    <x v="751"/>
    <x v="93"/>
    <x v="93"/>
    <x v="0"/>
    <x v="23"/>
    <x v="34"/>
  </r>
  <r>
    <x v="3"/>
    <x v="22"/>
    <x v="752"/>
    <x v="8"/>
    <x v="8"/>
    <x v="0"/>
    <x v="23"/>
    <x v="7"/>
  </r>
  <r>
    <x v="2"/>
    <x v="22"/>
    <x v="753"/>
    <x v="155"/>
    <x v="151"/>
    <x v="10"/>
    <x v="15"/>
    <x v="2"/>
  </r>
  <r>
    <x v="0"/>
    <x v="22"/>
    <x v="754"/>
    <x v="39"/>
    <x v="39"/>
    <x v="10"/>
    <x v="10"/>
    <x v="2"/>
  </r>
  <r>
    <x v="3"/>
    <x v="22"/>
    <x v="755"/>
    <x v="39"/>
    <x v="39"/>
    <x v="10"/>
    <x v="10"/>
    <x v="2"/>
  </r>
  <r>
    <x v="0"/>
    <x v="23"/>
    <x v="756"/>
    <x v="16"/>
    <x v="16"/>
    <x v="0"/>
    <x v="11"/>
    <x v="2"/>
  </r>
  <r>
    <x v="0"/>
    <x v="23"/>
    <x v="757"/>
    <x v="16"/>
    <x v="16"/>
    <x v="0"/>
    <x v="11"/>
    <x v="2"/>
  </r>
  <r>
    <x v="0"/>
    <x v="23"/>
    <x v="758"/>
    <x v="15"/>
    <x v="15"/>
    <x v="6"/>
    <x v="11"/>
    <x v="2"/>
  </r>
  <r>
    <x v="3"/>
    <x v="23"/>
    <x v="759"/>
    <x v="117"/>
    <x v="114"/>
    <x v="0"/>
    <x v="11"/>
    <x v="2"/>
  </r>
  <r>
    <x v="3"/>
    <x v="23"/>
    <x v="760"/>
    <x v="117"/>
    <x v="114"/>
    <x v="0"/>
    <x v="11"/>
    <x v="2"/>
  </r>
  <r>
    <x v="3"/>
    <x v="23"/>
    <x v="761"/>
    <x v="78"/>
    <x v="78"/>
    <x v="0"/>
    <x v="11"/>
    <x v="2"/>
  </r>
  <r>
    <x v="3"/>
    <x v="23"/>
    <x v="762"/>
    <x v="78"/>
    <x v="78"/>
    <x v="0"/>
    <x v="11"/>
    <x v="2"/>
  </r>
  <r>
    <x v="4"/>
    <x v="23"/>
    <x v="763"/>
    <x v="1"/>
    <x v="1"/>
    <x v="1"/>
    <x v="1"/>
    <x v="7"/>
  </r>
  <r>
    <x v="0"/>
    <x v="23"/>
    <x v="764"/>
    <x v="1"/>
    <x v="1"/>
    <x v="1"/>
    <x v="1"/>
    <x v="7"/>
  </r>
  <r>
    <x v="3"/>
    <x v="23"/>
    <x v="765"/>
    <x v="1"/>
    <x v="1"/>
    <x v="1"/>
    <x v="1"/>
    <x v="7"/>
  </r>
  <r>
    <x v="2"/>
    <x v="23"/>
    <x v="766"/>
    <x v="1"/>
    <x v="1"/>
    <x v="1"/>
    <x v="3"/>
    <x v="2"/>
  </r>
  <r>
    <x v="2"/>
    <x v="23"/>
    <x v="733"/>
    <x v="153"/>
    <x v="149"/>
    <x v="3"/>
    <x v="3"/>
    <x v="2"/>
  </r>
  <r>
    <x v="0"/>
    <x v="23"/>
    <x v="767"/>
    <x v="1"/>
    <x v="1"/>
    <x v="1"/>
    <x v="3"/>
    <x v="2"/>
  </r>
  <r>
    <x v="5"/>
    <x v="23"/>
    <x v="768"/>
    <x v="57"/>
    <x v="57"/>
    <x v="3"/>
    <x v="3"/>
    <x v="2"/>
  </r>
  <r>
    <x v="0"/>
    <x v="23"/>
    <x v="747"/>
    <x v="65"/>
    <x v="65"/>
    <x v="9"/>
    <x v="4"/>
    <x v="2"/>
  </r>
  <r>
    <x v="1"/>
    <x v="23"/>
    <x v="769"/>
    <x v="156"/>
    <x v="126"/>
    <x v="4"/>
    <x v="4"/>
    <x v="35"/>
  </r>
  <r>
    <x v="1"/>
    <x v="23"/>
    <x v="671"/>
    <x v="156"/>
    <x v="126"/>
    <x v="4"/>
    <x v="4"/>
    <x v="35"/>
  </r>
  <r>
    <x v="1"/>
    <x v="23"/>
    <x v="672"/>
    <x v="156"/>
    <x v="126"/>
    <x v="4"/>
    <x v="4"/>
    <x v="35"/>
  </r>
  <r>
    <x v="1"/>
    <x v="23"/>
    <x v="673"/>
    <x v="156"/>
    <x v="126"/>
    <x v="4"/>
    <x v="4"/>
    <x v="35"/>
  </r>
  <r>
    <x v="1"/>
    <x v="23"/>
    <x v="674"/>
    <x v="156"/>
    <x v="126"/>
    <x v="4"/>
    <x v="4"/>
    <x v="35"/>
  </r>
  <r>
    <x v="1"/>
    <x v="23"/>
    <x v="669"/>
    <x v="156"/>
    <x v="126"/>
    <x v="4"/>
    <x v="4"/>
    <x v="35"/>
  </r>
  <r>
    <x v="4"/>
    <x v="23"/>
    <x v="770"/>
    <x v="157"/>
    <x v="152"/>
    <x v="1"/>
    <x v="5"/>
    <x v="2"/>
  </r>
  <r>
    <x v="2"/>
    <x v="23"/>
    <x v="771"/>
    <x v="1"/>
    <x v="1"/>
    <x v="1"/>
    <x v="13"/>
    <x v="7"/>
  </r>
  <r>
    <x v="3"/>
    <x v="23"/>
    <x v="772"/>
    <x v="131"/>
    <x v="127"/>
    <x v="0"/>
    <x v="13"/>
    <x v="2"/>
  </r>
  <r>
    <x v="3"/>
    <x v="23"/>
    <x v="773"/>
    <x v="131"/>
    <x v="127"/>
    <x v="0"/>
    <x v="13"/>
    <x v="2"/>
  </r>
  <r>
    <x v="3"/>
    <x v="23"/>
    <x v="774"/>
    <x v="1"/>
    <x v="1"/>
    <x v="1"/>
    <x v="13"/>
    <x v="10"/>
  </r>
  <r>
    <x v="0"/>
    <x v="23"/>
    <x v="775"/>
    <x v="16"/>
    <x v="16"/>
    <x v="0"/>
    <x v="20"/>
    <x v="1"/>
  </r>
  <r>
    <x v="2"/>
    <x v="23"/>
    <x v="776"/>
    <x v="1"/>
    <x v="1"/>
    <x v="1"/>
    <x v="8"/>
    <x v="7"/>
  </r>
  <r>
    <x v="0"/>
    <x v="23"/>
    <x v="777"/>
    <x v="58"/>
    <x v="58"/>
    <x v="0"/>
    <x v="26"/>
    <x v="7"/>
  </r>
  <r>
    <x v="1"/>
    <x v="23"/>
    <x v="778"/>
    <x v="98"/>
    <x v="97"/>
    <x v="0"/>
    <x v="22"/>
    <x v="8"/>
  </r>
  <r>
    <x v="0"/>
    <x v="23"/>
    <x v="779"/>
    <x v="98"/>
    <x v="97"/>
    <x v="0"/>
    <x v="22"/>
    <x v="7"/>
  </r>
  <r>
    <x v="4"/>
    <x v="23"/>
    <x v="780"/>
    <x v="8"/>
    <x v="8"/>
    <x v="8"/>
    <x v="22"/>
    <x v="7"/>
  </r>
  <r>
    <x v="0"/>
    <x v="23"/>
    <x v="781"/>
    <x v="1"/>
    <x v="1"/>
    <x v="1"/>
    <x v="22"/>
    <x v="7"/>
  </r>
  <r>
    <x v="0"/>
    <x v="23"/>
    <x v="782"/>
    <x v="1"/>
    <x v="1"/>
    <x v="1"/>
    <x v="22"/>
    <x v="7"/>
  </r>
  <r>
    <x v="0"/>
    <x v="23"/>
    <x v="783"/>
    <x v="58"/>
    <x v="58"/>
    <x v="0"/>
    <x v="22"/>
    <x v="7"/>
  </r>
  <r>
    <x v="5"/>
    <x v="23"/>
    <x v="784"/>
    <x v="114"/>
    <x v="111"/>
    <x v="1"/>
    <x v="22"/>
    <x v="9"/>
  </r>
  <r>
    <x v="4"/>
    <x v="23"/>
    <x v="785"/>
    <x v="99"/>
    <x v="44"/>
    <x v="3"/>
    <x v="23"/>
    <x v="7"/>
  </r>
  <r>
    <x v="5"/>
    <x v="23"/>
    <x v="786"/>
    <x v="98"/>
    <x v="97"/>
    <x v="0"/>
    <x v="23"/>
    <x v="32"/>
  </r>
  <r>
    <x v="4"/>
    <x v="23"/>
    <x v="787"/>
    <x v="1"/>
    <x v="1"/>
    <x v="1"/>
    <x v="23"/>
    <x v="7"/>
  </r>
  <r>
    <x v="4"/>
    <x v="23"/>
    <x v="788"/>
    <x v="1"/>
    <x v="1"/>
    <x v="1"/>
    <x v="23"/>
    <x v="7"/>
  </r>
  <r>
    <x v="3"/>
    <x v="23"/>
    <x v="789"/>
    <x v="1"/>
    <x v="1"/>
    <x v="1"/>
    <x v="23"/>
    <x v="7"/>
  </r>
  <r>
    <x v="1"/>
    <x v="23"/>
    <x v="790"/>
    <x v="1"/>
    <x v="1"/>
    <x v="1"/>
    <x v="23"/>
    <x v="7"/>
  </r>
  <r>
    <x v="1"/>
    <x v="23"/>
    <x v="791"/>
    <x v="1"/>
    <x v="1"/>
    <x v="1"/>
    <x v="23"/>
    <x v="7"/>
  </r>
  <r>
    <x v="1"/>
    <x v="23"/>
    <x v="792"/>
    <x v="1"/>
    <x v="1"/>
    <x v="1"/>
    <x v="23"/>
    <x v="7"/>
  </r>
  <r>
    <x v="3"/>
    <x v="23"/>
    <x v="793"/>
    <x v="98"/>
    <x v="97"/>
    <x v="0"/>
    <x v="23"/>
    <x v="7"/>
  </r>
  <r>
    <x v="5"/>
    <x v="23"/>
    <x v="721"/>
    <x v="151"/>
    <x v="147"/>
    <x v="1"/>
    <x v="15"/>
    <x v="36"/>
  </r>
  <r>
    <x v="2"/>
    <x v="23"/>
    <x v="794"/>
    <x v="109"/>
    <x v="106"/>
    <x v="10"/>
    <x v="10"/>
    <x v="2"/>
  </r>
  <r>
    <x v="2"/>
    <x v="24"/>
    <x v="795"/>
    <x v="132"/>
    <x v="128"/>
    <x v="0"/>
    <x v="11"/>
    <x v="2"/>
  </r>
  <r>
    <x v="2"/>
    <x v="24"/>
    <x v="796"/>
    <x v="158"/>
    <x v="153"/>
    <x v="0"/>
    <x v="11"/>
    <x v="2"/>
  </r>
  <r>
    <x v="2"/>
    <x v="24"/>
    <x v="797"/>
    <x v="158"/>
    <x v="153"/>
    <x v="0"/>
    <x v="11"/>
    <x v="2"/>
  </r>
  <r>
    <x v="4"/>
    <x v="24"/>
    <x v="798"/>
    <x v="107"/>
    <x v="104"/>
    <x v="1"/>
    <x v="1"/>
    <x v="7"/>
  </r>
  <r>
    <x v="1"/>
    <x v="24"/>
    <x v="799"/>
    <x v="99"/>
    <x v="44"/>
    <x v="6"/>
    <x v="3"/>
    <x v="2"/>
  </r>
  <r>
    <x v="0"/>
    <x v="24"/>
    <x v="800"/>
    <x v="99"/>
    <x v="44"/>
    <x v="6"/>
    <x v="5"/>
    <x v="2"/>
  </r>
  <r>
    <x v="3"/>
    <x v="24"/>
    <x v="801"/>
    <x v="14"/>
    <x v="14"/>
    <x v="1"/>
    <x v="6"/>
    <x v="2"/>
  </r>
  <r>
    <x v="2"/>
    <x v="24"/>
    <x v="802"/>
    <x v="159"/>
    <x v="154"/>
    <x v="3"/>
    <x v="27"/>
    <x v="2"/>
  </r>
  <r>
    <x v="0"/>
    <x v="24"/>
    <x v="803"/>
    <x v="14"/>
    <x v="14"/>
    <x v="1"/>
    <x v="21"/>
    <x v="2"/>
  </r>
  <r>
    <x v="4"/>
    <x v="24"/>
    <x v="804"/>
    <x v="14"/>
    <x v="14"/>
    <x v="1"/>
    <x v="21"/>
    <x v="9"/>
  </r>
  <r>
    <x v="3"/>
    <x v="24"/>
    <x v="805"/>
    <x v="57"/>
    <x v="57"/>
    <x v="6"/>
    <x v="26"/>
    <x v="7"/>
  </r>
  <r>
    <x v="0"/>
    <x v="24"/>
    <x v="806"/>
    <x v="9"/>
    <x v="9"/>
    <x v="0"/>
    <x v="18"/>
    <x v="2"/>
  </r>
  <r>
    <x v="2"/>
    <x v="24"/>
    <x v="807"/>
    <x v="98"/>
    <x v="97"/>
    <x v="0"/>
    <x v="22"/>
    <x v="8"/>
  </r>
  <r>
    <x v="4"/>
    <x v="24"/>
    <x v="808"/>
    <x v="133"/>
    <x v="129"/>
    <x v="1"/>
    <x v="22"/>
    <x v="7"/>
  </r>
  <r>
    <x v="4"/>
    <x v="24"/>
    <x v="809"/>
    <x v="133"/>
    <x v="129"/>
    <x v="1"/>
    <x v="22"/>
    <x v="7"/>
  </r>
  <r>
    <x v="2"/>
    <x v="24"/>
    <x v="810"/>
    <x v="14"/>
    <x v="14"/>
    <x v="1"/>
    <x v="22"/>
    <x v="7"/>
  </r>
  <r>
    <x v="2"/>
    <x v="24"/>
    <x v="811"/>
    <x v="14"/>
    <x v="14"/>
    <x v="1"/>
    <x v="22"/>
    <x v="7"/>
  </r>
  <r>
    <x v="3"/>
    <x v="24"/>
    <x v="812"/>
    <x v="133"/>
    <x v="129"/>
    <x v="1"/>
    <x v="22"/>
    <x v="7"/>
  </r>
  <r>
    <x v="3"/>
    <x v="24"/>
    <x v="813"/>
    <x v="133"/>
    <x v="129"/>
    <x v="1"/>
    <x v="22"/>
    <x v="7"/>
  </r>
  <r>
    <x v="0"/>
    <x v="24"/>
    <x v="814"/>
    <x v="121"/>
    <x v="118"/>
    <x v="1"/>
    <x v="23"/>
    <x v="7"/>
  </r>
  <r>
    <x v="0"/>
    <x v="24"/>
    <x v="815"/>
    <x v="24"/>
    <x v="24"/>
    <x v="8"/>
    <x v="10"/>
    <x v="2"/>
  </r>
  <r>
    <x v="3"/>
    <x v="24"/>
    <x v="816"/>
    <x v="107"/>
    <x v="104"/>
    <x v="1"/>
    <x v="10"/>
    <x v="7"/>
  </r>
  <r>
    <x v="2"/>
    <x v="24"/>
    <x v="817"/>
    <x v="38"/>
    <x v="38"/>
    <x v="10"/>
    <x v="10"/>
    <x v="2"/>
  </r>
  <r>
    <x v="0"/>
    <x v="25"/>
    <x v="818"/>
    <x v="84"/>
    <x v="84"/>
    <x v="3"/>
    <x v="11"/>
    <x v="2"/>
  </r>
  <r>
    <x v="0"/>
    <x v="25"/>
    <x v="819"/>
    <x v="99"/>
    <x v="44"/>
    <x v="3"/>
    <x v="11"/>
    <x v="2"/>
  </r>
  <r>
    <x v="0"/>
    <x v="25"/>
    <x v="820"/>
    <x v="99"/>
    <x v="44"/>
    <x v="3"/>
    <x v="11"/>
    <x v="2"/>
  </r>
  <r>
    <x v="0"/>
    <x v="25"/>
    <x v="821"/>
    <x v="99"/>
    <x v="44"/>
    <x v="3"/>
    <x v="11"/>
    <x v="2"/>
  </r>
  <r>
    <x v="0"/>
    <x v="25"/>
    <x v="822"/>
    <x v="99"/>
    <x v="44"/>
    <x v="3"/>
    <x v="11"/>
    <x v="2"/>
  </r>
  <r>
    <x v="3"/>
    <x v="25"/>
    <x v="823"/>
    <x v="98"/>
    <x v="97"/>
    <x v="0"/>
    <x v="11"/>
    <x v="2"/>
  </r>
  <r>
    <x v="4"/>
    <x v="25"/>
    <x v="824"/>
    <x v="105"/>
    <x v="96"/>
    <x v="4"/>
    <x v="1"/>
    <x v="7"/>
  </r>
  <r>
    <x v="3"/>
    <x v="25"/>
    <x v="825"/>
    <x v="108"/>
    <x v="105"/>
    <x v="10"/>
    <x v="3"/>
    <x v="2"/>
  </r>
  <r>
    <x v="4"/>
    <x v="25"/>
    <x v="826"/>
    <x v="42"/>
    <x v="42"/>
    <x v="1"/>
    <x v="4"/>
    <x v="7"/>
  </r>
  <r>
    <x v="1"/>
    <x v="25"/>
    <x v="827"/>
    <x v="74"/>
    <x v="74"/>
    <x v="9"/>
    <x v="4"/>
    <x v="11"/>
  </r>
  <r>
    <x v="2"/>
    <x v="25"/>
    <x v="828"/>
    <x v="42"/>
    <x v="42"/>
    <x v="1"/>
    <x v="4"/>
    <x v="9"/>
  </r>
  <r>
    <x v="2"/>
    <x v="25"/>
    <x v="797"/>
    <x v="158"/>
    <x v="153"/>
    <x v="0"/>
    <x v="4"/>
    <x v="10"/>
  </r>
  <r>
    <x v="2"/>
    <x v="25"/>
    <x v="796"/>
    <x v="158"/>
    <x v="153"/>
    <x v="0"/>
    <x v="4"/>
    <x v="10"/>
  </r>
  <r>
    <x v="0"/>
    <x v="25"/>
    <x v="829"/>
    <x v="121"/>
    <x v="118"/>
    <x v="1"/>
    <x v="5"/>
    <x v="2"/>
  </r>
  <r>
    <x v="1"/>
    <x v="25"/>
    <x v="830"/>
    <x v="125"/>
    <x v="122"/>
    <x v="1"/>
    <x v="13"/>
    <x v="9"/>
  </r>
  <r>
    <x v="1"/>
    <x v="25"/>
    <x v="831"/>
    <x v="14"/>
    <x v="14"/>
    <x v="1"/>
    <x v="7"/>
    <x v="2"/>
  </r>
  <r>
    <x v="2"/>
    <x v="25"/>
    <x v="832"/>
    <x v="97"/>
    <x v="96"/>
    <x v="4"/>
    <x v="9"/>
    <x v="3"/>
  </r>
  <r>
    <x v="2"/>
    <x v="25"/>
    <x v="833"/>
    <x v="97"/>
    <x v="96"/>
    <x v="4"/>
    <x v="9"/>
    <x v="3"/>
  </r>
  <r>
    <x v="2"/>
    <x v="25"/>
    <x v="543"/>
    <x v="160"/>
    <x v="155"/>
    <x v="0"/>
    <x v="9"/>
    <x v="7"/>
  </r>
  <r>
    <x v="1"/>
    <x v="25"/>
    <x v="834"/>
    <x v="160"/>
    <x v="155"/>
    <x v="0"/>
    <x v="9"/>
    <x v="7"/>
  </r>
  <r>
    <x v="1"/>
    <x v="25"/>
    <x v="835"/>
    <x v="160"/>
    <x v="155"/>
    <x v="0"/>
    <x v="9"/>
    <x v="7"/>
  </r>
  <r>
    <x v="0"/>
    <x v="25"/>
    <x v="836"/>
    <x v="160"/>
    <x v="155"/>
    <x v="0"/>
    <x v="9"/>
    <x v="7"/>
  </r>
  <r>
    <x v="0"/>
    <x v="25"/>
    <x v="837"/>
    <x v="160"/>
    <x v="155"/>
    <x v="0"/>
    <x v="9"/>
    <x v="23"/>
  </r>
  <r>
    <x v="5"/>
    <x v="25"/>
    <x v="838"/>
    <x v="99"/>
    <x v="44"/>
    <x v="4"/>
    <x v="9"/>
    <x v="32"/>
  </r>
  <r>
    <x v="0"/>
    <x v="25"/>
    <x v="839"/>
    <x v="25"/>
    <x v="25"/>
    <x v="1"/>
    <x v="9"/>
    <x v="7"/>
  </r>
  <r>
    <x v="5"/>
    <x v="25"/>
    <x v="840"/>
    <x v="160"/>
    <x v="155"/>
    <x v="0"/>
    <x v="9"/>
    <x v="32"/>
  </r>
  <r>
    <x v="5"/>
    <x v="25"/>
    <x v="841"/>
    <x v="151"/>
    <x v="147"/>
    <x v="1"/>
    <x v="9"/>
    <x v="36"/>
  </r>
  <r>
    <x v="3"/>
    <x v="25"/>
    <x v="842"/>
    <x v="97"/>
    <x v="96"/>
    <x v="4"/>
    <x v="9"/>
    <x v="3"/>
  </r>
  <r>
    <x v="4"/>
    <x v="25"/>
    <x v="843"/>
    <x v="151"/>
    <x v="147"/>
    <x v="1"/>
    <x v="14"/>
    <x v="23"/>
  </r>
  <r>
    <x v="4"/>
    <x v="25"/>
    <x v="844"/>
    <x v="38"/>
    <x v="38"/>
    <x v="10"/>
    <x v="15"/>
    <x v="2"/>
  </r>
  <r>
    <x v="0"/>
    <x v="25"/>
    <x v="845"/>
    <x v="161"/>
    <x v="156"/>
    <x v="11"/>
    <x v="15"/>
    <x v="2"/>
  </r>
  <r>
    <x v="2"/>
    <x v="25"/>
    <x v="846"/>
    <x v="162"/>
    <x v="157"/>
    <x v="6"/>
    <x v="10"/>
    <x v="5"/>
  </r>
  <r>
    <x v="2"/>
    <x v="26"/>
    <x v="847"/>
    <x v="163"/>
    <x v="158"/>
    <x v="1"/>
    <x v="24"/>
    <x v="2"/>
  </r>
  <r>
    <x v="4"/>
    <x v="26"/>
    <x v="848"/>
    <x v="83"/>
    <x v="83"/>
    <x v="11"/>
    <x v="11"/>
    <x v="2"/>
  </r>
  <r>
    <x v="2"/>
    <x v="26"/>
    <x v="849"/>
    <x v="150"/>
    <x v="146"/>
    <x v="9"/>
    <x v="11"/>
    <x v="2"/>
  </r>
  <r>
    <x v="2"/>
    <x v="26"/>
    <x v="850"/>
    <x v="150"/>
    <x v="146"/>
    <x v="9"/>
    <x v="11"/>
    <x v="2"/>
  </r>
  <r>
    <x v="2"/>
    <x v="26"/>
    <x v="851"/>
    <x v="84"/>
    <x v="84"/>
    <x v="3"/>
    <x v="11"/>
    <x v="2"/>
  </r>
  <r>
    <x v="2"/>
    <x v="26"/>
    <x v="852"/>
    <x v="98"/>
    <x v="97"/>
    <x v="0"/>
    <x v="11"/>
    <x v="2"/>
  </r>
  <r>
    <x v="4"/>
    <x v="26"/>
    <x v="853"/>
    <x v="136"/>
    <x v="132"/>
    <x v="3"/>
    <x v="11"/>
    <x v="2"/>
  </r>
  <r>
    <x v="4"/>
    <x v="26"/>
    <x v="854"/>
    <x v="136"/>
    <x v="132"/>
    <x v="3"/>
    <x v="11"/>
    <x v="2"/>
  </r>
  <r>
    <x v="4"/>
    <x v="26"/>
    <x v="855"/>
    <x v="136"/>
    <x v="132"/>
    <x v="3"/>
    <x v="11"/>
    <x v="2"/>
  </r>
  <r>
    <x v="4"/>
    <x v="26"/>
    <x v="856"/>
    <x v="136"/>
    <x v="132"/>
    <x v="3"/>
    <x v="11"/>
    <x v="2"/>
  </r>
  <r>
    <x v="4"/>
    <x v="26"/>
    <x v="857"/>
    <x v="136"/>
    <x v="132"/>
    <x v="3"/>
    <x v="11"/>
    <x v="2"/>
  </r>
  <r>
    <x v="3"/>
    <x v="26"/>
    <x v="858"/>
    <x v="90"/>
    <x v="90"/>
    <x v="3"/>
    <x v="2"/>
    <x v="37"/>
  </r>
  <r>
    <x v="0"/>
    <x v="26"/>
    <x v="822"/>
    <x v="99"/>
    <x v="44"/>
    <x v="3"/>
    <x v="3"/>
    <x v="2"/>
  </r>
  <r>
    <x v="0"/>
    <x v="26"/>
    <x v="821"/>
    <x v="99"/>
    <x v="44"/>
    <x v="3"/>
    <x v="3"/>
    <x v="2"/>
  </r>
  <r>
    <x v="4"/>
    <x v="26"/>
    <x v="859"/>
    <x v="50"/>
    <x v="51"/>
    <x v="10"/>
    <x v="6"/>
    <x v="2"/>
  </r>
  <r>
    <x v="3"/>
    <x v="26"/>
    <x v="860"/>
    <x v="14"/>
    <x v="14"/>
    <x v="1"/>
    <x v="6"/>
    <x v="2"/>
  </r>
  <r>
    <x v="0"/>
    <x v="26"/>
    <x v="861"/>
    <x v="60"/>
    <x v="60"/>
    <x v="3"/>
    <x v="28"/>
    <x v="25"/>
  </r>
  <r>
    <x v="4"/>
    <x v="26"/>
    <x v="862"/>
    <x v="40"/>
    <x v="40"/>
    <x v="6"/>
    <x v="21"/>
    <x v="2"/>
  </r>
  <r>
    <x v="4"/>
    <x v="26"/>
    <x v="863"/>
    <x v="14"/>
    <x v="14"/>
    <x v="1"/>
    <x v="21"/>
    <x v="2"/>
  </r>
  <r>
    <x v="2"/>
    <x v="26"/>
    <x v="864"/>
    <x v="164"/>
    <x v="159"/>
    <x v="3"/>
    <x v="8"/>
    <x v="7"/>
  </r>
  <r>
    <x v="5"/>
    <x v="26"/>
    <x v="865"/>
    <x v="165"/>
    <x v="160"/>
    <x v="3"/>
    <x v="8"/>
    <x v="31"/>
  </r>
  <r>
    <x v="4"/>
    <x v="26"/>
    <x v="866"/>
    <x v="166"/>
    <x v="161"/>
    <x v="3"/>
    <x v="26"/>
    <x v="7"/>
  </r>
  <r>
    <x v="4"/>
    <x v="26"/>
    <x v="867"/>
    <x v="167"/>
    <x v="162"/>
    <x v="1"/>
    <x v="18"/>
    <x v="2"/>
  </r>
  <r>
    <x v="4"/>
    <x v="26"/>
    <x v="867"/>
    <x v="10"/>
    <x v="10"/>
    <x v="1"/>
    <x v="18"/>
    <x v="2"/>
  </r>
  <r>
    <x v="0"/>
    <x v="26"/>
    <x v="868"/>
    <x v="45"/>
    <x v="46"/>
    <x v="1"/>
    <x v="18"/>
    <x v="2"/>
  </r>
  <r>
    <x v="0"/>
    <x v="26"/>
    <x v="869"/>
    <x v="45"/>
    <x v="46"/>
    <x v="1"/>
    <x v="18"/>
    <x v="2"/>
  </r>
  <r>
    <x v="0"/>
    <x v="26"/>
    <x v="870"/>
    <x v="45"/>
    <x v="46"/>
    <x v="1"/>
    <x v="18"/>
    <x v="2"/>
  </r>
  <r>
    <x v="0"/>
    <x v="26"/>
    <x v="871"/>
    <x v="45"/>
    <x v="46"/>
    <x v="1"/>
    <x v="18"/>
    <x v="2"/>
  </r>
  <r>
    <x v="0"/>
    <x v="26"/>
    <x v="872"/>
    <x v="45"/>
    <x v="46"/>
    <x v="1"/>
    <x v="18"/>
    <x v="2"/>
  </r>
  <r>
    <x v="0"/>
    <x v="26"/>
    <x v="873"/>
    <x v="45"/>
    <x v="46"/>
    <x v="1"/>
    <x v="18"/>
    <x v="2"/>
  </r>
  <r>
    <x v="1"/>
    <x v="26"/>
    <x v="874"/>
    <x v="148"/>
    <x v="144"/>
    <x v="1"/>
    <x v="22"/>
    <x v="7"/>
  </r>
  <r>
    <x v="4"/>
    <x v="26"/>
    <x v="875"/>
    <x v="166"/>
    <x v="161"/>
    <x v="3"/>
    <x v="23"/>
    <x v="7"/>
  </r>
  <r>
    <x v="4"/>
    <x v="26"/>
    <x v="876"/>
    <x v="121"/>
    <x v="118"/>
    <x v="1"/>
    <x v="23"/>
    <x v="7"/>
  </r>
  <r>
    <x v="3"/>
    <x v="26"/>
    <x v="877"/>
    <x v="166"/>
    <x v="161"/>
    <x v="3"/>
    <x v="23"/>
    <x v="7"/>
  </r>
  <r>
    <x v="3"/>
    <x v="26"/>
    <x v="878"/>
    <x v="39"/>
    <x v="39"/>
    <x v="10"/>
    <x v="15"/>
    <x v="2"/>
  </r>
  <r>
    <x v="0"/>
    <x v="26"/>
    <x v="879"/>
    <x v="24"/>
    <x v="24"/>
    <x v="8"/>
    <x v="10"/>
    <x v="25"/>
  </r>
  <r>
    <x v="3"/>
    <x v="26"/>
    <x v="880"/>
    <x v="24"/>
    <x v="24"/>
    <x v="8"/>
    <x v="10"/>
    <x v="2"/>
  </r>
  <r>
    <x v="3"/>
    <x v="26"/>
    <x v="881"/>
    <x v="108"/>
    <x v="105"/>
    <x v="10"/>
    <x v="10"/>
    <x v="2"/>
  </r>
  <r>
    <x v="4"/>
    <x v="26"/>
    <x v="882"/>
    <x v="24"/>
    <x v="24"/>
    <x v="12"/>
    <x v="10"/>
    <x v="2"/>
  </r>
  <r>
    <x v="0"/>
    <x v="27"/>
    <x v="883"/>
    <x v="24"/>
    <x v="24"/>
    <x v="8"/>
    <x v="10"/>
    <x v="25"/>
  </r>
  <r>
    <x v="5"/>
    <x v="28"/>
    <x v="884"/>
    <x v="5"/>
    <x v="44"/>
    <x v="3"/>
    <x v="1"/>
    <x v="7"/>
  </r>
  <r>
    <x v="3"/>
    <x v="28"/>
    <x v="731"/>
    <x v="11"/>
    <x v="11"/>
    <x v="3"/>
    <x v="4"/>
    <x v="10"/>
  </r>
  <r>
    <x v="3"/>
    <x v="28"/>
    <x v="885"/>
    <x v="168"/>
    <x v="163"/>
    <x v="5"/>
    <x v="4"/>
    <x v="10"/>
  </r>
  <r>
    <x v="2"/>
    <x v="28"/>
    <x v="886"/>
    <x v="5"/>
    <x v="44"/>
    <x v="1"/>
    <x v="5"/>
    <x v="10"/>
  </r>
  <r>
    <x v="2"/>
    <x v="28"/>
    <x v="887"/>
    <x v="5"/>
    <x v="44"/>
    <x v="1"/>
    <x v="5"/>
    <x v="10"/>
  </r>
  <r>
    <x v="1"/>
    <x v="28"/>
    <x v="575"/>
    <x v="132"/>
    <x v="128"/>
    <x v="0"/>
    <x v="5"/>
    <x v="4"/>
  </r>
  <r>
    <x v="2"/>
    <x v="28"/>
    <x v="888"/>
    <x v="169"/>
    <x v="164"/>
    <x v="0"/>
    <x v="5"/>
    <x v="10"/>
  </r>
  <r>
    <x v="2"/>
    <x v="28"/>
    <x v="889"/>
    <x v="169"/>
    <x v="164"/>
    <x v="0"/>
    <x v="5"/>
    <x v="10"/>
  </r>
  <r>
    <x v="5"/>
    <x v="28"/>
    <x v="890"/>
    <x v="25"/>
    <x v="25"/>
    <x v="3"/>
    <x v="5"/>
    <x v="4"/>
  </r>
  <r>
    <x v="5"/>
    <x v="28"/>
    <x v="891"/>
    <x v="25"/>
    <x v="25"/>
    <x v="3"/>
    <x v="5"/>
    <x v="4"/>
  </r>
  <r>
    <x v="5"/>
    <x v="28"/>
    <x v="892"/>
    <x v="25"/>
    <x v="25"/>
    <x v="3"/>
    <x v="5"/>
    <x v="4"/>
  </r>
  <r>
    <x v="2"/>
    <x v="28"/>
    <x v="893"/>
    <x v="160"/>
    <x v="155"/>
    <x v="0"/>
    <x v="29"/>
    <x v="7"/>
  </r>
  <r>
    <x v="0"/>
    <x v="28"/>
    <x v="894"/>
    <x v="63"/>
    <x v="63"/>
    <x v="6"/>
    <x v="22"/>
    <x v="7"/>
  </r>
  <r>
    <x v="2"/>
    <x v="28"/>
    <x v="895"/>
    <x v="48"/>
    <x v="49"/>
    <x v="4"/>
    <x v="22"/>
    <x v="3"/>
  </r>
  <r>
    <x v="4"/>
    <x v="28"/>
    <x v="896"/>
    <x v="170"/>
    <x v="165"/>
    <x v="8"/>
    <x v="23"/>
    <x v="7"/>
  </r>
  <r>
    <x v="0"/>
    <x v="28"/>
    <x v="897"/>
    <x v="171"/>
    <x v="166"/>
    <x v="10"/>
    <x v="10"/>
    <x v="2"/>
  </r>
  <r>
    <x v="4"/>
    <x v="29"/>
    <x v="898"/>
    <x v="172"/>
    <x v="167"/>
    <x v="1"/>
    <x v="0"/>
    <x v="7"/>
  </r>
  <r>
    <x v="0"/>
    <x v="29"/>
    <x v="899"/>
    <x v="172"/>
    <x v="167"/>
    <x v="1"/>
    <x v="0"/>
    <x v="38"/>
  </r>
  <r>
    <x v="3"/>
    <x v="29"/>
    <x v="900"/>
    <x v="172"/>
    <x v="167"/>
    <x v="1"/>
    <x v="11"/>
    <x v="2"/>
  </r>
  <r>
    <x v="1"/>
    <x v="29"/>
    <x v="575"/>
    <x v="132"/>
    <x v="128"/>
    <x v="0"/>
    <x v="11"/>
    <x v="2"/>
  </r>
  <r>
    <x v="1"/>
    <x v="29"/>
    <x v="901"/>
    <x v="6"/>
    <x v="6"/>
    <x v="1"/>
    <x v="1"/>
    <x v="7"/>
  </r>
  <r>
    <x v="2"/>
    <x v="29"/>
    <x v="902"/>
    <x v="76"/>
    <x v="76"/>
    <x v="1"/>
    <x v="2"/>
    <x v="1"/>
  </r>
  <r>
    <x v="1"/>
    <x v="29"/>
    <x v="903"/>
    <x v="76"/>
    <x v="76"/>
    <x v="1"/>
    <x v="2"/>
    <x v="1"/>
  </r>
  <r>
    <x v="4"/>
    <x v="29"/>
    <x v="904"/>
    <x v="171"/>
    <x v="166"/>
    <x v="10"/>
    <x v="3"/>
    <x v="2"/>
  </r>
  <r>
    <x v="1"/>
    <x v="29"/>
    <x v="905"/>
    <x v="79"/>
    <x v="79"/>
    <x v="4"/>
    <x v="4"/>
    <x v="3"/>
  </r>
  <r>
    <x v="1"/>
    <x v="29"/>
    <x v="906"/>
    <x v="79"/>
    <x v="79"/>
    <x v="4"/>
    <x v="4"/>
    <x v="3"/>
  </r>
  <r>
    <x v="1"/>
    <x v="29"/>
    <x v="907"/>
    <x v="79"/>
    <x v="79"/>
    <x v="4"/>
    <x v="4"/>
    <x v="3"/>
  </r>
  <r>
    <x v="1"/>
    <x v="29"/>
    <x v="908"/>
    <x v="79"/>
    <x v="79"/>
    <x v="4"/>
    <x v="4"/>
    <x v="3"/>
  </r>
  <r>
    <x v="2"/>
    <x v="29"/>
    <x v="888"/>
    <x v="169"/>
    <x v="164"/>
    <x v="0"/>
    <x v="4"/>
    <x v="7"/>
  </r>
  <r>
    <x v="2"/>
    <x v="29"/>
    <x v="889"/>
    <x v="169"/>
    <x v="164"/>
    <x v="0"/>
    <x v="4"/>
    <x v="7"/>
  </r>
  <r>
    <x v="1"/>
    <x v="29"/>
    <x v="909"/>
    <x v="169"/>
    <x v="164"/>
    <x v="0"/>
    <x v="4"/>
    <x v="7"/>
  </r>
  <r>
    <x v="1"/>
    <x v="29"/>
    <x v="910"/>
    <x v="169"/>
    <x v="164"/>
    <x v="0"/>
    <x v="4"/>
    <x v="7"/>
  </r>
  <r>
    <x v="4"/>
    <x v="29"/>
    <x v="911"/>
    <x v="173"/>
    <x v="168"/>
    <x v="0"/>
    <x v="4"/>
    <x v="2"/>
  </r>
  <r>
    <x v="0"/>
    <x v="29"/>
    <x v="912"/>
    <x v="88"/>
    <x v="88"/>
    <x v="1"/>
    <x v="5"/>
    <x v="2"/>
  </r>
  <r>
    <x v="3"/>
    <x v="29"/>
    <x v="913"/>
    <x v="76"/>
    <x v="76"/>
    <x v="1"/>
    <x v="5"/>
    <x v="2"/>
  </r>
  <r>
    <x v="4"/>
    <x v="29"/>
    <x v="795"/>
    <x v="38"/>
    <x v="38"/>
    <x v="10"/>
    <x v="6"/>
    <x v="2"/>
  </r>
  <r>
    <x v="2"/>
    <x v="29"/>
    <x v="914"/>
    <x v="174"/>
    <x v="169"/>
    <x v="11"/>
    <x v="13"/>
    <x v="39"/>
  </r>
  <r>
    <x v="3"/>
    <x v="29"/>
    <x v="915"/>
    <x v="175"/>
    <x v="170"/>
    <x v="1"/>
    <x v="8"/>
    <x v="23"/>
  </r>
  <r>
    <x v="2"/>
    <x v="29"/>
    <x v="916"/>
    <x v="13"/>
    <x v="13"/>
    <x v="1"/>
    <x v="18"/>
    <x v="2"/>
  </r>
  <r>
    <x v="1"/>
    <x v="29"/>
    <x v="917"/>
    <x v="135"/>
    <x v="131"/>
    <x v="6"/>
    <x v="22"/>
    <x v="7"/>
  </r>
  <r>
    <x v="4"/>
    <x v="29"/>
    <x v="918"/>
    <x v="176"/>
    <x v="171"/>
    <x v="3"/>
    <x v="23"/>
    <x v="7"/>
  </r>
  <r>
    <x v="3"/>
    <x v="29"/>
    <x v="919"/>
    <x v="42"/>
    <x v="42"/>
    <x v="1"/>
    <x v="23"/>
    <x v="7"/>
  </r>
  <r>
    <x v="2"/>
    <x v="29"/>
    <x v="920"/>
    <x v="177"/>
    <x v="172"/>
    <x v="6"/>
    <x v="15"/>
    <x v="2"/>
  </r>
  <r>
    <x v="2"/>
    <x v="29"/>
    <x v="921"/>
    <x v="6"/>
    <x v="6"/>
    <x v="1"/>
    <x v="10"/>
    <x v="7"/>
  </r>
  <r>
    <x v="3"/>
    <x v="29"/>
    <x v="922"/>
    <x v="76"/>
    <x v="76"/>
    <x v="1"/>
    <x v="10"/>
    <x v="2"/>
  </r>
  <r>
    <x v="2"/>
    <x v="30"/>
    <x v="923"/>
    <x v="163"/>
    <x v="158"/>
    <x v="1"/>
    <x v="11"/>
    <x v="2"/>
  </r>
  <r>
    <x v="2"/>
    <x v="30"/>
    <x v="924"/>
    <x v="163"/>
    <x v="158"/>
    <x v="1"/>
    <x v="11"/>
    <x v="2"/>
  </r>
  <r>
    <x v="2"/>
    <x v="30"/>
    <x v="847"/>
    <x v="163"/>
    <x v="158"/>
    <x v="1"/>
    <x v="11"/>
    <x v="2"/>
  </r>
  <r>
    <x v="1"/>
    <x v="30"/>
    <x v="925"/>
    <x v="173"/>
    <x v="168"/>
    <x v="0"/>
    <x v="11"/>
    <x v="2"/>
  </r>
  <r>
    <x v="5"/>
    <x v="30"/>
    <x v="926"/>
    <x v="114"/>
    <x v="111"/>
    <x v="1"/>
    <x v="1"/>
    <x v="7"/>
  </r>
  <r>
    <x v="5"/>
    <x v="30"/>
    <x v="927"/>
    <x v="114"/>
    <x v="111"/>
    <x v="1"/>
    <x v="1"/>
    <x v="7"/>
  </r>
  <r>
    <x v="4"/>
    <x v="30"/>
    <x v="928"/>
    <x v="178"/>
    <x v="173"/>
    <x v="3"/>
    <x v="3"/>
    <x v="2"/>
  </r>
  <r>
    <x v="3"/>
    <x v="30"/>
    <x v="929"/>
    <x v="179"/>
    <x v="174"/>
    <x v="6"/>
    <x v="3"/>
    <x v="2"/>
  </r>
  <r>
    <x v="0"/>
    <x v="30"/>
    <x v="930"/>
    <x v="83"/>
    <x v="83"/>
    <x v="11"/>
    <x v="3"/>
    <x v="2"/>
  </r>
  <r>
    <x v="2"/>
    <x v="30"/>
    <x v="931"/>
    <x v="173"/>
    <x v="168"/>
    <x v="0"/>
    <x v="4"/>
    <x v="8"/>
  </r>
  <r>
    <x v="0"/>
    <x v="30"/>
    <x v="932"/>
    <x v="173"/>
    <x v="168"/>
    <x v="0"/>
    <x v="5"/>
    <x v="2"/>
  </r>
  <r>
    <x v="0"/>
    <x v="30"/>
    <x v="899"/>
    <x v="172"/>
    <x v="167"/>
    <x v="1"/>
    <x v="5"/>
    <x v="12"/>
  </r>
  <r>
    <x v="2"/>
    <x v="30"/>
    <x v="914"/>
    <x v="174"/>
    <x v="169"/>
    <x v="11"/>
    <x v="13"/>
    <x v="39"/>
  </r>
  <r>
    <x v="0"/>
    <x v="30"/>
    <x v="933"/>
    <x v="76"/>
    <x v="76"/>
    <x v="1"/>
    <x v="20"/>
    <x v="20"/>
  </r>
  <r>
    <x v="2"/>
    <x v="30"/>
    <x v="934"/>
    <x v="14"/>
    <x v="14"/>
    <x v="1"/>
    <x v="21"/>
    <x v="2"/>
  </r>
  <r>
    <x v="2"/>
    <x v="30"/>
    <x v="935"/>
    <x v="66"/>
    <x v="66"/>
    <x v="3"/>
    <x v="8"/>
    <x v="2"/>
  </r>
  <r>
    <x v="3"/>
    <x v="30"/>
    <x v="936"/>
    <x v="75"/>
    <x v="75"/>
    <x v="3"/>
    <x v="8"/>
    <x v="7"/>
  </r>
  <r>
    <x v="2"/>
    <x v="30"/>
    <x v="937"/>
    <x v="14"/>
    <x v="14"/>
    <x v="1"/>
    <x v="22"/>
    <x v="7"/>
  </r>
  <r>
    <x v="2"/>
    <x v="30"/>
    <x v="938"/>
    <x v="14"/>
    <x v="14"/>
    <x v="1"/>
    <x v="22"/>
    <x v="7"/>
  </r>
  <r>
    <x v="3"/>
    <x v="30"/>
    <x v="939"/>
    <x v="180"/>
    <x v="175"/>
    <x v="8"/>
    <x v="22"/>
    <x v="7"/>
  </r>
  <r>
    <x v="2"/>
    <x v="30"/>
    <x v="940"/>
    <x v="42"/>
    <x v="42"/>
    <x v="1"/>
    <x v="23"/>
    <x v="7"/>
  </r>
  <r>
    <x v="4"/>
    <x v="30"/>
    <x v="941"/>
    <x v="48"/>
    <x v="49"/>
    <x v="0"/>
    <x v="23"/>
    <x v="7"/>
  </r>
  <r>
    <x v="5"/>
    <x v="30"/>
    <x v="942"/>
    <x v="42"/>
    <x v="42"/>
    <x v="1"/>
    <x v="23"/>
    <x v="7"/>
  </r>
  <r>
    <x v="5"/>
    <x v="30"/>
    <x v="943"/>
    <x v="114"/>
    <x v="111"/>
    <x v="1"/>
    <x v="23"/>
    <x v="7"/>
  </r>
  <r>
    <x v="5"/>
    <x v="30"/>
    <x v="944"/>
    <x v="114"/>
    <x v="111"/>
    <x v="1"/>
    <x v="23"/>
    <x v="9"/>
  </r>
  <r>
    <x v="5"/>
    <x v="30"/>
    <x v="945"/>
    <x v="178"/>
    <x v="173"/>
    <x v="3"/>
    <x v="23"/>
    <x v="40"/>
  </r>
  <r>
    <x v="5"/>
    <x v="30"/>
    <x v="946"/>
    <x v="40"/>
    <x v="40"/>
    <x v="3"/>
    <x v="23"/>
    <x v="31"/>
  </r>
  <r>
    <x v="2"/>
    <x v="30"/>
    <x v="947"/>
    <x v="63"/>
    <x v="63"/>
    <x v="6"/>
    <x v="19"/>
    <x v="2"/>
  </r>
  <r>
    <x v="0"/>
    <x v="30"/>
    <x v="948"/>
    <x v="6"/>
    <x v="6"/>
    <x v="9"/>
    <x v="10"/>
    <x v="11"/>
  </r>
  <r>
    <x v="0"/>
    <x v="30"/>
    <x v="949"/>
    <x v="7"/>
    <x v="7"/>
    <x v="8"/>
    <x v="10"/>
    <x v="2"/>
  </r>
  <r>
    <x v="5"/>
    <x v="30"/>
    <x v="950"/>
    <x v="181"/>
    <x v="176"/>
    <x v="10"/>
    <x v="10"/>
    <x v="2"/>
  </r>
  <r>
    <x v="1"/>
    <x v="30"/>
    <x v="951"/>
    <x v="24"/>
    <x v="24"/>
    <x v="5"/>
    <x v="10"/>
    <x v="2"/>
  </r>
  <r>
    <x v="2"/>
    <x v="31"/>
    <x v="543"/>
    <x v="160"/>
    <x v="155"/>
    <x v="0"/>
    <x v="11"/>
    <x v="2"/>
  </r>
  <r>
    <x v="2"/>
    <x v="31"/>
    <x v="952"/>
    <x v="74"/>
    <x v="74"/>
    <x v="8"/>
    <x v="4"/>
    <x v="25"/>
  </r>
  <r>
    <x v="2"/>
    <x v="31"/>
    <x v="953"/>
    <x v="99"/>
    <x v="44"/>
    <x v="3"/>
    <x v="4"/>
    <x v="25"/>
  </r>
  <r>
    <x v="2"/>
    <x v="31"/>
    <x v="931"/>
    <x v="173"/>
    <x v="168"/>
    <x v="0"/>
    <x v="4"/>
    <x v="7"/>
  </r>
  <r>
    <x v="2"/>
    <x v="31"/>
    <x v="847"/>
    <x v="163"/>
    <x v="158"/>
    <x v="1"/>
    <x v="4"/>
    <x v="10"/>
  </r>
  <r>
    <x v="2"/>
    <x v="31"/>
    <x v="924"/>
    <x v="163"/>
    <x v="158"/>
    <x v="1"/>
    <x v="4"/>
    <x v="10"/>
  </r>
  <r>
    <x v="2"/>
    <x v="31"/>
    <x v="923"/>
    <x v="163"/>
    <x v="158"/>
    <x v="1"/>
    <x v="4"/>
    <x v="10"/>
  </r>
  <r>
    <x v="0"/>
    <x v="31"/>
    <x v="954"/>
    <x v="26"/>
    <x v="26"/>
    <x v="6"/>
    <x v="29"/>
    <x v="7"/>
  </r>
  <r>
    <x v="0"/>
    <x v="31"/>
    <x v="955"/>
    <x v="40"/>
    <x v="40"/>
    <x v="6"/>
    <x v="22"/>
    <x v="7"/>
  </r>
  <r>
    <x v="2"/>
    <x v="31"/>
    <x v="956"/>
    <x v="24"/>
    <x v="24"/>
    <x v="5"/>
    <x v="10"/>
    <x v="2"/>
  </r>
  <r>
    <x v="5"/>
    <x v="32"/>
    <x v="957"/>
    <x v="57"/>
    <x v="57"/>
    <x v="0"/>
    <x v="11"/>
    <x v="2"/>
  </r>
  <r>
    <x v="5"/>
    <x v="32"/>
    <x v="958"/>
    <x v="57"/>
    <x v="57"/>
    <x v="1"/>
    <x v="11"/>
    <x v="2"/>
  </r>
  <r>
    <x v="5"/>
    <x v="32"/>
    <x v="959"/>
    <x v="57"/>
    <x v="57"/>
    <x v="1"/>
    <x v="11"/>
    <x v="2"/>
  </r>
  <r>
    <x v="5"/>
    <x v="32"/>
    <x v="960"/>
    <x v="57"/>
    <x v="57"/>
    <x v="0"/>
    <x v="11"/>
    <x v="2"/>
  </r>
  <r>
    <x v="5"/>
    <x v="32"/>
    <x v="961"/>
    <x v="57"/>
    <x v="57"/>
    <x v="0"/>
    <x v="11"/>
    <x v="2"/>
  </r>
  <r>
    <x v="5"/>
    <x v="32"/>
    <x v="962"/>
    <x v="57"/>
    <x v="57"/>
    <x v="3"/>
    <x v="11"/>
    <x v="2"/>
  </r>
  <r>
    <x v="3"/>
    <x v="32"/>
    <x v="963"/>
    <x v="42"/>
    <x v="42"/>
    <x v="1"/>
    <x v="1"/>
    <x v="7"/>
  </r>
  <r>
    <x v="5"/>
    <x v="32"/>
    <x v="964"/>
    <x v="2"/>
    <x v="2"/>
    <x v="4"/>
    <x v="2"/>
    <x v="1"/>
  </r>
  <r>
    <x v="5"/>
    <x v="32"/>
    <x v="965"/>
    <x v="40"/>
    <x v="40"/>
    <x v="0"/>
    <x v="2"/>
    <x v="1"/>
  </r>
  <r>
    <x v="3"/>
    <x v="32"/>
    <x v="966"/>
    <x v="10"/>
    <x v="10"/>
    <x v="1"/>
    <x v="3"/>
    <x v="2"/>
  </r>
  <r>
    <x v="0"/>
    <x v="32"/>
    <x v="967"/>
    <x v="42"/>
    <x v="42"/>
    <x v="1"/>
    <x v="3"/>
    <x v="2"/>
  </r>
  <r>
    <x v="1"/>
    <x v="32"/>
    <x v="968"/>
    <x v="124"/>
    <x v="121"/>
    <x v="3"/>
    <x v="5"/>
    <x v="2"/>
  </r>
  <r>
    <x v="5"/>
    <x v="32"/>
    <x v="969"/>
    <x v="90"/>
    <x v="90"/>
    <x v="6"/>
    <x v="8"/>
    <x v="7"/>
  </r>
  <r>
    <x v="1"/>
    <x v="32"/>
    <x v="905"/>
    <x v="79"/>
    <x v="79"/>
    <x v="4"/>
    <x v="22"/>
    <x v="7"/>
  </r>
  <r>
    <x v="1"/>
    <x v="32"/>
    <x v="292"/>
    <x v="87"/>
    <x v="87"/>
    <x v="0"/>
    <x v="22"/>
    <x v="7"/>
  </r>
  <r>
    <x v="5"/>
    <x v="32"/>
    <x v="970"/>
    <x v="8"/>
    <x v="8"/>
    <x v="1"/>
    <x v="23"/>
    <x v="7"/>
  </r>
  <r>
    <x v="5"/>
    <x v="32"/>
    <x v="971"/>
    <x v="48"/>
    <x v="49"/>
    <x v="0"/>
    <x v="23"/>
    <x v="7"/>
  </r>
  <r>
    <x v="0"/>
    <x v="32"/>
    <x v="837"/>
    <x v="160"/>
    <x v="155"/>
    <x v="0"/>
    <x v="23"/>
    <x v="7"/>
  </r>
  <r>
    <x v="3"/>
    <x v="32"/>
    <x v="972"/>
    <x v="87"/>
    <x v="87"/>
    <x v="0"/>
    <x v="23"/>
    <x v="7"/>
  </r>
  <r>
    <x v="0"/>
    <x v="32"/>
    <x v="973"/>
    <x v="48"/>
    <x v="49"/>
    <x v="0"/>
    <x v="23"/>
    <x v="8"/>
  </r>
  <r>
    <x v="0"/>
    <x v="32"/>
    <x v="974"/>
    <x v="24"/>
    <x v="24"/>
    <x v="8"/>
    <x v="10"/>
    <x v="2"/>
  </r>
  <r>
    <x v="0"/>
    <x v="33"/>
    <x v="975"/>
    <x v="7"/>
    <x v="7"/>
    <x v="8"/>
    <x v="10"/>
    <x v="2"/>
  </r>
  <r>
    <x v="2"/>
    <x v="33"/>
    <x v="976"/>
    <x v="24"/>
    <x v="24"/>
    <x v="8"/>
    <x v="10"/>
    <x v="2"/>
  </r>
  <r>
    <x v="2"/>
    <x v="34"/>
    <x v="977"/>
    <x v="48"/>
    <x v="49"/>
    <x v="0"/>
    <x v="4"/>
    <x v="10"/>
  </r>
  <r>
    <x v="2"/>
    <x v="34"/>
    <x v="978"/>
    <x v="48"/>
    <x v="49"/>
    <x v="0"/>
    <x v="4"/>
    <x v="10"/>
  </r>
  <r>
    <x v="2"/>
    <x v="34"/>
    <x v="979"/>
    <x v="48"/>
    <x v="49"/>
    <x v="0"/>
    <x v="4"/>
    <x v="10"/>
  </r>
  <r>
    <x v="2"/>
    <x v="34"/>
    <x v="980"/>
    <x v="48"/>
    <x v="49"/>
    <x v="0"/>
    <x v="4"/>
    <x v="10"/>
  </r>
  <r>
    <x v="2"/>
    <x v="34"/>
    <x v="981"/>
    <x v="48"/>
    <x v="49"/>
    <x v="0"/>
    <x v="4"/>
    <x v="10"/>
  </r>
  <r>
    <x v="2"/>
    <x v="34"/>
    <x v="982"/>
    <x v="48"/>
    <x v="49"/>
    <x v="0"/>
    <x v="4"/>
    <x v="10"/>
  </r>
  <r>
    <x v="2"/>
    <x v="34"/>
    <x v="983"/>
    <x v="48"/>
    <x v="49"/>
    <x v="0"/>
    <x v="4"/>
    <x v="10"/>
  </r>
  <r>
    <x v="2"/>
    <x v="34"/>
    <x v="984"/>
    <x v="48"/>
    <x v="49"/>
    <x v="0"/>
    <x v="4"/>
    <x v="10"/>
  </r>
  <r>
    <x v="2"/>
    <x v="34"/>
    <x v="985"/>
    <x v="48"/>
    <x v="49"/>
    <x v="5"/>
    <x v="28"/>
    <x v="25"/>
  </r>
  <r>
    <x v="1"/>
    <x v="34"/>
    <x v="986"/>
    <x v="48"/>
    <x v="49"/>
    <x v="0"/>
    <x v="22"/>
    <x v="8"/>
  </r>
  <r>
    <x v="1"/>
    <x v="34"/>
    <x v="905"/>
    <x v="79"/>
    <x v="79"/>
    <x v="4"/>
    <x v="4"/>
    <x v="7"/>
  </r>
  <r>
    <x v="1"/>
    <x v="34"/>
    <x v="987"/>
    <x v="48"/>
    <x v="49"/>
    <x v="0"/>
    <x v="4"/>
    <x v="10"/>
  </r>
  <r>
    <x v="1"/>
    <x v="34"/>
    <x v="988"/>
    <x v="48"/>
    <x v="49"/>
    <x v="0"/>
    <x v="4"/>
    <x v="10"/>
  </r>
  <r>
    <x v="1"/>
    <x v="34"/>
    <x v="989"/>
    <x v="48"/>
    <x v="49"/>
    <x v="0"/>
    <x v="4"/>
    <x v="10"/>
  </r>
  <r>
    <x v="1"/>
    <x v="34"/>
    <x v="990"/>
    <x v="48"/>
    <x v="49"/>
    <x v="0"/>
    <x v="4"/>
    <x v="10"/>
  </r>
  <r>
    <x v="1"/>
    <x v="34"/>
    <x v="991"/>
    <x v="48"/>
    <x v="49"/>
    <x v="0"/>
    <x v="4"/>
    <x v="10"/>
  </r>
  <r>
    <x v="1"/>
    <x v="34"/>
    <x v="992"/>
    <x v="48"/>
    <x v="49"/>
    <x v="0"/>
    <x v="4"/>
    <x v="10"/>
  </r>
  <r>
    <x v="1"/>
    <x v="34"/>
    <x v="993"/>
    <x v="48"/>
    <x v="49"/>
    <x v="0"/>
    <x v="4"/>
    <x v="10"/>
  </r>
  <r>
    <x v="1"/>
    <x v="34"/>
    <x v="994"/>
    <x v="48"/>
    <x v="49"/>
    <x v="0"/>
    <x v="4"/>
    <x v="10"/>
  </r>
  <r>
    <x v="1"/>
    <x v="34"/>
    <x v="995"/>
    <x v="48"/>
    <x v="49"/>
    <x v="0"/>
    <x v="4"/>
    <x v="10"/>
  </r>
  <r>
    <x v="2"/>
    <x v="34"/>
    <x v="996"/>
    <x v="182"/>
    <x v="177"/>
    <x v="1"/>
    <x v="4"/>
    <x v="22"/>
  </r>
  <r>
    <x v="2"/>
    <x v="34"/>
    <x v="997"/>
    <x v="67"/>
    <x v="67"/>
    <x v="0"/>
    <x v="22"/>
    <x v="7"/>
  </r>
  <r>
    <x v="2"/>
    <x v="34"/>
    <x v="931"/>
    <x v="173"/>
    <x v="168"/>
    <x v="0"/>
    <x v="3"/>
    <x v="41"/>
  </r>
  <r>
    <x v="2"/>
    <x v="34"/>
    <x v="998"/>
    <x v="183"/>
    <x v="178"/>
    <x v="3"/>
    <x v="11"/>
    <x v="41"/>
  </r>
  <r>
    <x v="4"/>
    <x v="34"/>
    <x v="999"/>
    <x v="48"/>
    <x v="49"/>
    <x v="0"/>
    <x v="4"/>
    <x v="7"/>
  </r>
  <r>
    <x v="4"/>
    <x v="34"/>
    <x v="1000"/>
    <x v="48"/>
    <x v="49"/>
    <x v="0"/>
    <x v="4"/>
    <x v="7"/>
  </r>
  <r>
    <x v="4"/>
    <x v="34"/>
    <x v="1001"/>
    <x v="48"/>
    <x v="49"/>
    <x v="0"/>
    <x v="4"/>
    <x v="7"/>
  </r>
  <r>
    <x v="4"/>
    <x v="34"/>
    <x v="1002"/>
    <x v="48"/>
    <x v="49"/>
    <x v="4"/>
    <x v="4"/>
    <x v="7"/>
  </r>
  <r>
    <x v="4"/>
    <x v="34"/>
    <x v="1003"/>
    <x v="48"/>
    <x v="49"/>
    <x v="0"/>
    <x v="4"/>
    <x v="7"/>
  </r>
  <r>
    <x v="4"/>
    <x v="34"/>
    <x v="1004"/>
    <x v="48"/>
    <x v="49"/>
    <x v="0"/>
    <x v="4"/>
    <x v="7"/>
  </r>
  <r>
    <x v="4"/>
    <x v="34"/>
    <x v="1005"/>
    <x v="48"/>
    <x v="49"/>
    <x v="1"/>
    <x v="4"/>
    <x v="7"/>
  </r>
  <r>
    <x v="4"/>
    <x v="34"/>
    <x v="1006"/>
    <x v="48"/>
    <x v="49"/>
    <x v="0"/>
    <x v="4"/>
    <x v="7"/>
  </r>
  <r>
    <x v="4"/>
    <x v="34"/>
    <x v="1007"/>
    <x v="48"/>
    <x v="49"/>
    <x v="0"/>
    <x v="4"/>
    <x v="7"/>
  </r>
  <r>
    <x v="4"/>
    <x v="34"/>
    <x v="1008"/>
    <x v="133"/>
    <x v="129"/>
    <x v="1"/>
    <x v="23"/>
    <x v="9"/>
  </r>
  <r>
    <x v="4"/>
    <x v="34"/>
    <x v="1009"/>
    <x v="184"/>
    <x v="179"/>
    <x v="6"/>
    <x v="23"/>
    <x v="7"/>
  </r>
  <r>
    <x v="1"/>
    <x v="34"/>
    <x v="1010"/>
    <x v="184"/>
    <x v="179"/>
    <x v="6"/>
    <x v="14"/>
    <x v="7"/>
  </r>
  <r>
    <x v="0"/>
    <x v="34"/>
    <x v="1011"/>
    <x v="184"/>
    <x v="179"/>
    <x v="6"/>
    <x v="23"/>
    <x v="7"/>
  </r>
  <r>
    <x v="5"/>
    <x v="34"/>
    <x v="1012"/>
    <x v="185"/>
    <x v="180"/>
    <x v="0"/>
    <x v="22"/>
    <x v="32"/>
  </r>
  <r>
    <x v="3"/>
    <x v="34"/>
    <x v="1013"/>
    <x v="184"/>
    <x v="179"/>
    <x v="0"/>
    <x v="22"/>
    <x v="7"/>
  </r>
  <r>
    <x v="0"/>
    <x v="34"/>
    <x v="1014"/>
    <x v="67"/>
    <x v="67"/>
    <x v="0"/>
    <x v="23"/>
    <x v="8"/>
  </r>
  <r>
    <x v="2"/>
    <x v="34"/>
    <x v="1015"/>
    <x v="162"/>
    <x v="157"/>
    <x v="6"/>
    <x v="0"/>
    <x v="7"/>
  </r>
  <r>
    <x v="2"/>
    <x v="34"/>
    <x v="1016"/>
    <x v="162"/>
    <x v="157"/>
    <x v="6"/>
    <x v="0"/>
    <x v="7"/>
  </r>
  <r>
    <x v="2"/>
    <x v="34"/>
    <x v="1017"/>
    <x v="162"/>
    <x v="157"/>
    <x v="6"/>
    <x v="0"/>
    <x v="7"/>
  </r>
  <r>
    <x v="3"/>
    <x v="34"/>
    <x v="1018"/>
    <x v="186"/>
    <x v="181"/>
    <x v="0"/>
    <x v="22"/>
    <x v="42"/>
  </r>
  <r>
    <x v="0"/>
    <x v="34"/>
    <x v="1019"/>
    <x v="122"/>
    <x v="119"/>
    <x v="10"/>
    <x v="10"/>
    <x v="41"/>
  </r>
  <r>
    <x v="4"/>
    <x v="34"/>
    <x v="1020"/>
    <x v="187"/>
    <x v="182"/>
    <x v="3"/>
    <x v="3"/>
    <x v="7"/>
  </r>
  <r>
    <x v="1"/>
    <x v="34"/>
    <x v="1021"/>
    <x v="67"/>
    <x v="67"/>
    <x v="0"/>
    <x v="8"/>
    <x v="7"/>
  </r>
  <r>
    <x v="1"/>
    <x v="35"/>
    <x v="905"/>
    <x v="79"/>
    <x v="79"/>
    <x v="4"/>
    <x v="4"/>
    <x v="7"/>
  </r>
  <r>
    <x v="2"/>
    <x v="35"/>
    <x v="982"/>
    <x v="48"/>
    <x v="49"/>
    <x v="0"/>
    <x v="4"/>
    <x v="7"/>
  </r>
  <r>
    <x v="2"/>
    <x v="35"/>
    <x v="983"/>
    <x v="48"/>
    <x v="49"/>
    <x v="0"/>
    <x v="4"/>
    <x v="7"/>
  </r>
  <r>
    <x v="2"/>
    <x v="35"/>
    <x v="977"/>
    <x v="48"/>
    <x v="49"/>
    <x v="0"/>
    <x v="4"/>
    <x v="7"/>
  </r>
  <r>
    <x v="2"/>
    <x v="35"/>
    <x v="978"/>
    <x v="48"/>
    <x v="49"/>
    <x v="0"/>
    <x v="4"/>
    <x v="7"/>
  </r>
  <r>
    <x v="2"/>
    <x v="35"/>
    <x v="980"/>
    <x v="48"/>
    <x v="49"/>
    <x v="0"/>
    <x v="4"/>
    <x v="7"/>
  </r>
  <r>
    <x v="2"/>
    <x v="35"/>
    <x v="1022"/>
    <x v="188"/>
    <x v="183"/>
    <x v="0"/>
    <x v="4"/>
    <x v="7"/>
  </r>
  <r>
    <x v="2"/>
    <x v="35"/>
    <x v="1023"/>
    <x v="189"/>
    <x v="184"/>
    <x v="8"/>
    <x v="4"/>
    <x v="43"/>
  </r>
  <r>
    <x v="2"/>
    <x v="35"/>
    <x v="1024"/>
    <x v="6"/>
    <x v="6"/>
    <x v="1"/>
    <x v="10"/>
    <x v="7"/>
  </r>
  <r>
    <x v="1"/>
    <x v="35"/>
    <x v="988"/>
    <x v="48"/>
    <x v="49"/>
    <x v="0"/>
    <x v="4"/>
    <x v="10"/>
  </r>
  <r>
    <x v="1"/>
    <x v="35"/>
    <x v="995"/>
    <x v="48"/>
    <x v="49"/>
    <x v="0"/>
    <x v="4"/>
    <x v="10"/>
  </r>
  <r>
    <x v="1"/>
    <x v="35"/>
    <x v="986"/>
    <x v="48"/>
    <x v="49"/>
    <x v="0"/>
    <x v="4"/>
    <x v="10"/>
  </r>
  <r>
    <x v="1"/>
    <x v="35"/>
    <x v="989"/>
    <x v="48"/>
    <x v="49"/>
    <x v="0"/>
    <x v="4"/>
    <x v="10"/>
  </r>
  <r>
    <x v="4"/>
    <x v="35"/>
    <x v="1025"/>
    <x v="67"/>
    <x v="67"/>
    <x v="0"/>
    <x v="8"/>
    <x v="8"/>
  </r>
  <r>
    <x v="4"/>
    <x v="35"/>
    <x v="1006"/>
    <x v="48"/>
    <x v="49"/>
    <x v="0"/>
    <x v="23"/>
    <x v="7"/>
  </r>
  <r>
    <x v="0"/>
    <x v="35"/>
    <x v="1026"/>
    <x v="78"/>
    <x v="78"/>
    <x v="0"/>
    <x v="23"/>
    <x v="8"/>
  </r>
  <r>
    <x v="2"/>
    <x v="35"/>
    <x v="1027"/>
    <x v="24"/>
    <x v="24"/>
    <x v="5"/>
    <x v="10"/>
    <x v="2"/>
  </r>
  <r>
    <x v="4"/>
    <x v="35"/>
    <x v="1028"/>
    <x v="87"/>
    <x v="87"/>
    <x v="0"/>
    <x v="23"/>
    <x v="7"/>
  </r>
  <r>
    <x v="5"/>
    <x v="35"/>
    <x v="1029"/>
    <x v="190"/>
    <x v="185"/>
    <x v="8"/>
    <x v="23"/>
    <x v="43"/>
  </r>
  <r>
    <x v="0"/>
    <x v="35"/>
    <x v="1030"/>
    <x v="108"/>
    <x v="105"/>
    <x v="10"/>
    <x v="10"/>
    <x v="2"/>
  </r>
  <r>
    <x v="4"/>
    <x v="35"/>
    <x v="1031"/>
    <x v="57"/>
    <x v="57"/>
    <x v="4"/>
    <x v="23"/>
    <x v="7"/>
  </r>
  <r>
    <x v="2"/>
    <x v="35"/>
    <x v="1032"/>
    <x v="6"/>
    <x v="6"/>
    <x v="6"/>
    <x v="22"/>
    <x v="7"/>
  </r>
  <r>
    <x v="0"/>
    <x v="35"/>
    <x v="1033"/>
    <x v="191"/>
    <x v="186"/>
    <x v="3"/>
    <x v="1"/>
    <x v="7"/>
  </r>
  <r>
    <x v="0"/>
    <x v="35"/>
    <x v="1034"/>
    <x v="87"/>
    <x v="87"/>
    <x v="0"/>
    <x v="3"/>
    <x v="8"/>
  </r>
  <r>
    <x v="4"/>
    <x v="35"/>
    <x v="1035"/>
    <x v="149"/>
    <x v="145"/>
    <x v="3"/>
    <x v="23"/>
    <x v="7"/>
  </r>
  <r>
    <x v="3"/>
    <x v="35"/>
    <x v="1036"/>
    <x v="67"/>
    <x v="67"/>
    <x v="0"/>
    <x v="8"/>
    <x v="8"/>
  </r>
  <r>
    <x v="0"/>
    <x v="35"/>
    <x v="1037"/>
    <x v="87"/>
    <x v="87"/>
    <x v="0"/>
    <x v="3"/>
    <x v="8"/>
  </r>
  <r>
    <x v="3"/>
    <x v="35"/>
    <x v="1038"/>
    <x v="8"/>
    <x v="8"/>
    <x v="1"/>
    <x v="5"/>
    <x v="10"/>
  </r>
  <r>
    <x v="3"/>
    <x v="35"/>
    <x v="1039"/>
    <x v="42"/>
    <x v="42"/>
    <x v="1"/>
    <x v="3"/>
    <x v="7"/>
  </r>
  <r>
    <x v="5"/>
    <x v="35"/>
    <x v="1040"/>
    <x v="57"/>
    <x v="57"/>
    <x v="4"/>
    <x v="1"/>
    <x v="7"/>
  </r>
  <r>
    <x v="5"/>
    <x v="35"/>
    <x v="1041"/>
    <x v="78"/>
    <x v="78"/>
    <x v="0"/>
    <x v="3"/>
    <x v="7"/>
  </r>
  <r>
    <x v="5"/>
    <x v="35"/>
    <x v="1042"/>
    <x v="78"/>
    <x v="78"/>
    <x v="0"/>
    <x v="6"/>
    <x v="7"/>
  </r>
  <r>
    <x v="5"/>
    <x v="35"/>
    <x v="1043"/>
    <x v="78"/>
    <x v="78"/>
    <x v="0"/>
    <x v="3"/>
    <x v="7"/>
  </r>
  <r>
    <x v="1"/>
    <x v="35"/>
    <x v="1044"/>
    <x v="163"/>
    <x v="158"/>
    <x v="1"/>
    <x v="3"/>
    <x v="2"/>
  </r>
  <r>
    <x v="0"/>
    <x v="35"/>
    <x v="1045"/>
    <x v="167"/>
    <x v="162"/>
    <x v="5"/>
    <x v="28"/>
    <x v="25"/>
  </r>
  <r>
    <x v="4"/>
    <x v="36"/>
    <x v="1046"/>
    <x v="8"/>
    <x v="8"/>
    <x v="1"/>
    <x v="3"/>
    <x v="2"/>
  </r>
  <r>
    <x v="0"/>
    <x v="36"/>
    <x v="1047"/>
    <x v="169"/>
    <x v="164"/>
    <x v="0"/>
    <x v="4"/>
    <x v="7"/>
  </r>
  <r>
    <x v="0"/>
    <x v="36"/>
    <x v="1048"/>
    <x v="169"/>
    <x v="164"/>
    <x v="0"/>
    <x v="4"/>
    <x v="7"/>
  </r>
  <r>
    <x v="4"/>
    <x v="36"/>
    <x v="1049"/>
    <x v="34"/>
    <x v="34"/>
    <x v="1"/>
    <x v="4"/>
    <x v="7"/>
  </r>
  <r>
    <x v="4"/>
    <x v="36"/>
    <x v="1050"/>
    <x v="34"/>
    <x v="34"/>
    <x v="1"/>
    <x v="4"/>
    <x v="7"/>
  </r>
  <r>
    <x v="1"/>
    <x v="36"/>
    <x v="1051"/>
    <x v="133"/>
    <x v="129"/>
    <x v="1"/>
    <x v="22"/>
    <x v="7"/>
  </r>
  <r>
    <x v="2"/>
    <x v="36"/>
    <x v="1052"/>
    <x v="130"/>
    <x v="126"/>
    <x v="4"/>
    <x v="4"/>
    <x v="10"/>
  </r>
  <r>
    <x v="2"/>
    <x v="36"/>
    <x v="1053"/>
    <x v="130"/>
    <x v="126"/>
    <x v="4"/>
    <x v="4"/>
    <x v="10"/>
  </r>
  <r>
    <x v="2"/>
    <x v="36"/>
    <x v="1054"/>
    <x v="130"/>
    <x v="126"/>
    <x v="4"/>
    <x v="4"/>
    <x v="10"/>
  </r>
  <r>
    <x v="2"/>
    <x v="36"/>
    <x v="1055"/>
    <x v="130"/>
    <x v="126"/>
    <x v="4"/>
    <x v="4"/>
    <x v="10"/>
  </r>
  <r>
    <x v="2"/>
    <x v="36"/>
    <x v="1056"/>
    <x v="130"/>
    <x v="126"/>
    <x v="4"/>
    <x v="4"/>
    <x v="10"/>
  </r>
  <r>
    <x v="5"/>
    <x v="36"/>
    <x v="1057"/>
    <x v="184"/>
    <x v="179"/>
    <x v="6"/>
    <x v="1"/>
    <x v="7"/>
  </r>
  <r>
    <x v="1"/>
    <x v="36"/>
    <x v="1058"/>
    <x v="184"/>
    <x v="179"/>
    <x v="6"/>
    <x v="1"/>
    <x v="7"/>
  </r>
  <r>
    <x v="0"/>
    <x v="36"/>
    <x v="1059"/>
    <x v="5"/>
    <x v="44"/>
    <x v="6"/>
    <x v="3"/>
    <x v="7"/>
  </r>
  <r>
    <x v="2"/>
    <x v="36"/>
    <x v="1060"/>
    <x v="5"/>
    <x v="44"/>
    <x v="6"/>
    <x v="4"/>
    <x v="10"/>
  </r>
  <r>
    <x v="2"/>
    <x v="36"/>
    <x v="1061"/>
    <x v="5"/>
    <x v="44"/>
    <x v="6"/>
    <x v="4"/>
    <x v="10"/>
  </r>
  <r>
    <x v="2"/>
    <x v="36"/>
    <x v="1062"/>
    <x v="5"/>
    <x v="44"/>
    <x v="6"/>
    <x v="4"/>
    <x v="10"/>
  </r>
  <r>
    <x v="2"/>
    <x v="36"/>
    <x v="1063"/>
    <x v="5"/>
    <x v="44"/>
    <x v="6"/>
    <x v="4"/>
    <x v="10"/>
  </r>
  <r>
    <x v="2"/>
    <x v="36"/>
    <x v="1064"/>
    <x v="5"/>
    <x v="44"/>
    <x v="6"/>
    <x v="4"/>
    <x v="10"/>
  </r>
  <r>
    <x v="5"/>
    <x v="36"/>
    <x v="1065"/>
    <x v="2"/>
    <x v="2"/>
    <x v="0"/>
    <x v="2"/>
    <x v="20"/>
  </r>
  <r>
    <x v="2"/>
    <x v="36"/>
    <x v="1066"/>
    <x v="92"/>
    <x v="92"/>
    <x v="0"/>
    <x v="24"/>
    <x v="2"/>
  </r>
  <r>
    <x v="2"/>
    <x v="36"/>
    <x v="1067"/>
    <x v="92"/>
    <x v="92"/>
    <x v="0"/>
    <x v="24"/>
    <x v="2"/>
  </r>
  <r>
    <x v="1"/>
    <x v="36"/>
    <x v="1068"/>
    <x v="2"/>
    <x v="2"/>
    <x v="3"/>
    <x v="2"/>
    <x v="20"/>
  </r>
  <r>
    <x v="0"/>
    <x v="36"/>
    <x v="1069"/>
    <x v="2"/>
    <x v="2"/>
    <x v="3"/>
    <x v="23"/>
    <x v="7"/>
  </r>
  <r>
    <x v="3"/>
    <x v="36"/>
    <x v="1038"/>
    <x v="8"/>
    <x v="8"/>
    <x v="1"/>
    <x v="5"/>
    <x v="13"/>
  </r>
  <r>
    <x v="3"/>
    <x v="36"/>
    <x v="1070"/>
    <x v="8"/>
    <x v="8"/>
    <x v="1"/>
    <x v="5"/>
    <x v="13"/>
  </r>
  <r>
    <x v="3"/>
    <x v="36"/>
    <x v="1071"/>
    <x v="8"/>
    <x v="8"/>
    <x v="1"/>
    <x v="5"/>
    <x v="13"/>
  </r>
  <r>
    <x v="3"/>
    <x v="36"/>
    <x v="1072"/>
    <x v="8"/>
    <x v="8"/>
    <x v="1"/>
    <x v="5"/>
    <x v="13"/>
  </r>
  <r>
    <x v="3"/>
    <x v="36"/>
    <x v="1073"/>
    <x v="8"/>
    <x v="8"/>
    <x v="1"/>
    <x v="5"/>
    <x v="13"/>
  </r>
  <r>
    <x v="3"/>
    <x v="36"/>
    <x v="1074"/>
    <x v="8"/>
    <x v="8"/>
    <x v="1"/>
    <x v="5"/>
    <x v="13"/>
  </r>
  <r>
    <x v="3"/>
    <x v="36"/>
    <x v="1075"/>
    <x v="184"/>
    <x v="179"/>
    <x v="0"/>
    <x v="1"/>
    <x v="42"/>
  </r>
  <r>
    <x v="5"/>
    <x v="36"/>
    <x v="1076"/>
    <x v="8"/>
    <x v="8"/>
    <x v="1"/>
    <x v="18"/>
    <x v="9"/>
  </r>
  <r>
    <x v="5"/>
    <x v="36"/>
    <x v="1077"/>
    <x v="8"/>
    <x v="8"/>
    <x v="1"/>
    <x v="18"/>
    <x v="9"/>
  </r>
  <r>
    <x v="5"/>
    <x v="36"/>
    <x v="1078"/>
    <x v="8"/>
    <x v="8"/>
    <x v="1"/>
    <x v="18"/>
    <x v="9"/>
  </r>
  <r>
    <x v="5"/>
    <x v="36"/>
    <x v="1079"/>
    <x v="8"/>
    <x v="8"/>
    <x v="1"/>
    <x v="18"/>
    <x v="9"/>
  </r>
  <r>
    <x v="5"/>
    <x v="36"/>
    <x v="1080"/>
    <x v="8"/>
    <x v="8"/>
    <x v="1"/>
    <x v="18"/>
    <x v="9"/>
  </r>
  <r>
    <x v="5"/>
    <x v="36"/>
    <x v="1081"/>
    <x v="8"/>
    <x v="8"/>
    <x v="1"/>
    <x v="18"/>
    <x v="9"/>
  </r>
  <r>
    <x v="5"/>
    <x v="36"/>
    <x v="1082"/>
    <x v="8"/>
    <x v="8"/>
    <x v="1"/>
    <x v="18"/>
    <x v="9"/>
  </r>
  <r>
    <x v="5"/>
    <x v="36"/>
    <x v="1083"/>
    <x v="8"/>
    <x v="8"/>
    <x v="1"/>
    <x v="18"/>
    <x v="9"/>
  </r>
  <r>
    <x v="5"/>
    <x v="36"/>
    <x v="1084"/>
    <x v="8"/>
    <x v="8"/>
    <x v="1"/>
    <x v="18"/>
    <x v="9"/>
  </r>
  <r>
    <x v="5"/>
    <x v="36"/>
    <x v="1085"/>
    <x v="8"/>
    <x v="8"/>
    <x v="1"/>
    <x v="18"/>
    <x v="9"/>
  </r>
  <r>
    <x v="5"/>
    <x v="36"/>
    <x v="1086"/>
    <x v="8"/>
    <x v="8"/>
    <x v="1"/>
    <x v="18"/>
    <x v="9"/>
  </r>
  <r>
    <x v="1"/>
    <x v="36"/>
    <x v="1087"/>
    <x v="2"/>
    <x v="2"/>
    <x v="0"/>
    <x v="22"/>
    <x v="7"/>
  </r>
  <r>
    <x v="2"/>
    <x v="36"/>
    <x v="1088"/>
    <x v="2"/>
    <x v="2"/>
    <x v="0"/>
    <x v="5"/>
    <x v="13"/>
  </r>
  <r>
    <x v="2"/>
    <x v="36"/>
    <x v="1089"/>
    <x v="2"/>
    <x v="2"/>
    <x v="0"/>
    <x v="5"/>
    <x v="13"/>
  </r>
  <r>
    <x v="2"/>
    <x v="36"/>
    <x v="1090"/>
    <x v="2"/>
    <x v="2"/>
    <x v="0"/>
    <x v="5"/>
    <x v="13"/>
  </r>
  <r>
    <x v="2"/>
    <x v="36"/>
    <x v="1091"/>
    <x v="2"/>
    <x v="2"/>
    <x v="0"/>
    <x v="5"/>
    <x v="13"/>
  </r>
  <r>
    <x v="2"/>
    <x v="36"/>
    <x v="1092"/>
    <x v="2"/>
    <x v="2"/>
    <x v="0"/>
    <x v="5"/>
    <x v="13"/>
  </r>
  <r>
    <x v="2"/>
    <x v="36"/>
    <x v="1093"/>
    <x v="2"/>
    <x v="2"/>
    <x v="0"/>
    <x v="5"/>
    <x v="13"/>
  </r>
  <r>
    <x v="2"/>
    <x v="36"/>
    <x v="1094"/>
    <x v="2"/>
    <x v="2"/>
    <x v="0"/>
    <x v="5"/>
    <x v="13"/>
  </r>
  <r>
    <x v="2"/>
    <x v="36"/>
    <x v="1095"/>
    <x v="2"/>
    <x v="2"/>
    <x v="0"/>
    <x v="5"/>
    <x v="13"/>
  </r>
  <r>
    <x v="2"/>
    <x v="36"/>
    <x v="1096"/>
    <x v="2"/>
    <x v="2"/>
    <x v="0"/>
    <x v="5"/>
    <x v="13"/>
  </r>
  <r>
    <x v="2"/>
    <x v="36"/>
    <x v="1097"/>
    <x v="2"/>
    <x v="2"/>
    <x v="0"/>
    <x v="5"/>
    <x v="13"/>
  </r>
  <r>
    <x v="2"/>
    <x v="36"/>
    <x v="1098"/>
    <x v="2"/>
    <x v="2"/>
    <x v="0"/>
    <x v="5"/>
    <x v="13"/>
  </r>
  <r>
    <x v="3"/>
    <x v="36"/>
    <x v="1099"/>
    <x v="192"/>
    <x v="187"/>
    <x v="4"/>
    <x v="5"/>
    <x v="13"/>
  </r>
  <r>
    <x v="3"/>
    <x v="36"/>
    <x v="773"/>
    <x v="131"/>
    <x v="127"/>
    <x v="0"/>
    <x v="0"/>
    <x v="13"/>
  </r>
  <r>
    <x v="3"/>
    <x v="36"/>
    <x v="772"/>
    <x v="131"/>
    <x v="127"/>
    <x v="0"/>
    <x v="0"/>
    <x v="13"/>
  </r>
  <r>
    <x v="0"/>
    <x v="36"/>
    <x v="1100"/>
    <x v="57"/>
    <x v="57"/>
    <x v="0"/>
    <x v="11"/>
    <x v="2"/>
  </r>
  <r>
    <x v="0"/>
    <x v="36"/>
    <x v="1101"/>
    <x v="57"/>
    <x v="57"/>
    <x v="3"/>
    <x v="11"/>
    <x v="2"/>
  </r>
  <r>
    <x v="0"/>
    <x v="36"/>
    <x v="1102"/>
    <x v="57"/>
    <x v="57"/>
    <x v="3"/>
    <x v="11"/>
    <x v="2"/>
  </r>
  <r>
    <x v="0"/>
    <x v="36"/>
    <x v="1103"/>
    <x v="57"/>
    <x v="57"/>
    <x v="3"/>
    <x v="11"/>
    <x v="2"/>
  </r>
  <r>
    <x v="1"/>
    <x v="36"/>
    <x v="1104"/>
    <x v="93"/>
    <x v="93"/>
    <x v="0"/>
    <x v="11"/>
    <x v="2"/>
  </r>
  <r>
    <x v="1"/>
    <x v="36"/>
    <x v="1105"/>
    <x v="193"/>
    <x v="188"/>
    <x v="0"/>
    <x v="11"/>
    <x v="2"/>
  </r>
  <r>
    <x v="1"/>
    <x v="36"/>
    <x v="1106"/>
    <x v="92"/>
    <x v="92"/>
    <x v="0"/>
    <x v="11"/>
    <x v="2"/>
  </r>
  <r>
    <x v="1"/>
    <x v="36"/>
    <x v="1107"/>
    <x v="92"/>
    <x v="92"/>
    <x v="0"/>
    <x v="11"/>
    <x v="2"/>
  </r>
  <r>
    <x v="0"/>
    <x v="36"/>
    <x v="1108"/>
    <x v="2"/>
    <x v="2"/>
    <x v="3"/>
    <x v="3"/>
    <x v="10"/>
  </r>
  <r>
    <x v="0"/>
    <x v="37"/>
    <x v="1109"/>
    <x v="192"/>
    <x v="187"/>
    <x v="4"/>
    <x v="4"/>
    <x v="10"/>
  </r>
  <r>
    <x v="0"/>
    <x v="37"/>
    <x v="1110"/>
    <x v="7"/>
    <x v="7"/>
    <x v="8"/>
    <x v="10"/>
    <x v="2"/>
  </r>
  <r>
    <x v="4"/>
    <x v="37"/>
    <x v="1050"/>
    <x v="34"/>
    <x v="34"/>
    <x v="1"/>
    <x v="23"/>
    <x v="7"/>
  </r>
  <r>
    <x v="2"/>
    <x v="37"/>
    <x v="1111"/>
    <x v="2"/>
    <x v="2"/>
    <x v="0"/>
    <x v="4"/>
    <x v="10"/>
  </r>
  <r>
    <x v="2"/>
    <x v="37"/>
    <x v="1089"/>
    <x v="2"/>
    <x v="2"/>
    <x v="0"/>
    <x v="4"/>
    <x v="10"/>
  </r>
  <r>
    <x v="2"/>
    <x v="37"/>
    <x v="1090"/>
    <x v="2"/>
    <x v="2"/>
    <x v="0"/>
    <x v="4"/>
    <x v="10"/>
  </r>
  <r>
    <x v="2"/>
    <x v="37"/>
    <x v="1091"/>
    <x v="2"/>
    <x v="2"/>
    <x v="0"/>
    <x v="4"/>
    <x v="10"/>
  </r>
  <r>
    <x v="2"/>
    <x v="37"/>
    <x v="1092"/>
    <x v="2"/>
    <x v="2"/>
    <x v="0"/>
    <x v="4"/>
    <x v="10"/>
  </r>
  <r>
    <x v="2"/>
    <x v="37"/>
    <x v="1093"/>
    <x v="2"/>
    <x v="2"/>
    <x v="0"/>
    <x v="4"/>
    <x v="10"/>
  </r>
  <r>
    <x v="2"/>
    <x v="37"/>
    <x v="1112"/>
    <x v="2"/>
    <x v="2"/>
    <x v="0"/>
    <x v="4"/>
    <x v="10"/>
  </r>
  <r>
    <x v="2"/>
    <x v="37"/>
    <x v="1094"/>
    <x v="2"/>
    <x v="2"/>
    <x v="0"/>
    <x v="4"/>
    <x v="10"/>
  </r>
  <r>
    <x v="2"/>
    <x v="37"/>
    <x v="1096"/>
    <x v="2"/>
    <x v="2"/>
    <x v="3"/>
    <x v="4"/>
    <x v="10"/>
  </r>
  <r>
    <x v="2"/>
    <x v="37"/>
    <x v="1097"/>
    <x v="2"/>
    <x v="2"/>
    <x v="3"/>
    <x v="4"/>
    <x v="10"/>
  </r>
  <r>
    <x v="2"/>
    <x v="37"/>
    <x v="1113"/>
    <x v="2"/>
    <x v="2"/>
    <x v="3"/>
    <x v="4"/>
    <x v="10"/>
  </r>
  <r>
    <x v="0"/>
    <x v="37"/>
    <x v="1114"/>
    <x v="70"/>
    <x v="70"/>
    <x v="0"/>
    <x v="30"/>
    <x v="44"/>
  </r>
  <r>
    <x v="0"/>
    <x v="37"/>
    <x v="1115"/>
    <x v="70"/>
    <x v="70"/>
    <x v="0"/>
    <x v="30"/>
    <x v="44"/>
  </r>
  <r>
    <x v="0"/>
    <x v="37"/>
    <x v="1116"/>
    <x v="70"/>
    <x v="70"/>
    <x v="0"/>
    <x v="30"/>
    <x v="44"/>
  </r>
  <r>
    <x v="0"/>
    <x v="37"/>
    <x v="1117"/>
    <x v="24"/>
    <x v="24"/>
    <x v="8"/>
    <x v="10"/>
    <x v="2"/>
  </r>
  <r>
    <x v="4"/>
    <x v="37"/>
    <x v="1118"/>
    <x v="70"/>
    <x v="70"/>
    <x v="0"/>
    <x v="30"/>
    <x v="44"/>
  </r>
  <r>
    <x v="4"/>
    <x v="37"/>
    <x v="1119"/>
    <x v="70"/>
    <x v="70"/>
    <x v="0"/>
    <x v="30"/>
    <x v="44"/>
  </r>
  <r>
    <x v="4"/>
    <x v="37"/>
    <x v="1120"/>
    <x v="70"/>
    <x v="70"/>
    <x v="0"/>
    <x v="30"/>
    <x v="44"/>
  </r>
  <r>
    <x v="5"/>
    <x v="37"/>
    <x v="1121"/>
    <x v="70"/>
    <x v="70"/>
    <x v="0"/>
    <x v="30"/>
    <x v="44"/>
  </r>
  <r>
    <x v="5"/>
    <x v="37"/>
    <x v="1122"/>
    <x v="70"/>
    <x v="70"/>
    <x v="0"/>
    <x v="30"/>
    <x v="44"/>
  </r>
  <r>
    <x v="2"/>
    <x v="37"/>
    <x v="1123"/>
    <x v="30"/>
    <x v="30"/>
    <x v="4"/>
    <x v="4"/>
    <x v="3"/>
  </r>
  <r>
    <x v="2"/>
    <x v="37"/>
    <x v="1124"/>
    <x v="30"/>
    <x v="30"/>
    <x v="4"/>
    <x v="4"/>
    <x v="3"/>
  </r>
  <r>
    <x v="2"/>
    <x v="37"/>
    <x v="1125"/>
    <x v="76"/>
    <x v="76"/>
    <x v="1"/>
    <x v="19"/>
    <x v="14"/>
  </r>
  <r>
    <x v="1"/>
    <x v="37"/>
    <x v="1126"/>
    <x v="78"/>
    <x v="78"/>
    <x v="0"/>
    <x v="23"/>
    <x v="7"/>
  </r>
  <r>
    <x v="0"/>
    <x v="37"/>
    <x v="1127"/>
    <x v="76"/>
    <x v="76"/>
    <x v="1"/>
    <x v="1"/>
    <x v="7"/>
  </r>
  <r>
    <x v="4"/>
    <x v="37"/>
    <x v="1128"/>
    <x v="76"/>
    <x v="76"/>
    <x v="1"/>
    <x v="1"/>
    <x v="9"/>
  </r>
  <r>
    <x v="2"/>
    <x v="37"/>
    <x v="1129"/>
    <x v="194"/>
    <x v="189"/>
    <x v="3"/>
    <x v="0"/>
    <x v="2"/>
  </r>
  <r>
    <x v="4"/>
    <x v="37"/>
    <x v="1130"/>
    <x v="170"/>
    <x v="165"/>
    <x v="6"/>
    <x v="1"/>
    <x v="7"/>
  </r>
  <r>
    <x v="2"/>
    <x v="37"/>
    <x v="1131"/>
    <x v="73"/>
    <x v="73"/>
    <x v="0"/>
    <x v="4"/>
    <x v="7"/>
  </r>
  <r>
    <x v="0"/>
    <x v="37"/>
    <x v="1132"/>
    <x v="195"/>
    <x v="190"/>
    <x v="3"/>
    <x v="0"/>
    <x v="7"/>
  </r>
  <r>
    <x v="0"/>
    <x v="37"/>
    <x v="1133"/>
    <x v="195"/>
    <x v="190"/>
    <x v="3"/>
    <x v="0"/>
    <x v="7"/>
  </r>
  <r>
    <x v="4"/>
    <x v="37"/>
    <x v="1134"/>
    <x v="195"/>
    <x v="190"/>
    <x v="3"/>
    <x v="31"/>
    <x v="7"/>
  </r>
  <r>
    <x v="4"/>
    <x v="37"/>
    <x v="1135"/>
    <x v="195"/>
    <x v="190"/>
    <x v="3"/>
    <x v="31"/>
    <x v="7"/>
  </r>
  <r>
    <x v="4"/>
    <x v="37"/>
    <x v="1136"/>
    <x v="195"/>
    <x v="190"/>
    <x v="3"/>
    <x v="31"/>
    <x v="7"/>
  </r>
  <r>
    <x v="2"/>
    <x v="37"/>
    <x v="1137"/>
    <x v="40"/>
    <x v="40"/>
    <x v="6"/>
    <x v="13"/>
    <x v="7"/>
  </r>
  <r>
    <x v="1"/>
    <x v="37"/>
    <x v="1138"/>
    <x v="195"/>
    <x v="190"/>
    <x v="3"/>
    <x v="31"/>
    <x v="7"/>
  </r>
  <r>
    <x v="1"/>
    <x v="37"/>
    <x v="1139"/>
    <x v="195"/>
    <x v="190"/>
    <x v="3"/>
    <x v="31"/>
    <x v="7"/>
  </r>
  <r>
    <x v="3"/>
    <x v="37"/>
    <x v="1140"/>
    <x v="76"/>
    <x v="76"/>
    <x v="1"/>
    <x v="1"/>
    <x v="7"/>
  </r>
  <r>
    <x v="3"/>
    <x v="37"/>
    <x v="1141"/>
    <x v="8"/>
    <x v="8"/>
    <x v="0"/>
    <x v="23"/>
    <x v="7"/>
  </r>
  <r>
    <x v="3"/>
    <x v="37"/>
    <x v="1142"/>
    <x v="195"/>
    <x v="190"/>
    <x v="3"/>
    <x v="0"/>
    <x v="45"/>
  </r>
  <r>
    <x v="3"/>
    <x v="37"/>
    <x v="1143"/>
    <x v="195"/>
    <x v="190"/>
    <x v="3"/>
    <x v="0"/>
    <x v="45"/>
  </r>
  <r>
    <x v="0"/>
    <x v="37"/>
    <x v="1144"/>
    <x v="196"/>
    <x v="191"/>
    <x v="3"/>
    <x v="3"/>
    <x v="17"/>
  </r>
  <r>
    <x v="4"/>
    <x v="37"/>
    <x v="1145"/>
    <x v="7"/>
    <x v="7"/>
    <x v="8"/>
    <x v="10"/>
    <x v="14"/>
  </r>
  <r>
    <x v="4"/>
    <x v="37"/>
    <x v="1146"/>
    <x v="122"/>
    <x v="119"/>
    <x v="10"/>
    <x v="10"/>
    <x v="2"/>
  </r>
  <r>
    <x v="4"/>
    <x v="37"/>
    <x v="1130"/>
    <x v="170"/>
    <x v="165"/>
    <x v="6"/>
    <x v="1"/>
    <x v="7"/>
  </r>
  <r>
    <x v="3"/>
    <x v="37"/>
    <x v="1147"/>
    <x v="32"/>
    <x v="32"/>
    <x v="10"/>
    <x v="6"/>
    <x v="14"/>
  </r>
  <r>
    <x v="5"/>
    <x v="38"/>
    <x v="1148"/>
    <x v="24"/>
    <x v="24"/>
    <x v="12"/>
    <x v="10"/>
    <x v="14"/>
  </r>
  <r>
    <x v="2"/>
    <x v="38"/>
    <x v="1124"/>
    <x v="30"/>
    <x v="30"/>
    <x v="4"/>
    <x v="4"/>
    <x v="10"/>
  </r>
  <r>
    <x v="2"/>
    <x v="38"/>
    <x v="1149"/>
    <x v="197"/>
    <x v="192"/>
    <x v="0"/>
    <x v="4"/>
    <x v="7"/>
  </r>
  <r>
    <x v="0"/>
    <x v="38"/>
    <x v="1150"/>
    <x v="57"/>
    <x v="57"/>
    <x v="3"/>
    <x v="23"/>
    <x v="17"/>
  </r>
  <r>
    <x v="5"/>
    <x v="38"/>
    <x v="1151"/>
    <x v="197"/>
    <x v="192"/>
    <x v="0"/>
    <x v="4"/>
    <x v="7"/>
  </r>
  <r>
    <x v="2"/>
    <x v="38"/>
    <x v="1152"/>
    <x v="24"/>
    <x v="24"/>
    <x v="12"/>
    <x v="10"/>
    <x v="14"/>
  </r>
  <r>
    <x v="2"/>
    <x v="38"/>
    <x v="1153"/>
    <x v="2"/>
    <x v="2"/>
    <x v="0"/>
    <x v="22"/>
    <x v="7"/>
  </r>
  <r>
    <x v="2"/>
    <x v="38"/>
    <x v="1112"/>
    <x v="2"/>
    <x v="2"/>
    <x v="0"/>
    <x v="22"/>
    <x v="7"/>
  </r>
  <r>
    <x v="4"/>
    <x v="38"/>
    <x v="1154"/>
    <x v="88"/>
    <x v="88"/>
    <x v="1"/>
    <x v="1"/>
    <x v="7"/>
  </r>
  <r>
    <x v="4"/>
    <x v="38"/>
    <x v="1155"/>
    <x v="197"/>
    <x v="192"/>
    <x v="1"/>
    <x v="4"/>
    <x v="7"/>
  </r>
  <r>
    <x v="4"/>
    <x v="38"/>
    <x v="1156"/>
    <x v="194"/>
    <x v="189"/>
    <x v="3"/>
    <x v="0"/>
    <x v="7"/>
  </r>
  <r>
    <x v="1"/>
    <x v="38"/>
    <x v="1157"/>
    <x v="194"/>
    <x v="189"/>
    <x v="3"/>
    <x v="0"/>
    <x v="7"/>
  </r>
  <r>
    <x v="1"/>
    <x v="38"/>
    <x v="1158"/>
    <x v="57"/>
    <x v="57"/>
    <x v="3"/>
    <x v="1"/>
    <x v="7"/>
  </r>
  <r>
    <x v="3"/>
    <x v="38"/>
    <x v="1159"/>
    <x v="63"/>
    <x v="63"/>
    <x v="6"/>
    <x v="13"/>
    <x v="46"/>
  </r>
  <r>
    <x v="5"/>
    <x v="38"/>
    <x v="1160"/>
    <x v="63"/>
    <x v="63"/>
    <x v="6"/>
    <x v="13"/>
    <x v="46"/>
  </r>
  <r>
    <x v="3"/>
    <x v="38"/>
    <x v="1161"/>
    <x v="40"/>
    <x v="40"/>
    <x v="6"/>
    <x v="23"/>
    <x v="7"/>
  </r>
  <r>
    <x v="2"/>
    <x v="38"/>
    <x v="1162"/>
    <x v="28"/>
    <x v="28"/>
    <x v="4"/>
    <x v="32"/>
    <x v="14"/>
  </r>
  <r>
    <x v="2"/>
    <x v="38"/>
    <x v="1163"/>
    <x v="28"/>
    <x v="28"/>
    <x v="4"/>
    <x v="32"/>
    <x v="14"/>
  </r>
  <r>
    <x v="2"/>
    <x v="38"/>
    <x v="1164"/>
    <x v="88"/>
    <x v="88"/>
    <x v="1"/>
    <x v="22"/>
    <x v="7"/>
  </r>
  <r>
    <x v="5"/>
    <x v="38"/>
    <x v="1165"/>
    <x v="99"/>
    <x v="44"/>
    <x v="6"/>
    <x v="5"/>
    <x v="4"/>
  </r>
  <r>
    <x v="5"/>
    <x v="38"/>
    <x v="1166"/>
    <x v="99"/>
    <x v="44"/>
    <x v="6"/>
    <x v="5"/>
    <x v="4"/>
  </r>
  <r>
    <x v="5"/>
    <x v="38"/>
    <x v="1167"/>
    <x v="99"/>
    <x v="44"/>
    <x v="6"/>
    <x v="5"/>
    <x v="4"/>
  </r>
  <r>
    <x v="5"/>
    <x v="38"/>
    <x v="1168"/>
    <x v="198"/>
    <x v="193"/>
    <x v="6"/>
    <x v="6"/>
    <x v="14"/>
  </r>
  <r>
    <x v="5"/>
    <x v="38"/>
    <x v="1169"/>
    <x v="178"/>
    <x v="173"/>
    <x v="3"/>
    <x v="5"/>
    <x v="7"/>
  </r>
  <r>
    <x v="4"/>
    <x v="38"/>
    <x v="1170"/>
    <x v="199"/>
    <x v="194"/>
    <x v="1"/>
    <x v="3"/>
    <x v="14"/>
  </r>
  <r>
    <x v="0"/>
    <x v="38"/>
    <x v="1171"/>
    <x v="102"/>
    <x v="100"/>
    <x v="3"/>
    <x v="5"/>
    <x v="14"/>
  </r>
  <r>
    <x v="0"/>
    <x v="38"/>
    <x v="1172"/>
    <x v="102"/>
    <x v="100"/>
    <x v="3"/>
    <x v="5"/>
    <x v="14"/>
  </r>
  <r>
    <x v="4"/>
    <x v="39"/>
    <x v="1173"/>
    <x v="101"/>
    <x v="99"/>
    <x v="0"/>
    <x v="16"/>
    <x v="47"/>
  </r>
  <r>
    <x v="0"/>
    <x v="39"/>
    <x v="1174"/>
    <x v="24"/>
    <x v="24"/>
    <x v="8"/>
    <x v="10"/>
    <x v="25"/>
  </r>
  <r>
    <x v="3"/>
    <x v="39"/>
    <x v="1175"/>
    <x v="24"/>
    <x v="24"/>
    <x v="8"/>
    <x v="10"/>
    <x v="2"/>
  </r>
  <r>
    <x v="5"/>
    <x v="40"/>
    <x v="1176"/>
    <x v="73"/>
    <x v="73"/>
    <x v="0"/>
    <x v="4"/>
    <x v="10"/>
  </r>
  <r>
    <x v="2"/>
    <x v="40"/>
    <x v="1177"/>
    <x v="195"/>
    <x v="190"/>
    <x v="3"/>
    <x v="0"/>
    <x v="7"/>
  </r>
  <r>
    <x v="2"/>
    <x v="40"/>
    <x v="1178"/>
    <x v="14"/>
    <x v="14"/>
    <x v="1"/>
    <x v="21"/>
    <x v="2"/>
  </r>
  <r>
    <x v="1"/>
    <x v="40"/>
    <x v="1179"/>
    <x v="74"/>
    <x v="74"/>
    <x v="0"/>
    <x v="4"/>
    <x v="7"/>
  </r>
  <r>
    <x v="1"/>
    <x v="40"/>
    <x v="1180"/>
    <x v="74"/>
    <x v="74"/>
    <x v="0"/>
    <x v="4"/>
    <x v="7"/>
  </r>
  <r>
    <x v="4"/>
    <x v="40"/>
    <x v="1181"/>
    <x v="8"/>
    <x v="8"/>
    <x v="1"/>
    <x v="4"/>
    <x v="7"/>
  </r>
  <r>
    <x v="4"/>
    <x v="40"/>
    <x v="1182"/>
    <x v="8"/>
    <x v="8"/>
    <x v="1"/>
    <x v="4"/>
    <x v="7"/>
  </r>
  <r>
    <x v="4"/>
    <x v="40"/>
    <x v="1183"/>
    <x v="8"/>
    <x v="8"/>
    <x v="1"/>
    <x v="4"/>
    <x v="7"/>
  </r>
  <r>
    <x v="4"/>
    <x v="40"/>
    <x v="1184"/>
    <x v="8"/>
    <x v="8"/>
    <x v="1"/>
    <x v="4"/>
    <x v="7"/>
  </r>
  <r>
    <x v="4"/>
    <x v="40"/>
    <x v="1185"/>
    <x v="8"/>
    <x v="8"/>
    <x v="1"/>
    <x v="4"/>
    <x v="7"/>
  </r>
  <r>
    <x v="4"/>
    <x v="40"/>
    <x v="1186"/>
    <x v="200"/>
    <x v="195"/>
    <x v="10"/>
    <x v="3"/>
    <x v="2"/>
  </r>
  <r>
    <x v="4"/>
    <x v="40"/>
    <x v="1187"/>
    <x v="181"/>
    <x v="176"/>
    <x v="10"/>
    <x v="10"/>
    <x v="2"/>
  </r>
  <r>
    <x v="5"/>
    <x v="40"/>
    <x v="1188"/>
    <x v="201"/>
    <x v="196"/>
    <x v="3"/>
    <x v="4"/>
    <x v="7"/>
  </r>
  <r>
    <x v="3"/>
    <x v="40"/>
    <x v="1189"/>
    <x v="195"/>
    <x v="190"/>
    <x v="3"/>
    <x v="31"/>
    <x v="7"/>
  </r>
  <r>
    <x v="3"/>
    <x v="40"/>
    <x v="1190"/>
    <x v="195"/>
    <x v="190"/>
    <x v="3"/>
    <x v="31"/>
    <x v="7"/>
  </r>
  <r>
    <x v="1"/>
    <x v="40"/>
    <x v="1191"/>
    <x v="195"/>
    <x v="190"/>
    <x v="3"/>
    <x v="31"/>
    <x v="7"/>
  </r>
  <r>
    <x v="0"/>
    <x v="40"/>
    <x v="1192"/>
    <x v="7"/>
    <x v="7"/>
    <x v="8"/>
    <x v="10"/>
    <x v="2"/>
  </r>
  <r>
    <x v="0"/>
    <x v="40"/>
    <x v="1193"/>
    <x v="73"/>
    <x v="73"/>
    <x v="0"/>
    <x v="26"/>
    <x v="7"/>
  </r>
  <r>
    <x v="0"/>
    <x v="40"/>
    <x v="1194"/>
    <x v="197"/>
    <x v="192"/>
    <x v="0"/>
    <x v="4"/>
    <x v="7"/>
  </r>
  <r>
    <x v="1"/>
    <x v="40"/>
    <x v="1195"/>
    <x v="14"/>
    <x v="14"/>
    <x v="1"/>
    <x v="3"/>
    <x v="7"/>
  </r>
  <r>
    <x v="1"/>
    <x v="40"/>
    <x v="1196"/>
    <x v="14"/>
    <x v="14"/>
    <x v="1"/>
    <x v="22"/>
    <x v="7"/>
  </r>
  <r>
    <x v="3"/>
    <x v="40"/>
    <x v="1197"/>
    <x v="45"/>
    <x v="46"/>
    <x v="1"/>
    <x v="23"/>
    <x v="7"/>
  </r>
  <r>
    <x v="3"/>
    <x v="40"/>
    <x v="1198"/>
    <x v="202"/>
    <x v="197"/>
    <x v="1"/>
    <x v="25"/>
    <x v="7"/>
  </r>
  <r>
    <x v="3"/>
    <x v="40"/>
    <x v="1199"/>
    <x v="202"/>
    <x v="197"/>
    <x v="1"/>
    <x v="25"/>
    <x v="7"/>
  </r>
  <r>
    <x v="2"/>
    <x v="41"/>
    <x v="1200"/>
    <x v="111"/>
    <x v="108"/>
    <x v="1"/>
    <x v="22"/>
    <x v="7"/>
  </r>
  <r>
    <x v="4"/>
    <x v="41"/>
    <x v="1201"/>
    <x v="85"/>
    <x v="85"/>
    <x v="0"/>
    <x v="4"/>
    <x v="10"/>
  </r>
  <r>
    <x v="4"/>
    <x v="41"/>
    <x v="1202"/>
    <x v="85"/>
    <x v="85"/>
    <x v="4"/>
    <x v="4"/>
    <x v="10"/>
  </r>
  <r>
    <x v="4"/>
    <x v="41"/>
    <x v="1203"/>
    <x v="85"/>
    <x v="85"/>
    <x v="4"/>
    <x v="4"/>
    <x v="10"/>
  </r>
  <r>
    <x v="5"/>
    <x v="41"/>
    <x v="1204"/>
    <x v="167"/>
    <x v="162"/>
    <x v="5"/>
    <x v="28"/>
    <x v="25"/>
  </r>
  <r>
    <x v="3"/>
    <x v="41"/>
    <x v="1070"/>
    <x v="8"/>
    <x v="8"/>
    <x v="1"/>
    <x v="25"/>
    <x v="7"/>
  </r>
  <r>
    <x v="4"/>
    <x v="41"/>
    <x v="1205"/>
    <x v="1"/>
    <x v="1"/>
    <x v="1"/>
    <x v="23"/>
    <x v="7"/>
  </r>
  <r>
    <x v="3"/>
    <x v="41"/>
    <x v="1072"/>
    <x v="8"/>
    <x v="8"/>
    <x v="1"/>
    <x v="25"/>
    <x v="7"/>
  </r>
  <r>
    <x v="3"/>
    <x v="41"/>
    <x v="1073"/>
    <x v="8"/>
    <x v="8"/>
    <x v="1"/>
    <x v="25"/>
    <x v="7"/>
  </r>
  <r>
    <x v="3"/>
    <x v="41"/>
    <x v="1074"/>
    <x v="8"/>
    <x v="8"/>
    <x v="1"/>
    <x v="25"/>
    <x v="7"/>
  </r>
  <r>
    <x v="3"/>
    <x v="41"/>
    <x v="1038"/>
    <x v="8"/>
    <x v="8"/>
    <x v="1"/>
    <x v="25"/>
    <x v="7"/>
  </r>
  <r>
    <x v="5"/>
    <x v="41"/>
    <x v="1206"/>
    <x v="114"/>
    <x v="111"/>
    <x v="1"/>
    <x v="3"/>
    <x v="2"/>
  </r>
  <r>
    <x v="5"/>
    <x v="41"/>
    <x v="1207"/>
    <x v="203"/>
    <x v="198"/>
    <x v="10"/>
    <x v="10"/>
    <x v="2"/>
  </r>
  <r>
    <x v="3"/>
    <x v="41"/>
    <x v="1208"/>
    <x v="24"/>
    <x v="24"/>
    <x v="12"/>
    <x v="10"/>
    <x v="2"/>
  </r>
  <r>
    <x v="3"/>
    <x v="41"/>
    <x v="1209"/>
    <x v="36"/>
    <x v="36"/>
    <x v="6"/>
    <x v="23"/>
    <x v="23"/>
  </r>
  <r>
    <x v="1"/>
    <x v="41"/>
    <x v="1210"/>
    <x v="26"/>
    <x v="26"/>
    <x v="6"/>
    <x v="22"/>
    <x v="2"/>
  </r>
  <r>
    <x v="5"/>
    <x v="41"/>
    <x v="1211"/>
    <x v="24"/>
    <x v="24"/>
    <x v="12"/>
    <x v="10"/>
    <x v="2"/>
  </r>
  <r>
    <x v="3"/>
    <x v="41"/>
    <x v="1212"/>
    <x v="1"/>
    <x v="1"/>
    <x v="1"/>
    <x v="5"/>
    <x v="14"/>
  </r>
  <r>
    <x v="5"/>
    <x v="41"/>
    <x v="1213"/>
    <x v="8"/>
    <x v="8"/>
    <x v="8"/>
    <x v="1"/>
    <x v="7"/>
  </r>
  <r>
    <x v="4"/>
    <x v="41"/>
    <x v="1214"/>
    <x v="39"/>
    <x v="39"/>
    <x v="10"/>
    <x v="6"/>
    <x v="14"/>
  </r>
  <r>
    <x v="1"/>
    <x v="41"/>
    <x v="1215"/>
    <x v="89"/>
    <x v="89"/>
    <x v="0"/>
    <x v="15"/>
    <x v="48"/>
  </r>
  <r>
    <x v="0"/>
    <x v="41"/>
    <x v="1216"/>
    <x v="9"/>
    <x v="9"/>
    <x v="1"/>
    <x v="11"/>
    <x v="14"/>
  </r>
  <r>
    <x v="0"/>
    <x v="41"/>
    <x v="1217"/>
    <x v="9"/>
    <x v="9"/>
    <x v="1"/>
    <x v="11"/>
    <x v="14"/>
  </r>
  <r>
    <x v="0"/>
    <x v="41"/>
    <x v="1218"/>
    <x v="9"/>
    <x v="9"/>
    <x v="1"/>
    <x v="11"/>
    <x v="14"/>
  </r>
  <r>
    <x v="5"/>
    <x v="41"/>
    <x v="1219"/>
    <x v="8"/>
    <x v="8"/>
    <x v="8"/>
    <x v="11"/>
    <x v="2"/>
  </r>
  <r>
    <x v="4"/>
    <x v="42"/>
    <x v="1134"/>
    <x v="195"/>
    <x v="190"/>
    <x v="3"/>
    <x v="20"/>
    <x v="20"/>
  </r>
  <r>
    <x v="4"/>
    <x v="42"/>
    <x v="1136"/>
    <x v="195"/>
    <x v="190"/>
    <x v="3"/>
    <x v="20"/>
    <x v="20"/>
  </r>
  <r>
    <x v="4"/>
    <x v="42"/>
    <x v="1135"/>
    <x v="195"/>
    <x v="190"/>
    <x v="3"/>
    <x v="20"/>
    <x v="20"/>
  </r>
  <r>
    <x v="1"/>
    <x v="42"/>
    <x v="1220"/>
    <x v="141"/>
    <x v="137"/>
    <x v="0"/>
    <x v="22"/>
    <x v="7"/>
  </r>
  <r>
    <x v="2"/>
    <x v="42"/>
    <x v="1177"/>
    <x v="195"/>
    <x v="190"/>
    <x v="3"/>
    <x v="6"/>
    <x v="2"/>
  </r>
  <r>
    <x v="6"/>
    <x v="42"/>
    <x v="1139"/>
    <x v="195"/>
    <x v="190"/>
    <x v="3"/>
    <x v="4"/>
    <x v="7"/>
  </r>
  <r>
    <x v="1"/>
    <x v="42"/>
    <x v="1138"/>
    <x v="195"/>
    <x v="190"/>
    <x v="3"/>
    <x v="4"/>
    <x v="7"/>
  </r>
  <r>
    <x v="1"/>
    <x v="42"/>
    <x v="1191"/>
    <x v="195"/>
    <x v="190"/>
    <x v="3"/>
    <x v="4"/>
    <x v="7"/>
  </r>
  <r>
    <x v="0"/>
    <x v="42"/>
    <x v="1221"/>
    <x v="26"/>
    <x v="26"/>
    <x v="6"/>
    <x v="23"/>
    <x v="7"/>
  </r>
  <r>
    <x v="1"/>
    <x v="42"/>
    <x v="1222"/>
    <x v="57"/>
    <x v="57"/>
    <x v="3"/>
    <x v="22"/>
    <x v="7"/>
  </r>
  <r>
    <x v="2"/>
    <x v="42"/>
    <x v="1223"/>
    <x v="204"/>
    <x v="199"/>
    <x v="0"/>
    <x v="2"/>
    <x v="1"/>
  </r>
  <r>
    <x v="0"/>
    <x v="42"/>
    <x v="1224"/>
    <x v="1"/>
    <x v="1"/>
    <x v="1"/>
    <x v="8"/>
    <x v="7"/>
  </r>
  <r>
    <x v="0"/>
    <x v="42"/>
    <x v="1225"/>
    <x v="114"/>
    <x v="111"/>
    <x v="1"/>
    <x v="8"/>
    <x v="36"/>
  </r>
  <r>
    <x v="5"/>
    <x v="42"/>
    <x v="1226"/>
    <x v="163"/>
    <x v="158"/>
    <x v="1"/>
    <x v="3"/>
    <x v="9"/>
  </r>
  <r>
    <x v="3"/>
    <x v="42"/>
    <x v="1227"/>
    <x v="1"/>
    <x v="1"/>
    <x v="1"/>
    <x v="23"/>
    <x v="9"/>
  </r>
  <r>
    <x v="3"/>
    <x v="42"/>
    <x v="1228"/>
    <x v="1"/>
    <x v="1"/>
    <x v="1"/>
    <x v="23"/>
    <x v="9"/>
  </r>
  <r>
    <x v="3"/>
    <x v="42"/>
    <x v="1229"/>
    <x v="1"/>
    <x v="1"/>
    <x v="1"/>
    <x v="3"/>
    <x v="9"/>
  </r>
  <r>
    <x v="3"/>
    <x v="42"/>
    <x v="1230"/>
    <x v="73"/>
    <x v="73"/>
    <x v="1"/>
    <x v="3"/>
    <x v="2"/>
  </r>
  <r>
    <x v="2"/>
    <x v="43"/>
    <x v="1231"/>
    <x v="142"/>
    <x v="138"/>
    <x v="4"/>
    <x v="4"/>
    <x v="7"/>
  </r>
  <r>
    <x v="2"/>
    <x v="43"/>
    <x v="1129"/>
    <x v="194"/>
    <x v="189"/>
    <x v="3"/>
    <x v="4"/>
    <x v="17"/>
  </r>
  <r>
    <x v="2"/>
    <x v="43"/>
    <x v="1232"/>
    <x v="205"/>
    <x v="200"/>
    <x v="0"/>
    <x v="4"/>
    <x v="7"/>
  </r>
  <r>
    <x v="2"/>
    <x v="43"/>
    <x v="1233"/>
    <x v="87"/>
    <x v="87"/>
    <x v="1"/>
    <x v="22"/>
    <x v="7"/>
  </r>
  <r>
    <x v="1"/>
    <x v="43"/>
    <x v="1234"/>
    <x v="205"/>
    <x v="200"/>
    <x v="0"/>
    <x v="4"/>
    <x v="7"/>
  </r>
  <r>
    <x v="1"/>
    <x v="43"/>
    <x v="1235"/>
    <x v="40"/>
    <x v="40"/>
    <x v="6"/>
    <x v="22"/>
    <x v="7"/>
  </r>
  <r>
    <x v="4"/>
    <x v="43"/>
    <x v="1236"/>
    <x v="87"/>
    <x v="87"/>
    <x v="1"/>
    <x v="23"/>
    <x v="7"/>
  </r>
  <r>
    <x v="4"/>
    <x v="43"/>
    <x v="1237"/>
    <x v="8"/>
    <x v="8"/>
    <x v="8"/>
    <x v="23"/>
    <x v="7"/>
  </r>
  <r>
    <x v="4"/>
    <x v="43"/>
    <x v="1238"/>
    <x v="60"/>
    <x v="60"/>
    <x v="6"/>
    <x v="1"/>
    <x v="7"/>
  </r>
  <r>
    <x v="4"/>
    <x v="43"/>
    <x v="1239"/>
    <x v="22"/>
    <x v="22"/>
    <x v="5"/>
    <x v="23"/>
    <x v="7"/>
  </r>
  <r>
    <x v="4"/>
    <x v="43"/>
    <x v="1240"/>
    <x v="206"/>
    <x v="201"/>
    <x v="3"/>
    <x v="5"/>
    <x v="2"/>
  </r>
  <r>
    <x v="0"/>
    <x v="43"/>
    <x v="1241"/>
    <x v="7"/>
    <x v="7"/>
    <x v="8"/>
    <x v="10"/>
    <x v="2"/>
  </r>
  <r>
    <x v="0"/>
    <x v="43"/>
    <x v="1242"/>
    <x v="24"/>
    <x v="24"/>
    <x v="8"/>
    <x v="10"/>
    <x v="2"/>
  </r>
  <r>
    <x v="0"/>
    <x v="43"/>
    <x v="1243"/>
    <x v="87"/>
    <x v="87"/>
    <x v="1"/>
    <x v="23"/>
    <x v="7"/>
  </r>
  <r>
    <x v="0"/>
    <x v="43"/>
    <x v="1244"/>
    <x v="39"/>
    <x v="39"/>
    <x v="10"/>
    <x v="10"/>
    <x v="2"/>
  </r>
  <r>
    <x v="5"/>
    <x v="43"/>
    <x v="1245"/>
    <x v="1"/>
    <x v="1"/>
    <x v="1"/>
    <x v="23"/>
    <x v="7"/>
  </r>
  <r>
    <x v="1"/>
    <x v="43"/>
    <x v="1246"/>
    <x v="87"/>
    <x v="87"/>
    <x v="1"/>
    <x v="23"/>
    <x v="7"/>
  </r>
  <r>
    <x v="0"/>
    <x v="43"/>
    <x v="1247"/>
    <x v="73"/>
    <x v="73"/>
    <x v="1"/>
    <x v="4"/>
    <x v="10"/>
  </r>
  <r>
    <x v="0"/>
    <x v="43"/>
    <x v="1248"/>
    <x v="73"/>
    <x v="73"/>
    <x v="1"/>
    <x v="4"/>
    <x v="10"/>
  </r>
  <r>
    <x v="5"/>
    <x v="43"/>
    <x v="1249"/>
    <x v="42"/>
    <x v="42"/>
    <x v="13"/>
    <x v="22"/>
    <x v="7"/>
  </r>
  <r>
    <x v="1"/>
    <x v="43"/>
    <x v="1250"/>
    <x v="8"/>
    <x v="8"/>
    <x v="1"/>
    <x v="3"/>
    <x v="2"/>
  </r>
  <r>
    <x v="1"/>
    <x v="43"/>
    <x v="1251"/>
    <x v="1"/>
    <x v="1"/>
    <x v="1"/>
    <x v="23"/>
    <x v="7"/>
  </r>
  <r>
    <x v="1"/>
    <x v="43"/>
    <x v="1252"/>
    <x v="207"/>
    <x v="202"/>
    <x v="3"/>
    <x v="0"/>
    <x v="7"/>
  </r>
  <r>
    <x v="5"/>
    <x v="43"/>
    <x v="1204"/>
    <x v="207"/>
    <x v="202"/>
    <x v="3"/>
    <x v="0"/>
    <x v="31"/>
  </r>
  <r>
    <x v="4"/>
    <x v="43"/>
    <x v="1253"/>
    <x v="205"/>
    <x v="200"/>
    <x v="0"/>
    <x v="5"/>
    <x v="2"/>
  </r>
  <r>
    <x v="5"/>
    <x v="43"/>
    <x v="1254"/>
    <x v="87"/>
    <x v="87"/>
    <x v="1"/>
    <x v="22"/>
    <x v="7"/>
  </r>
  <r>
    <x v="5"/>
    <x v="43"/>
    <x v="1255"/>
    <x v="48"/>
    <x v="49"/>
    <x v="4"/>
    <x v="22"/>
    <x v="49"/>
  </r>
  <r>
    <x v="5"/>
    <x v="43"/>
    <x v="1256"/>
    <x v="208"/>
    <x v="203"/>
    <x v="3"/>
    <x v="8"/>
    <x v="7"/>
  </r>
  <r>
    <x v="5"/>
    <x v="43"/>
    <x v="1249"/>
    <x v="42"/>
    <x v="42"/>
    <x v="1"/>
    <x v="23"/>
    <x v="7"/>
  </r>
  <r>
    <x v="5"/>
    <x v="43"/>
    <x v="1257"/>
    <x v="40"/>
    <x v="40"/>
    <x v="6"/>
    <x v="5"/>
    <x v="14"/>
  </r>
  <r>
    <x v="5"/>
    <x v="43"/>
    <x v="1258"/>
    <x v="40"/>
    <x v="40"/>
    <x v="6"/>
    <x v="5"/>
    <x v="14"/>
  </r>
  <r>
    <x v="5"/>
    <x v="43"/>
    <x v="1259"/>
    <x v="40"/>
    <x v="40"/>
    <x v="6"/>
    <x v="5"/>
    <x v="14"/>
  </r>
  <r>
    <x v="5"/>
    <x v="43"/>
    <x v="1260"/>
    <x v="40"/>
    <x v="40"/>
    <x v="6"/>
    <x v="5"/>
    <x v="14"/>
  </r>
  <r>
    <x v="5"/>
    <x v="43"/>
    <x v="1261"/>
    <x v="40"/>
    <x v="40"/>
    <x v="6"/>
    <x v="5"/>
    <x v="14"/>
  </r>
  <r>
    <x v="0"/>
    <x v="43"/>
    <x v="1218"/>
    <x v="9"/>
    <x v="9"/>
    <x v="1"/>
    <x v="4"/>
    <x v="12"/>
  </r>
  <r>
    <x v="0"/>
    <x v="43"/>
    <x v="1216"/>
    <x v="9"/>
    <x v="9"/>
    <x v="1"/>
    <x v="4"/>
    <x v="12"/>
  </r>
  <r>
    <x v="0"/>
    <x v="43"/>
    <x v="1217"/>
    <x v="9"/>
    <x v="9"/>
    <x v="1"/>
    <x v="4"/>
    <x v="12"/>
  </r>
  <r>
    <x v="1"/>
    <x v="43"/>
    <x v="1262"/>
    <x v="73"/>
    <x v="73"/>
    <x v="0"/>
    <x v="4"/>
    <x v="10"/>
  </r>
  <r>
    <x v="1"/>
    <x v="43"/>
    <x v="1263"/>
    <x v="73"/>
    <x v="73"/>
    <x v="0"/>
    <x v="4"/>
    <x v="10"/>
  </r>
  <r>
    <x v="1"/>
    <x v="43"/>
    <x v="1264"/>
    <x v="88"/>
    <x v="88"/>
    <x v="1"/>
    <x v="5"/>
    <x v="2"/>
  </r>
  <r>
    <x v="1"/>
    <x v="43"/>
    <x v="1265"/>
    <x v="88"/>
    <x v="88"/>
    <x v="1"/>
    <x v="5"/>
    <x v="14"/>
  </r>
  <r>
    <x v="1"/>
    <x v="43"/>
    <x v="1266"/>
    <x v="88"/>
    <x v="88"/>
    <x v="1"/>
    <x v="5"/>
    <x v="2"/>
  </r>
  <r>
    <x v="1"/>
    <x v="43"/>
    <x v="1267"/>
    <x v="1"/>
    <x v="1"/>
    <x v="1"/>
    <x v="22"/>
    <x v="2"/>
  </r>
  <r>
    <x v="1"/>
    <x v="43"/>
    <x v="1268"/>
    <x v="208"/>
    <x v="203"/>
    <x v="3"/>
    <x v="8"/>
    <x v="7"/>
  </r>
  <r>
    <x v="3"/>
    <x v="43"/>
    <x v="1269"/>
    <x v="208"/>
    <x v="203"/>
    <x v="3"/>
    <x v="8"/>
    <x v="7"/>
  </r>
  <r>
    <x v="3"/>
    <x v="43"/>
    <x v="1270"/>
    <x v="78"/>
    <x v="78"/>
    <x v="0"/>
    <x v="23"/>
    <x v="7"/>
  </r>
  <r>
    <x v="2"/>
    <x v="43"/>
    <x v="1271"/>
    <x v="1"/>
    <x v="1"/>
    <x v="1"/>
    <x v="22"/>
    <x v="7"/>
  </r>
  <r>
    <x v="2"/>
    <x v="43"/>
    <x v="1272"/>
    <x v="1"/>
    <x v="1"/>
    <x v="1"/>
    <x v="22"/>
    <x v="7"/>
  </r>
  <r>
    <x v="1"/>
    <x v="44"/>
    <x v="1262"/>
    <x v="73"/>
    <x v="73"/>
    <x v="0"/>
    <x v="4"/>
    <x v="10"/>
  </r>
  <r>
    <x v="1"/>
    <x v="44"/>
    <x v="1263"/>
    <x v="73"/>
    <x v="73"/>
    <x v="0"/>
    <x v="4"/>
    <x v="10"/>
  </r>
  <r>
    <x v="1"/>
    <x v="44"/>
    <x v="1273"/>
    <x v="87"/>
    <x v="87"/>
    <x v="0"/>
    <x v="4"/>
    <x v="10"/>
  </r>
  <r>
    <x v="1"/>
    <x v="44"/>
    <x v="1274"/>
    <x v="87"/>
    <x v="87"/>
    <x v="1"/>
    <x v="4"/>
    <x v="10"/>
  </r>
  <r>
    <x v="2"/>
    <x v="44"/>
    <x v="1275"/>
    <x v="209"/>
    <x v="204"/>
    <x v="6"/>
    <x v="1"/>
    <x v="7"/>
  </r>
  <r>
    <x v="5"/>
    <x v="44"/>
    <x v="1169"/>
    <x v="178"/>
    <x v="173"/>
    <x v="3"/>
    <x v="30"/>
    <x v="44"/>
  </r>
  <r>
    <x v="5"/>
    <x v="44"/>
    <x v="1276"/>
    <x v="210"/>
    <x v="205"/>
    <x v="6"/>
    <x v="23"/>
    <x v="5"/>
  </r>
  <r>
    <x v="0"/>
    <x v="44"/>
    <x v="1277"/>
    <x v="88"/>
    <x v="88"/>
    <x v="13"/>
    <x v="23"/>
    <x v="7"/>
  </r>
  <r>
    <x v="1"/>
    <x v="44"/>
    <x v="1278"/>
    <x v="211"/>
    <x v="206"/>
    <x v="3"/>
    <x v="0"/>
    <x v="2"/>
  </r>
  <r>
    <x v="5"/>
    <x v="44"/>
    <x v="1279"/>
    <x v="25"/>
    <x v="25"/>
    <x v="6"/>
    <x v="5"/>
    <x v="13"/>
  </r>
  <r>
    <x v="4"/>
    <x v="44"/>
    <x v="1280"/>
    <x v="212"/>
    <x v="207"/>
    <x v="1"/>
    <x v="8"/>
    <x v="7"/>
  </r>
  <r>
    <x v="4"/>
    <x v="44"/>
    <x v="1281"/>
    <x v="90"/>
    <x v="90"/>
    <x v="6"/>
    <x v="8"/>
    <x v="7"/>
  </r>
  <r>
    <x v="4"/>
    <x v="44"/>
    <x v="1253"/>
    <x v="205"/>
    <x v="200"/>
    <x v="5"/>
    <x v="28"/>
    <x v="7"/>
  </r>
  <r>
    <x v="1"/>
    <x v="44"/>
    <x v="1282"/>
    <x v="90"/>
    <x v="90"/>
    <x v="3"/>
    <x v="23"/>
    <x v="2"/>
  </r>
  <r>
    <x v="3"/>
    <x v="44"/>
    <x v="1283"/>
    <x v="98"/>
    <x v="97"/>
    <x v="0"/>
    <x v="1"/>
    <x v="50"/>
  </r>
  <r>
    <x v="3"/>
    <x v="44"/>
    <x v="1284"/>
    <x v="36"/>
    <x v="36"/>
    <x v="6"/>
    <x v="1"/>
    <x v="5"/>
  </r>
  <r>
    <x v="0"/>
    <x v="44"/>
    <x v="1285"/>
    <x v="74"/>
    <x v="74"/>
    <x v="0"/>
    <x v="11"/>
    <x v="2"/>
  </r>
  <r>
    <x v="0"/>
    <x v="44"/>
    <x v="1286"/>
    <x v="74"/>
    <x v="74"/>
    <x v="0"/>
    <x v="11"/>
    <x v="2"/>
  </r>
  <r>
    <x v="0"/>
    <x v="44"/>
    <x v="1287"/>
    <x v="74"/>
    <x v="74"/>
    <x v="0"/>
    <x v="11"/>
    <x v="2"/>
  </r>
  <r>
    <x v="0"/>
    <x v="44"/>
    <x v="1288"/>
    <x v="98"/>
    <x v="97"/>
    <x v="0"/>
    <x v="11"/>
    <x v="2"/>
  </r>
  <r>
    <x v="0"/>
    <x v="44"/>
    <x v="1289"/>
    <x v="98"/>
    <x v="97"/>
    <x v="0"/>
    <x v="11"/>
    <x v="2"/>
  </r>
  <r>
    <x v="5"/>
    <x v="44"/>
    <x v="1290"/>
    <x v="90"/>
    <x v="90"/>
    <x v="3"/>
    <x v="13"/>
    <x v="31"/>
  </r>
  <r>
    <x v="3"/>
    <x v="44"/>
    <x v="1291"/>
    <x v="90"/>
    <x v="90"/>
    <x v="3"/>
    <x v="11"/>
    <x v="2"/>
  </r>
  <r>
    <x v="3"/>
    <x v="44"/>
    <x v="1292"/>
    <x v="90"/>
    <x v="90"/>
    <x v="3"/>
    <x v="11"/>
    <x v="2"/>
  </r>
  <r>
    <x v="3"/>
    <x v="44"/>
    <x v="1293"/>
    <x v="90"/>
    <x v="90"/>
    <x v="3"/>
    <x v="11"/>
    <x v="2"/>
  </r>
  <r>
    <x v="3"/>
    <x v="44"/>
    <x v="1294"/>
    <x v="90"/>
    <x v="90"/>
    <x v="3"/>
    <x v="11"/>
    <x v="2"/>
  </r>
  <r>
    <x v="3"/>
    <x v="44"/>
    <x v="1295"/>
    <x v="90"/>
    <x v="90"/>
    <x v="3"/>
    <x v="11"/>
    <x v="2"/>
  </r>
  <r>
    <x v="3"/>
    <x v="44"/>
    <x v="1296"/>
    <x v="90"/>
    <x v="90"/>
    <x v="3"/>
    <x v="11"/>
    <x v="2"/>
  </r>
  <r>
    <x v="3"/>
    <x v="44"/>
    <x v="1297"/>
    <x v="90"/>
    <x v="90"/>
    <x v="3"/>
    <x v="11"/>
    <x v="2"/>
  </r>
  <r>
    <x v="1"/>
    <x v="45"/>
    <x v="1298"/>
    <x v="42"/>
    <x v="42"/>
    <x v="5"/>
    <x v="23"/>
    <x v="7"/>
  </r>
  <r>
    <x v="3"/>
    <x v="45"/>
    <x v="1299"/>
    <x v="96"/>
    <x v="95"/>
    <x v="6"/>
    <x v="2"/>
    <x v="51"/>
  </r>
  <r>
    <x v="3"/>
    <x v="45"/>
    <x v="1300"/>
    <x v="8"/>
    <x v="8"/>
    <x v="13"/>
    <x v="23"/>
    <x v="7"/>
  </r>
  <r>
    <x v="4"/>
    <x v="45"/>
    <x v="1301"/>
    <x v="10"/>
    <x v="10"/>
    <x v="13"/>
    <x v="22"/>
    <x v="25"/>
  </r>
  <r>
    <x v="5"/>
    <x v="45"/>
    <x v="1302"/>
    <x v="5"/>
    <x v="44"/>
    <x v="6"/>
    <x v="13"/>
    <x v="7"/>
  </r>
  <r>
    <x v="2"/>
    <x v="45"/>
    <x v="1303"/>
    <x v="70"/>
    <x v="70"/>
    <x v="0"/>
    <x v="13"/>
    <x v="2"/>
  </r>
  <r>
    <x v="4"/>
    <x v="45"/>
    <x v="1304"/>
    <x v="13"/>
    <x v="13"/>
    <x v="13"/>
    <x v="18"/>
    <x v="2"/>
  </r>
  <r>
    <x v="5"/>
    <x v="45"/>
    <x v="1305"/>
    <x v="213"/>
    <x v="208"/>
    <x v="10"/>
    <x v="10"/>
    <x v="2"/>
  </r>
  <r>
    <x v="4"/>
    <x v="45"/>
    <x v="1306"/>
    <x v="158"/>
    <x v="153"/>
    <x v="0"/>
    <x v="11"/>
    <x v="2"/>
  </r>
  <r>
    <x v="1"/>
    <x v="45"/>
    <x v="1307"/>
    <x v="197"/>
    <x v="192"/>
    <x v="0"/>
    <x v="5"/>
    <x v="2"/>
  </r>
  <r>
    <x v="0"/>
    <x v="46"/>
    <x v="1308"/>
    <x v="24"/>
    <x v="24"/>
    <x v="8"/>
    <x v="10"/>
    <x v="2"/>
  </r>
  <r>
    <x v="2"/>
    <x v="46"/>
    <x v="1309"/>
    <x v="2"/>
    <x v="2"/>
    <x v="3"/>
    <x v="2"/>
    <x v="1"/>
  </r>
  <r>
    <x v="1"/>
    <x v="46"/>
    <x v="1310"/>
    <x v="2"/>
    <x v="2"/>
    <x v="3"/>
    <x v="2"/>
    <x v="1"/>
  </r>
  <r>
    <x v="5"/>
    <x v="46"/>
    <x v="1311"/>
    <x v="2"/>
    <x v="2"/>
    <x v="3"/>
    <x v="2"/>
    <x v="1"/>
  </r>
  <r>
    <x v="5"/>
    <x v="46"/>
    <x v="1312"/>
    <x v="2"/>
    <x v="2"/>
    <x v="3"/>
    <x v="3"/>
    <x v="2"/>
  </r>
  <r>
    <x v="5"/>
    <x v="46"/>
    <x v="1313"/>
    <x v="151"/>
    <x v="147"/>
    <x v="13"/>
    <x v="8"/>
    <x v="23"/>
  </r>
  <r>
    <x v="5"/>
    <x v="46"/>
    <x v="1314"/>
    <x v="151"/>
    <x v="147"/>
    <x v="13"/>
    <x v="8"/>
    <x v="23"/>
  </r>
  <r>
    <x v="2"/>
    <x v="46"/>
    <x v="1315"/>
    <x v="74"/>
    <x v="74"/>
    <x v="8"/>
    <x v="4"/>
    <x v="2"/>
  </r>
  <r>
    <x v="3"/>
    <x v="46"/>
    <x v="1316"/>
    <x v="90"/>
    <x v="90"/>
    <x v="3"/>
    <x v="8"/>
    <x v="23"/>
  </r>
  <r>
    <x v="1"/>
    <x v="46"/>
    <x v="1307"/>
    <x v="197"/>
    <x v="192"/>
    <x v="0"/>
    <x v="4"/>
    <x v="2"/>
  </r>
  <r>
    <x v="5"/>
    <x v="46"/>
    <x v="1317"/>
    <x v="56"/>
    <x v="56"/>
    <x v="6"/>
    <x v="22"/>
    <x v="23"/>
  </r>
  <r>
    <x v="4"/>
    <x v="46"/>
    <x v="1318"/>
    <x v="10"/>
    <x v="10"/>
    <x v="13"/>
    <x v="11"/>
    <x v="2"/>
  </r>
  <r>
    <x v="4"/>
    <x v="46"/>
    <x v="1319"/>
    <x v="10"/>
    <x v="10"/>
    <x v="13"/>
    <x v="11"/>
    <x v="2"/>
  </r>
  <r>
    <x v="4"/>
    <x v="46"/>
    <x v="1320"/>
    <x v="214"/>
    <x v="209"/>
    <x v="10"/>
    <x v="10"/>
    <x v="2"/>
  </r>
  <r>
    <x v="4"/>
    <x v="46"/>
    <x v="1321"/>
    <x v="1"/>
    <x v="1"/>
    <x v="1"/>
    <x v="22"/>
    <x v="23"/>
  </r>
  <r>
    <x v="2"/>
    <x v="47"/>
    <x v="1322"/>
    <x v="98"/>
    <x v="97"/>
    <x v="0"/>
    <x v="4"/>
    <x v="7"/>
  </r>
  <r>
    <x v="2"/>
    <x v="47"/>
    <x v="1323"/>
    <x v="98"/>
    <x v="97"/>
    <x v="0"/>
    <x v="4"/>
    <x v="7"/>
  </r>
  <r>
    <x v="2"/>
    <x v="47"/>
    <x v="1324"/>
    <x v="98"/>
    <x v="97"/>
    <x v="0"/>
    <x v="4"/>
    <x v="7"/>
  </r>
  <r>
    <x v="2"/>
    <x v="47"/>
    <x v="1325"/>
    <x v="98"/>
    <x v="97"/>
    <x v="0"/>
    <x v="4"/>
    <x v="7"/>
  </r>
  <r>
    <x v="2"/>
    <x v="47"/>
    <x v="1326"/>
    <x v="6"/>
    <x v="6"/>
    <x v="13"/>
    <x v="22"/>
    <x v="7"/>
  </r>
  <r>
    <x v="0"/>
    <x v="47"/>
    <x v="1327"/>
    <x v="98"/>
    <x v="97"/>
    <x v="0"/>
    <x v="23"/>
    <x v="7"/>
  </r>
  <r>
    <x v="0"/>
    <x v="47"/>
    <x v="1328"/>
    <x v="39"/>
    <x v="39"/>
    <x v="10"/>
    <x v="10"/>
    <x v="2"/>
  </r>
  <r>
    <x v="5"/>
    <x v="47"/>
    <x v="1329"/>
    <x v="171"/>
    <x v="166"/>
    <x v="10"/>
    <x v="10"/>
    <x v="2"/>
  </r>
  <r>
    <x v="5"/>
    <x v="47"/>
    <x v="1313"/>
    <x v="151"/>
    <x v="147"/>
    <x v="13"/>
    <x v="22"/>
    <x v="14"/>
  </r>
  <r>
    <x v="1"/>
    <x v="47"/>
    <x v="1330"/>
    <x v="89"/>
    <x v="89"/>
    <x v="0"/>
    <x v="12"/>
    <x v="2"/>
  </r>
  <r>
    <x v="1"/>
    <x v="47"/>
    <x v="1331"/>
    <x v="59"/>
    <x v="59"/>
    <x v="8"/>
    <x v="4"/>
    <x v="7"/>
  </r>
  <r>
    <x v="5"/>
    <x v="47"/>
    <x v="1332"/>
    <x v="14"/>
    <x v="14"/>
    <x v="1"/>
    <x v="23"/>
    <x v="9"/>
  </r>
  <r>
    <x v="5"/>
    <x v="47"/>
    <x v="1333"/>
    <x v="14"/>
    <x v="14"/>
    <x v="1"/>
    <x v="23"/>
    <x v="9"/>
  </r>
  <r>
    <x v="4"/>
    <x v="47"/>
    <x v="1334"/>
    <x v="14"/>
    <x v="14"/>
    <x v="1"/>
    <x v="3"/>
    <x v="14"/>
  </r>
  <r>
    <x v="4"/>
    <x v="47"/>
    <x v="1335"/>
    <x v="8"/>
    <x v="8"/>
    <x v="1"/>
    <x v="8"/>
    <x v="9"/>
  </r>
  <r>
    <x v="2"/>
    <x v="48"/>
    <x v="1336"/>
    <x v="215"/>
    <x v="210"/>
    <x v="3"/>
    <x v="4"/>
    <x v="10"/>
  </r>
  <r>
    <x v="2"/>
    <x v="48"/>
    <x v="1324"/>
    <x v="98"/>
    <x v="97"/>
    <x v="0"/>
    <x v="8"/>
    <x v="7"/>
  </r>
  <r>
    <x v="2"/>
    <x v="48"/>
    <x v="1337"/>
    <x v="1"/>
    <x v="1"/>
    <x v="1"/>
    <x v="8"/>
    <x v="2"/>
  </r>
  <r>
    <x v="4"/>
    <x v="48"/>
    <x v="1338"/>
    <x v="6"/>
    <x v="6"/>
    <x v="6"/>
    <x v="8"/>
    <x v="7"/>
  </r>
  <r>
    <x v="3"/>
    <x v="48"/>
    <x v="1339"/>
    <x v="24"/>
    <x v="24"/>
    <x v="12"/>
    <x v="10"/>
    <x v="14"/>
  </r>
  <r>
    <x v="0"/>
    <x v="48"/>
    <x v="1340"/>
    <x v="133"/>
    <x v="129"/>
    <x v="13"/>
    <x v="1"/>
    <x v="7"/>
  </r>
  <r>
    <x v="5"/>
    <x v="48"/>
    <x v="1341"/>
    <x v="176"/>
    <x v="171"/>
    <x v="3"/>
    <x v="23"/>
    <x v="7"/>
  </r>
  <r>
    <x v="5"/>
    <x v="48"/>
    <x v="1342"/>
    <x v="1"/>
    <x v="1"/>
    <x v="1"/>
    <x v="3"/>
    <x v="14"/>
  </r>
  <r>
    <x v="1"/>
    <x v="48"/>
    <x v="1343"/>
    <x v="1"/>
    <x v="1"/>
    <x v="1"/>
    <x v="3"/>
    <x v="2"/>
  </r>
  <r>
    <x v="1"/>
    <x v="48"/>
    <x v="1344"/>
    <x v="1"/>
    <x v="1"/>
    <x v="1"/>
    <x v="3"/>
    <x v="2"/>
  </r>
  <r>
    <x v="1"/>
    <x v="48"/>
    <x v="1345"/>
    <x v="1"/>
    <x v="1"/>
    <x v="1"/>
    <x v="3"/>
    <x v="2"/>
  </r>
  <r>
    <x v="1"/>
    <x v="48"/>
    <x v="1346"/>
    <x v="1"/>
    <x v="1"/>
    <x v="1"/>
    <x v="3"/>
    <x v="2"/>
  </r>
  <r>
    <x v="1"/>
    <x v="48"/>
    <x v="1347"/>
    <x v="1"/>
    <x v="1"/>
    <x v="1"/>
    <x v="3"/>
    <x v="2"/>
  </r>
  <r>
    <x v="2"/>
    <x v="48"/>
    <x v="1348"/>
    <x v="1"/>
    <x v="1"/>
    <x v="1"/>
    <x v="3"/>
    <x v="2"/>
  </r>
  <r>
    <x v="2"/>
    <x v="48"/>
    <x v="1349"/>
    <x v="1"/>
    <x v="1"/>
    <x v="1"/>
    <x v="3"/>
    <x v="2"/>
  </r>
  <r>
    <x v="5"/>
    <x v="48"/>
    <x v="1350"/>
    <x v="162"/>
    <x v="157"/>
    <x v="6"/>
    <x v="13"/>
    <x v="5"/>
  </r>
  <r>
    <x v="0"/>
    <x v="48"/>
    <x v="1351"/>
    <x v="1"/>
    <x v="1"/>
    <x v="1"/>
    <x v="3"/>
    <x v="14"/>
  </r>
  <r>
    <x v="0"/>
    <x v="48"/>
    <x v="1352"/>
    <x v="1"/>
    <x v="1"/>
    <x v="1"/>
    <x v="3"/>
    <x v="14"/>
  </r>
  <r>
    <x v="5"/>
    <x v="49"/>
    <x v="1353"/>
    <x v="35"/>
    <x v="35"/>
    <x v="0"/>
    <x v="22"/>
    <x v="17"/>
  </r>
  <r>
    <x v="5"/>
    <x v="50"/>
    <x v="1354"/>
    <x v="43"/>
    <x v="43"/>
    <x v="3"/>
    <x v="1"/>
    <x v="17"/>
  </r>
  <r>
    <x v="0"/>
    <x v="50"/>
    <x v="1355"/>
    <x v="39"/>
    <x v="39"/>
    <x v="10"/>
    <x v="10"/>
    <x v="2"/>
  </r>
  <r>
    <x v="4"/>
    <x v="50"/>
    <x v="1356"/>
    <x v="63"/>
    <x v="63"/>
    <x v="6"/>
    <x v="28"/>
    <x v="7"/>
  </r>
  <r>
    <x v="3"/>
    <x v="50"/>
    <x v="1357"/>
    <x v="210"/>
    <x v="205"/>
    <x v="6"/>
    <x v="10"/>
    <x v="5"/>
  </r>
  <r>
    <x v="3"/>
    <x v="50"/>
    <x v="1358"/>
    <x v="210"/>
    <x v="205"/>
    <x v="6"/>
    <x v="10"/>
    <x v="5"/>
  </r>
  <r>
    <x v="4"/>
    <x v="50"/>
    <x v="1359"/>
    <x v="203"/>
    <x v="198"/>
    <x v="10"/>
    <x v="15"/>
    <x v="2"/>
  </r>
  <r>
    <x v="3"/>
    <x v="50"/>
    <x v="1360"/>
    <x v="181"/>
    <x v="176"/>
    <x v="10"/>
    <x v="10"/>
    <x v="2"/>
  </r>
  <r>
    <x v="2"/>
    <x v="50"/>
    <x v="1361"/>
    <x v="43"/>
    <x v="43"/>
    <x v="14"/>
    <x v="19"/>
    <x v="2"/>
  </r>
  <r>
    <x v="2"/>
    <x v="50"/>
    <x v="1362"/>
    <x v="216"/>
    <x v="211"/>
    <x v="0"/>
    <x v="13"/>
    <x v="14"/>
  </r>
  <r>
    <x v="4"/>
    <x v="50"/>
    <x v="1363"/>
    <x v="217"/>
    <x v="212"/>
    <x v="7"/>
    <x v="6"/>
    <x v="2"/>
  </r>
  <r>
    <x v="2"/>
    <x v="51"/>
    <x v="1364"/>
    <x v="126"/>
    <x v="123"/>
    <x v="13"/>
    <x v="14"/>
    <x v="2"/>
  </r>
  <r>
    <x v="2"/>
    <x v="51"/>
    <x v="1365"/>
    <x v="8"/>
    <x v="8"/>
    <x v="13"/>
    <x v="30"/>
    <x v="44"/>
  </r>
  <r>
    <x v="1"/>
    <x v="51"/>
    <x v="1366"/>
    <x v="8"/>
    <x v="8"/>
    <x v="13"/>
    <x v="30"/>
    <x v="44"/>
  </r>
  <r>
    <x v="2"/>
    <x v="51"/>
    <x v="1367"/>
    <x v="2"/>
    <x v="2"/>
    <x v="0"/>
    <x v="4"/>
    <x v="10"/>
  </r>
  <r>
    <x v="5"/>
    <x v="51"/>
    <x v="1368"/>
    <x v="8"/>
    <x v="8"/>
    <x v="15"/>
    <x v="30"/>
    <x v="44"/>
  </r>
  <r>
    <x v="2"/>
    <x v="51"/>
    <x v="1369"/>
    <x v="100"/>
    <x v="98"/>
    <x v="16"/>
    <x v="1"/>
    <x v="7"/>
  </r>
  <r>
    <x v="2"/>
    <x v="51"/>
    <x v="1370"/>
    <x v="211"/>
    <x v="162"/>
    <x v="17"/>
    <x v="1"/>
    <x v="52"/>
  </r>
  <r>
    <x v="4"/>
    <x v="51"/>
    <x v="1371"/>
    <x v="57"/>
    <x v="57"/>
    <x v="17"/>
    <x v="23"/>
    <x v="7"/>
  </r>
  <r>
    <x v="4"/>
    <x v="51"/>
    <x v="1372"/>
    <x v="8"/>
    <x v="8"/>
    <x v="15"/>
    <x v="5"/>
    <x v="44"/>
  </r>
  <r>
    <x v="4"/>
    <x v="51"/>
    <x v="1373"/>
    <x v="8"/>
    <x v="8"/>
    <x v="15"/>
    <x v="5"/>
    <x v="44"/>
  </r>
  <r>
    <x v="4"/>
    <x v="51"/>
    <x v="1374"/>
    <x v="8"/>
    <x v="8"/>
    <x v="15"/>
    <x v="5"/>
    <x v="44"/>
  </r>
  <r>
    <x v="4"/>
    <x v="51"/>
    <x v="1375"/>
    <x v="8"/>
    <x v="8"/>
    <x v="15"/>
    <x v="5"/>
    <x v="44"/>
  </r>
  <r>
    <x v="4"/>
    <x v="51"/>
    <x v="1376"/>
    <x v="8"/>
    <x v="8"/>
    <x v="15"/>
    <x v="5"/>
    <x v="44"/>
  </r>
  <r>
    <x v="4"/>
    <x v="51"/>
    <x v="1377"/>
    <x v="57"/>
    <x v="57"/>
    <x v="4"/>
    <x v="23"/>
    <x v="32"/>
  </r>
  <r>
    <x v="5"/>
    <x v="51"/>
    <x v="1378"/>
    <x v="218"/>
    <x v="213"/>
    <x v="16"/>
    <x v="22"/>
    <x v="7"/>
  </r>
  <r>
    <x v="4"/>
    <x v="51"/>
    <x v="1379"/>
    <x v="90"/>
    <x v="90"/>
    <x v="16"/>
    <x v="23"/>
    <x v="7"/>
  </r>
  <r>
    <x v="5"/>
    <x v="51"/>
    <x v="1380"/>
    <x v="218"/>
    <x v="213"/>
    <x v="16"/>
    <x v="23"/>
    <x v="2"/>
  </r>
  <r>
    <x v="5"/>
    <x v="51"/>
    <x v="1381"/>
    <x v="84"/>
    <x v="84"/>
    <x v="17"/>
    <x v="1"/>
    <x v="0"/>
  </r>
  <r>
    <x v="5"/>
    <x v="51"/>
    <x v="1382"/>
    <x v="84"/>
    <x v="84"/>
    <x v="17"/>
    <x v="1"/>
    <x v="0"/>
  </r>
  <r>
    <x v="2"/>
    <x v="51"/>
    <x v="1383"/>
    <x v="211"/>
    <x v="162"/>
    <x v="17"/>
    <x v="19"/>
    <x v="2"/>
  </r>
  <r>
    <x v="5"/>
    <x v="51"/>
    <x v="1384"/>
    <x v="126"/>
    <x v="123"/>
    <x v="13"/>
    <x v="3"/>
    <x v="53"/>
  </r>
  <r>
    <x v="3"/>
    <x v="51"/>
    <x v="1385"/>
    <x v="100"/>
    <x v="98"/>
    <x v="4"/>
    <x v="1"/>
    <x v="7"/>
  </r>
  <r>
    <x v="3"/>
    <x v="51"/>
    <x v="1386"/>
    <x v="219"/>
    <x v="214"/>
    <x v="17"/>
    <x v="5"/>
    <x v="2"/>
  </r>
  <r>
    <x v="1"/>
    <x v="51"/>
    <x v="1387"/>
    <x v="121"/>
    <x v="118"/>
    <x v="13"/>
    <x v="15"/>
    <x v="7"/>
  </r>
  <r>
    <x v="4"/>
    <x v="51"/>
    <x v="1388"/>
    <x v="218"/>
    <x v="213"/>
    <x v="16"/>
    <x v="5"/>
    <x v="2"/>
  </r>
  <r>
    <x v="3"/>
    <x v="51"/>
    <x v="1389"/>
    <x v="108"/>
    <x v="162"/>
    <x v="10"/>
    <x v="10"/>
    <x v="2"/>
  </r>
  <r>
    <x v="0"/>
    <x v="51"/>
    <x v="1390"/>
    <x v="218"/>
    <x v="213"/>
    <x v="16"/>
    <x v="11"/>
    <x v="2"/>
  </r>
  <r>
    <x v="0"/>
    <x v="51"/>
    <x v="1391"/>
    <x v="218"/>
    <x v="213"/>
    <x v="16"/>
    <x v="11"/>
    <x v="2"/>
  </r>
  <r>
    <x v="0"/>
    <x v="51"/>
    <x v="1392"/>
    <x v="179"/>
    <x v="174"/>
    <x v="16"/>
    <x v="5"/>
    <x v="12"/>
  </r>
  <r>
    <x v="4"/>
    <x v="51"/>
    <x v="1393"/>
    <x v="108"/>
    <x v="162"/>
    <x v="10"/>
    <x v="10"/>
    <x v="2"/>
  </r>
  <r>
    <x v="4"/>
    <x v="51"/>
    <x v="1394"/>
    <x v="48"/>
    <x v="49"/>
    <x v="0"/>
    <x v="5"/>
    <x v="2"/>
  </r>
  <r>
    <x v="4"/>
    <x v="51"/>
    <x v="1395"/>
    <x v="48"/>
    <x v="49"/>
    <x v="0"/>
    <x v="5"/>
    <x v="2"/>
  </r>
  <r>
    <x v="4"/>
    <x v="51"/>
    <x v="1396"/>
    <x v="48"/>
    <x v="49"/>
    <x v="0"/>
    <x v="5"/>
    <x v="2"/>
  </r>
  <r>
    <x v="4"/>
    <x v="51"/>
    <x v="1397"/>
    <x v="48"/>
    <x v="49"/>
    <x v="0"/>
    <x v="5"/>
    <x v="2"/>
  </r>
  <r>
    <x v="5"/>
    <x v="52"/>
    <x v="1398"/>
    <x v="11"/>
    <x v="11"/>
    <x v="0"/>
    <x v="2"/>
    <x v="20"/>
  </r>
  <r>
    <x v="0"/>
    <x v="52"/>
    <x v="1399"/>
    <x v="57"/>
    <x v="57"/>
    <x v="6"/>
    <x v="4"/>
    <x v="7"/>
  </r>
  <r>
    <x v="0"/>
    <x v="52"/>
    <x v="1188"/>
    <x v="11"/>
    <x v="11"/>
    <x v="0"/>
    <x v="2"/>
    <x v="54"/>
  </r>
  <r>
    <x v="0"/>
    <x v="52"/>
    <x v="1400"/>
    <x v="57"/>
    <x v="57"/>
    <x v="6"/>
    <x v="23"/>
    <x v="7"/>
  </r>
  <r>
    <x v="0"/>
    <x v="52"/>
    <x v="1401"/>
    <x v="57"/>
    <x v="57"/>
    <x v="6"/>
    <x v="23"/>
    <x v="7"/>
  </r>
  <r>
    <x v="0"/>
    <x v="52"/>
    <x v="1402"/>
    <x v="39"/>
    <x v="39"/>
    <x v="10"/>
    <x v="10"/>
    <x v="2"/>
  </r>
  <r>
    <x v="0"/>
    <x v="52"/>
    <x v="1403"/>
    <x v="11"/>
    <x v="11"/>
    <x v="8"/>
    <x v="26"/>
    <x v="7"/>
  </r>
  <r>
    <x v="2"/>
    <x v="52"/>
    <x v="1386"/>
    <x v="219"/>
    <x v="214"/>
    <x v="4"/>
    <x v="14"/>
    <x v="2"/>
  </r>
  <r>
    <x v="5"/>
    <x v="52"/>
    <x v="1404"/>
    <x v="219"/>
    <x v="214"/>
    <x v="4"/>
    <x v="1"/>
    <x v="7"/>
  </r>
  <r>
    <x v="0"/>
    <x v="52"/>
    <x v="1405"/>
    <x v="14"/>
    <x v="14"/>
    <x v="1"/>
    <x v="23"/>
    <x v="7"/>
  </r>
  <r>
    <x v="0"/>
    <x v="52"/>
    <x v="1406"/>
    <x v="14"/>
    <x v="14"/>
    <x v="1"/>
    <x v="23"/>
    <x v="7"/>
  </r>
  <r>
    <x v="0"/>
    <x v="52"/>
    <x v="1407"/>
    <x v="14"/>
    <x v="14"/>
    <x v="1"/>
    <x v="23"/>
    <x v="7"/>
  </r>
  <r>
    <x v="0"/>
    <x v="52"/>
    <x v="1408"/>
    <x v="14"/>
    <x v="14"/>
    <x v="1"/>
    <x v="23"/>
    <x v="7"/>
  </r>
  <r>
    <x v="1"/>
    <x v="52"/>
    <x v="1409"/>
    <x v="219"/>
    <x v="214"/>
    <x v="17"/>
    <x v="1"/>
    <x v="7"/>
  </r>
  <r>
    <x v="5"/>
    <x v="52"/>
    <x v="1410"/>
    <x v="57"/>
    <x v="57"/>
    <x v="4"/>
    <x v="23"/>
    <x v="7"/>
  </r>
  <r>
    <x v="5"/>
    <x v="52"/>
    <x v="1411"/>
    <x v="57"/>
    <x v="57"/>
    <x v="4"/>
    <x v="23"/>
    <x v="7"/>
  </r>
  <r>
    <x v="5"/>
    <x v="52"/>
    <x v="1412"/>
    <x v="57"/>
    <x v="57"/>
    <x v="4"/>
    <x v="23"/>
    <x v="7"/>
  </r>
  <r>
    <x v="5"/>
    <x v="52"/>
    <x v="1413"/>
    <x v="57"/>
    <x v="57"/>
    <x v="4"/>
    <x v="4"/>
    <x v="7"/>
  </r>
  <r>
    <x v="5"/>
    <x v="52"/>
    <x v="1414"/>
    <x v="57"/>
    <x v="57"/>
    <x v="4"/>
    <x v="4"/>
    <x v="7"/>
  </r>
  <r>
    <x v="5"/>
    <x v="52"/>
    <x v="1415"/>
    <x v="57"/>
    <x v="57"/>
    <x v="4"/>
    <x v="4"/>
    <x v="7"/>
  </r>
  <r>
    <x v="5"/>
    <x v="52"/>
    <x v="1416"/>
    <x v="57"/>
    <x v="57"/>
    <x v="4"/>
    <x v="4"/>
    <x v="7"/>
  </r>
  <r>
    <x v="5"/>
    <x v="52"/>
    <x v="1417"/>
    <x v="57"/>
    <x v="57"/>
    <x v="4"/>
    <x v="4"/>
    <x v="7"/>
  </r>
  <r>
    <x v="6"/>
    <x v="52"/>
    <x v="1418"/>
    <x v="14"/>
    <x v="14"/>
    <x v="1"/>
    <x v="6"/>
    <x v="2"/>
  </r>
  <r>
    <x v="4"/>
    <x v="52"/>
    <x v="1419"/>
    <x v="14"/>
    <x v="14"/>
    <x v="1"/>
    <x v="21"/>
    <x v="25"/>
  </r>
  <r>
    <x v="0"/>
    <x v="52"/>
    <x v="1420"/>
    <x v="219"/>
    <x v="214"/>
    <x v="16"/>
    <x v="1"/>
    <x v="7"/>
  </r>
  <r>
    <x v="4"/>
    <x v="52"/>
    <x v="1421"/>
    <x v="5"/>
    <x v="162"/>
    <x v="4"/>
    <x v="1"/>
    <x v="25"/>
  </r>
  <r>
    <x v="3"/>
    <x v="52"/>
    <x v="1422"/>
    <x v="11"/>
    <x v="11"/>
    <x v="4"/>
    <x v="23"/>
    <x v="20"/>
  </r>
  <r>
    <x v="3"/>
    <x v="52"/>
    <x v="1423"/>
    <x v="11"/>
    <x v="11"/>
    <x v="4"/>
    <x v="2"/>
    <x v="7"/>
  </r>
  <r>
    <x v="3"/>
    <x v="52"/>
    <x v="1424"/>
    <x v="6"/>
    <x v="6"/>
    <x v="13"/>
    <x v="1"/>
    <x v="7"/>
  </r>
  <r>
    <x v="3"/>
    <x v="52"/>
    <x v="1425"/>
    <x v="6"/>
    <x v="6"/>
    <x v="6"/>
    <x v="23"/>
    <x v="7"/>
  </r>
  <r>
    <x v="0"/>
    <x v="52"/>
    <x v="1426"/>
    <x v="14"/>
    <x v="14"/>
    <x v="1"/>
    <x v="3"/>
    <x v="2"/>
  </r>
  <r>
    <x v="4"/>
    <x v="52"/>
    <x v="1427"/>
    <x v="220"/>
    <x v="162"/>
    <x v="4"/>
    <x v="1"/>
    <x v="3"/>
  </r>
  <r>
    <x v="4"/>
    <x v="52"/>
    <x v="1428"/>
    <x v="218"/>
    <x v="213"/>
    <x v="13"/>
    <x v="11"/>
    <x v="2"/>
  </r>
  <r>
    <x v="3"/>
    <x v="52"/>
    <x v="1429"/>
    <x v="12"/>
    <x v="12"/>
    <x v="13"/>
    <x v="21"/>
    <x v="2"/>
  </r>
  <r>
    <x v="5"/>
    <x v="53"/>
    <x v="1430"/>
    <x v="24"/>
    <x v="24"/>
    <x v="12"/>
    <x v="10"/>
    <x v="2"/>
  </r>
  <r>
    <x v="0"/>
    <x v="53"/>
    <x v="1401"/>
    <x v="57"/>
    <x v="57"/>
    <x v="17"/>
    <x v="23"/>
    <x v="7"/>
  </r>
  <r>
    <x v="5"/>
    <x v="53"/>
    <x v="1431"/>
    <x v="181"/>
    <x v="176"/>
    <x v="10"/>
    <x v="10"/>
    <x v="2"/>
  </r>
  <r>
    <x v="0"/>
    <x v="53"/>
    <x v="1432"/>
    <x v="155"/>
    <x v="151"/>
    <x v="10"/>
    <x v="10"/>
    <x v="55"/>
  </r>
  <r>
    <x v="2"/>
    <x v="53"/>
    <x v="1433"/>
    <x v="63"/>
    <x v="63"/>
    <x v="6"/>
    <x v="23"/>
    <x v="7"/>
  </r>
  <r>
    <x v="2"/>
    <x v="53"/>
    <x v="1434"/>
    <x v="11"/>
    <x v="11"/>
    <x v="0"/>
    <x v="2"/>
    <x v="25"/>
  </r>
  <r>
    <x v="2"/>
    <x v="53"/>
    <x v="1435"/>
    <x v="205"/>
    <x v="200"/>
    <x v="0"/>
    <x v="5"/>
    <x v="55"/>
  </r>
  <r>
    <x v="2"/>
    <x v="53"/>
    <x v="1436"/>
    <x v="25"/>
    <x v="25"/>
    <x v="6"/>
    <x v="3"/>
    <x v="5"/>
  </r>
  <r>
    <x v="1"/>
    <x v="53"/>
    <x v="1437"/>
    <x v="11"/>
    <x v="11"/>
    <x v="0"/>
    <x v="2"/>
    <x v="1"/>
  </r>
  <r>
    <x v="1"/>
    <x v="53"/>
    <x v="1438"/>
    <x v="99"/>
    <x v="162"/>
    <x v="4"/>
    <x v="5"/>
    <x v="4"/>
  </r>
  <r>
    <x v="1"/>
    <x v="53"/>
    <x v="1439"/>
    <x v="99"/>
    <x v="162"/>
    <x v="4"/>
    <x v="5"/>
    <x v="4"/>
  </r>
  <r>
    <x v="5"/>
    <x v="53"/>
    <x v="1440"/>
    <x v="184"/>
    <x v="179"/>
    <x v="4"/>
    <x v="5"/>
    <x v="4"/>
  </r>
  <r>
    <x v="1"/>
    <x v="53"/>
    <x v="1441"/>
    <x v="11"/>
    <x v="11"/>
    <x v="15"/>
    <x v="6"/>
    <x v="2"/>
  </r>
  <r>
    <x v="3"/>
    <x v="53"/>
    <x v="1442"/>
    <x v="181"/>
    <x v="176"/>
    <x v="10"/>
    <x v="10"/>
    <x v="2"/>
  </r>
  <r>
    <x v="3"/>
    <x v="53"/>
    <x v="1443"/>
    <x v="57"/>
    <x v="57"/>
    <x v="6"/>
    <x v="23"/>
    <x v="7"/>
  </r>
  <r>
    <x v="3"/>
    <x v="53"/>
    <x v="1444"/>
    <x v="57"/>
    <x v="57"/>
    <x v="6"/>
    <x v="23"/>
    <x v="7"/>
  </r>
  <r>
    <x v="3"/>
    <x v="53"/>
    <x v="1445"/>
    <x v="57"/>
    <x v="57"/>
    <x v="6"/>
    <x v="23"/>
    <x v="7"/>
  </r>
  <r>
    <x v="3"/>
    <x v="53"/>
    <x v="1446"/>
    <x v="57"/>
    <x v="57"/>
    <x v="6"/>
    <x v="23"/>
    <x v="7"/>
  </r>
  <r>
    <x v="1"/>
    <x v="53"/>
    <x v="1447"/>
    <x v="74"/>
    <x v="74"/>
    <x v="8"/>
    <x v="11"/>
    <x v="2"/>
  </r>
  <r>
    <x v="4"/>
    <x v="53"/>
    <x v="1448"/>
    <x v="11"/>
    <x v="11"/>
    <x v="0"/>
    <x v="23"/>
    <x v="7"/>
  </r>
  <r>
    <x v="4"/>
    <x v="53"/>
    <x v="1449"/>
    <x v="205"/>
    <x v="200"/>
    <x v="0"/>
    <x v="3"/>
    <x v="55"/>
  </r>
  <r>
    <x v="3"/>
    <x v="53"/>
    <x v="1450"/>
    <x v="205"/>
    <x v="200"/>
    <x v="0"/>
    <x v="3"/>
    <x v="7"/>
  </r>
  <r>
    <x v="0"/>
    <x v="54"/>
    <x v="1451"/>
    <x v="48"/>
    <x v="49"/>
    <x v="0"/>
    <x v="23"/>
    <x v="7"/>
  </r>
  <r>
    <x v="5"/>
    <x v="54"/>
    <x v="1452"/>
    <x v="39"/>
    <x v="39"/>
    <x v="10"/>
    <x v="10"/>
    <x v="14"/>
  </r>
  <r>
    <x v="0"/>
    <x v="54"/>
    <x v="1453"/>
    <x v="57"/>
    <x v="57"/>
    <x v="4"/>
    <x v="23"/>
    <x v="7"/>
  </r>
  <r>
    <x v="2"/>
    <x v="54"/>
    <x v="1454"/>
    <x v="40"/>
    <x v="40"/>
    <x v="5"/>
    <x v="1"/>
    <x v="7"/>
  </r>
  <r>
    <x v="2"/>
    <x v="54"/>
    <x v="1455"/>
    <x v="60"/>
    <x v="60"/>
    <x v="2"/>
    <x v="13"/>
    <x v="7"/>
  </r>
  <r>
    <x v="3"/>
    <x v="54"/>
    <x v="1456"/>
    <x v="48"/>
    <x v="49"/>
    <x v="0"/>
    <x v="23"/>
    <x v="8"/>
  </r>
  <r>
    <x v="5"/>
    <x v="54"/>
    <x v="1457"/>
    <x v="113"/>
    <x v="110"/>
    <x v="4"/>
    <x v="2"/>
    <x v="20"/>
  </r>
  <r>
    <x v="3"/>
    <x v="54"/>
    <x v="1458"/>
    <x v="48"/>
    <x v="49"/>
    <x v="4"/>
    <x v="23"/>
    <x v="7"/>
  </r>
  <r>
    <x v="0"/>
    <x v="54"/>
    <x v="1459"/>
    <x v="89"/>
    <x v="89"/>
    <x v="0"/>
    <x v="23"/>
    <x v="31"/>
  </r>
  <r>
    <x v="5"/>
    <x v="54"/>
    <x v="1460"/>
    <x v="48"/>
    <x v="49"/>
    <x v="0"/>
    <x v="23"/>
    <x v="8"/>
  </r>
  <r>
    <x v="5"/>
    <x v="54"/>
    <x v="1461"/>
    <x v="8"/>
    <x v="8"/>
    <x v="13"/>
    <x v="3"/>
    <x v="14"/>
  </r>
  <r>
    <x v="3"/>
    <x v="54"/>
    <x v="1462"/>
    <x v="12"/>
    <x v="12"/>
    <x v="13"/>
    <x v="21"/>
    <x v="14"/>
  </r>
  <r>
    <x v="1"/>
    <x v="54"/>
    <x v="1463"/>
    <x v="221"/>
    <x v="215"/>
    <x v="10"/>
    <x v="18"/>
    <x v="14"/>
  </r>
  <r>
    <x v="1"/>
    <x v="54"/>
    <x v="1464"/>
    <x v="2"/>
    <x v="2"/>
    <x v="1"/>
    <x v="8"/>
    <x v="7"/>
  </r>
  <r>
    <x v="1"/>
    <x v="54"/>
    <x v="1465"/>
    <x v="48"/>
    <x v="49"/>
    <x v="0"/>
    <x v="22"/>
    <x v="7"/>
  </r>
  <r>
    <x v="1"/>
    <x v="54"/>
    <x v="1466"/>
    <x v="6"/>
    <x v="6"/>
    <x v="16"/>
    <x v="5"/>
    <x v="14"/>
  </r>
  <r>
    <x v="5"/>
    <x v="54"/>
    <x v="1467"/>
    <x v="60"/>
    <x v="60"/>
    <x v="6"/>
    <x v="1"/>
    <x v="7"/>
  </r>
  <r>
    <x v="2"/>
    <x v="54"/>
    <x v="1468"/>
    <x v="5"/>
    <x v="162"/>
    <x v="4"/>
    <x v="11"/>
    <x v="7"/>
  </r>
  <r>
    <x v="2"/>
    <x v="54"/>
    <x v="1469"/>
    <x v="5"/>
    <x v="162"/>
    <x v="4"/>
    <x v="11"/>
    <x v="7"/>
  </r>
  <r>
    <x v="2"/>
    <x v="54"/>
    <x v="1118"/>
    <x v="5"/>
    <x v="162"/>
    <x v="4"/>
    <x v="11"/>
    <x v="7"/>
  </r>
  <r>
    <x v="2"/>
    <x v="54"/>
    <x v="1470"/>
    <x v="5"/>
    <x v="162"/>
    <x v="4"/>
    <x v="11"/>
    <x v="7"/>
  </r>
  <r>
    <x v="2"/>
    <x v="54"/>
    <x v="1471"/>
    <x v="5"/>
    <x v="162"/>
    <x v="4"/>
    <x v="11"/>
    <x v="7"/>
  </r>
  <r>
    <x v="2"/>
    <x v="54"/>
    <x v="1472"/>
    <x v="5"/>
    <x v="162"/>
    <x v="4"/>
    <x v="11"/>
    <x v="7"/>
  </r>
  <r>
    <x v="2"/>
    <x v="54"/>
    <x v="1473"/>
    <x v="5"/>
    <x v="162"/>
    <x v="4"/>
    <x v="11"/>
    <x v="7"/>
  </r>
  <r>
    <x v="2"/>
    <x v="54"/>
    <x v="1474"/>
    <x v="5"/>
    <x v="162"/>
    <x v="4"/>
    <x v="11"/>
    <x v="7"/>
  </r>
  <r>
    <x v="2"/>
    <x v="54"/>
    <x v="1475"/>
    <x v="5"/>
    <x v="162"/>
    <x v="4"/>
    <x v="11"/>
    <x v="7"/>
  </r>
  <r>
    <x v="2"/>
    <x v="54"/>
    <x v="1476"/>
    <x v="5"/>
    <x v="162"/>
    <x v="4"/>
    <x v="11"/>
    <x v="7"/>
  </r>
  <r>
    <x v="2"/>
    <x v="55"/>
    <x v="1477"/>
    <x v="24"/>
    <x v="24"/>
    <x v="12"/>
    <x v="10"/>
    <x v="14"/>
  </r>
  <r>
    <x v="5"/>
    <x v="55"/>
    <x v="1478"/>
    <x v="36"/>
    <x v="36"/>
    <x v="17"/>
    <x v="33"/>
    <x v="5"/>
  </r>
  <r>
    <x v="5"/>
    <x v="56"/>
    <x v="1479"/>
    <x v="222"/>
    <x v="162"/>
    <x v="5"/>
    <x v="28"/>
    <x v="25"/>
  </r>
  <r>
    <x v="3"/>
    <x v="56"/>
    <x v="1480"/>
    <x v="151"/>
    <x v="147"/>
    <x v="13"/>
    <x v="4"/>
    <x v="7"/>
  </r>
  <r>
    <x v="0"/>
    <x v="56"/>
    <x v="1481"/>
    <x v="151"/>
    <x v="147"/>
    <x v="13"/>
    <x v="1"/>
    <x v="7"/>
  </r>
  <r>
    <x v="5"/>
    <x v="56"/>
    <x v="1482"/>
    <x v="151"/>
    <x v="147"/>
    <x v="13"/>
    <x v="1"/>
    <x v="7"/>
  </r>
  <r>
    <x v="0"/>
    <x v="56"/>
    <x v="1483"/>
    <x v="24"/>
    <x v="24"/>
    <x v="12"/>
    <x v="10"/>
    <x v="2"/>
  </r>
  <r>
    <x v="5"/>
    <x v="56"/>
    <x v="1484"/>
    <x v="12"/>
    <x v="12"/>
    <x v="13"/>
    <x v="23"/>
    <x v="7"/>
  </r>
  <r>
    <x v="5"/>
    <x v="56"/>
    <x v="1478"/>
    <x v="36"/>
    <x v="36"/>
    <x v="6"/>
    <x v="33"/>
    <x v="7"/>
  </r>
  <r>
    <x v="3"/>
    <x v="56"/>
    <x v="1485"/>
    <x v="36"/>
    <x v="36"/>
    <x v="17"/>
    <x v="33"/>
    <x v="7"/>
  </r>
  <r>
    <x v="2"/>
    <x v="56"/>
    <x v="1486"/>
    <x v="151"/>
    <x v="147"/>
    <x v="18"/>
    <x v="4"/>
    <x v="7"/>
  </r>
  <r>
    <x v="3"/>
    <x v="56"/>
    <x v="1487"/>
    <x v="141"/>
    <x v="137"/>
    <x v="5"/>
    <x v="23"/>
    <x v="43"/>
  </r>
  <r>
    <x v="5"/>
    <x v="56"/>
    <x v="1461"/>
    <x v="8"/>
    <x v="8"/>
    <x v="13"/>
    <x v="3"/>
    <x v="2"/>
  </r>
  <r>
    <x v="0"/>
    <x v="56"/>
    <x v="1488"/>
    <x v="36"/>
    <x v="36"/>
    <x v="5"/>
    <x v="23"/>
    <x v="25"/>
  </r>
  <r>
    <x v="4"/>
    <x v="56"/>
    <x v="1489"/>
    <x v="151"/>
    <x v="147"/>
    <x v="13"/>
    <x v="1"/>
    <x v="7"/>
  </r>
  <r>
    <x v="4"/>
    <x v="56"/>
    <x v="1490"/>
    <x v="130"/>
    <x v="126"/>
    <x v="4"/>
    <x v="23"/>
    <x v="7"/>
  </r>
  <r>
    <x v="1"/>
    <x v="56"/>
    <x v="1466"/>
    <x v="6"/>
    <x v="6"/>
    <x v="16"/>
    <x v="11"/>
    <x v="2"/>
  </r>
  <r>
    <x v="3"/>
    <x v="56"/>
    <x v="1491"/>
    <x v="155"/>
    <x v="151"/>
    <x v="5"/>
    <x v="10"/>
    <x v="2"/>
  </r>
  <r>
    <x v="3"/>
    <x v="56"/>
    <x v="1492"/>
    <x v="181"/>
    <x v="176"/>
    <x v="5"/>
    <x v="10"/>
    <x v="2"/>
  </r>
  <r>
    <x v="3"/>
    <x v="56"/>
    <x v="1493"/>
    <x v="108"/>
    <x v="162"/>
    <x v="5"/>
    <x v="10"/>
    <x v="2"/>
  </r>
  <r>
    <x v="1"/>
    <x v="56"/>
    <x v="1494"/>
    <x v="151"/>
    <x v="147"/>
    <x v="13"/>
    <x v="4"/>
    <x v="7"/>
  </r>
  <r>
    <x v="0"/>
    <x v="56"/>
    <x v="1495"/>
    <x v="14"/>
    <x v="14"/>
    <x v="1"/>
    <x v="21"/>
    <x v="2"/>
  </r>
  <r>
    <x v="0"/>
    <x v="56"/>
    <x v="1496"/>
    <x v="14"/>
    <x v="14"/>
    <x v="1"/>
    <x v="21"/>
    <x v="2"/>
  </r>
  <r>
    <x v="4"/>
    <x v="57"/>
    <x v="1497"/>
    <x v="155"/>
    <x v="151"/>
    <x v="10"/>
    <x v="6"/>
    <x v="2"/>
  </r>
  <r>
    <x v="0"/>
    <x v="57"/>
    <x v="1498"/>
    <x v="1"/>
    <x v="162"/>
    <x v="1"/>
    <x v="1"/>
    <x v="7"/>
  </r>
  <r>
    <x v="2"/>
    <x v="57"/>
    <x v="1499"/>
    <x v="223"/>
    <x v="216"/>
    <x v="17"/>
    <x v="4"/>
    <x v="25"/>
  </r>
  <r>
    <x v="0"/>
    <x v="57"/>
    <x v="1500"/>
    <x v="224"/>
    <x v="217"/>
    <x v="4"/>
    <x v="1"/>
    <x v="7"/>
  </r>
  <r>
    <x v="5"/>
    <x v="57"/>
    <x v="1501"/>
    <x v="165"/>
    <x v="160"/>
    <x v="4"/>
    <x v="3"/>
    <x v="31"/>
  </r>
  <r>
    <x v="3"/>
    <x v="57"/>
    <x v="1502"/>
    <x v="1"/>
    <x v="1"/>
    <x v="1"/>
    <x v="1"/>
    <x v="7"/>
  </r>
  <r>
    <x v="3"/>
    <x v="57"/>
    <x v="1503"/>
    <x v="1"/>
    <x v="1"/>
    <x v="1"/>
    <x v="1"/>
    <x v="7"/>
  </r>
  <r>
    <x v="3"/>
    <x v="57"/>
    <x v="1504"/>
    <x v="1"/>
    <x v="1"/>
    <x v="1"/>
    <x v="1"/>
    <x v="7"/>
  </r>
  <r>
    <x v="3"/>
    <x v="57"/>
    <x v="1505"/>
    <x v="224"/>
    <x v="217"/>
    <x v="17"/>
    <x v="1"/>
    <x v="7"/>
  </r>
  <r>
    <x v="3"/>
    <x v="57"/>
    <x v="1506"/>
    <x v="123"/>
    <x v="120"/>
    <x v="10"/>
    <x v="10"/>
    <x v="56"/>
  </r>
  <r>
    <x v="5"/>
    <x v="57"/>
    <x v="1461"/>
    <x v="8"/>
    <x v="8"/>
    <x v="13"/>
    <x v="31"/>
    <x v="53"/>
  </r>
  <r>
    <x v="0"/>
    <x v="57"/>
    <x v="1507"/>
    <x v="115"/>
    <x v="112"/>
    <x v="6"/>
    <x v="23"/>
    <x v="5"/>
  </r>
  <r>
    <x v="3"/>
    <x v="57"/>
    <x v="1508"/>
    <x v="224"/>
    <x v="217"/>
    <x v="17"/>
    <x v="11"/>
    <x v="2"/>
  </r>
  <r>
    <x v="0"/>
    <x v="57"/>
    <x v="1509"/>
    <x v="1"/>
    <x v="1"/>
    <x v="1"/>
    <x v="1"/>
    <x v="7"/>
  </r>
  <r>
    <x v="4"/>
    <x v="57"/>
    <x v="1510"/>
    <x v="1"/>
    <x v="1"/>
    <x v="1"/>
    <x v="1"/>
    <x v="7"/>
  </r>
  <r>
    <x v="4"/>
    <x v="57"/>
    <x v="1511"/>
    <x v="57"/>
    <x v="57"/>
    <x v="6"/>
    <x v="8"/>
    <x v="7"/>
  </r>
  <r>
    <x v="4"/>
    <x v="57"/>
    <x v="1512"/>
    <x v="39"/>
    <x v="39"/>
    <x v="10"/>
    <x v="10"/>
    <x v="2"/>
  </r>
  <r>
    <x v="0"/>
    <x v="57"/>
    <x v="1513"/>
    <x v="57"/>
    <x v="57"/>
    <x v="17"/>
    <x v="8"/>
    <x v="7"/>
  </r>
  <r>
    <x v="1"/>
    <x v="57"/>
    <x v="1514"/>
    <x v="123"/>
    <x v="120"/>
    <x v="10"/>
    <x v="15"/>
    <x v="2"/>
  </r>
  <r>
    <x v="0"/>
    <x v="57"/>
    <x v="1515"/>
    <x v="223"/>
    <x v="216"/>
    <x v="17"/>
    <x v="5"/>
    <x v="2"/>
  </r>
  <r>
    <x v="0"/>
    <x v="57"/>
    <x v="1516"/>
    <x v="223"/>
    <x v="216"/>
    <x v="17"/>
    <x v="5"/>
    <x v="2"/>
  </r>
  <r>
    <x v="0"/>
    <x v="57"/>
    <x v="1517"/>
    <x v="82"/>
    <x v="82"/>
    <x v="17"/>
    <x v="11"/>
    <x v="2"/>
  </r>
  <r>
    <x v="4"/>
    <x v="57"/>
    <x v="1518"/>
    <x v="217"/>
    <x v="212"/>
    <x v="13"/>
    <x v="18"/>
    <x v="2"/>
  </r>
  <r>
    <x v="4"/>
    <x v="57"/>
    <x v="1519"/>
    <x v="224"/>
    <x v="217"/>
    <x v="4"/>
    <x v="11"/>
    <x v="2"/>
  </r>
  <r>
    <x v="1"/>
    <x v="57"/>
    <x v="1520"/>
    <x v="65"/>
    <x v="65"/>
    <x v="8"/>
    <x v="11"/>
    <x v="2"/>
  </r>
  <r>
    <x v="2"/>
    <x v="57"/>
    <x v="1521"/>
    <x v="65"/>
    <x v="65"/>
    <x v="8"/>
    <x v="11"/>
    <x v="2"/>
  </r>
  <r>
    <x v="5"/>
    <x v="58"/>
    <x v="1522"/>
    <x v="39"/>
    <x v="39"/>
    <x v="10"/>
    <x v="10"/>
    <x v="2"/>
  </r>
  <r>
    <x v="0"/>
    <x v="58"/>
    <x v="1523"/>
    <x v="66"/>
    <x v="66"/>
    <x v="4"/>
    <x v="23"/>
    <x v="31"/>
  </r>
  <r>
    <x v="0"/>
    <x v="58"/>
    <x v="1524"/>
    <x v="57"/>
    <x v="57"/>
    <x v="6"/>
    <x v="1"/>
    <x v="7"/>
  </r>
  <r>
    <x v="5"/>
    <x v="58"/>
    <x v="1525"/>
    <x v="6"/>
    <x v="6"/>
    <x v="13"/>
    <x v="23"/>
    <x v="7"/>
  </r>
  <r>
    <x v="0"/>
    <x v="58"/>
    <x v="1526"/>
    <x v="35"/>
    <x v="35"/>
    <x v="15"/>
    <x v="11"/>
    <x v="4"/>
  </r>
  <r>
    <x v="3"/>
    <x v="58"/>
    <x v="1527"/>
    <x v="26"/>
    <x v="26"/>
    <x v="6"/>
    <x v="15"/>
    <x v="5"/>
  </r>
  <r>
    <x v="3"/>
    <x v="58"/>
    <x v="1526"/>
    <x v="35"/>
    <x v="35"/>
    <x v="15"/>
    <x v="11"/>
    <x v="2"/>
  </r>
  <r>
    <x v="3"/>
    <x v="58"/>
    <x v="1528"/>
    <x v="6"/>
    <x v="6"/>
    <x v="13"/>
    <x v="34"/>
    <x v="7"/>
  </r>
  <r>
    <x v="3"/>
    <x v="58"/>
    <x v="1529"/>
    <x v="6"/>
    <x v="6"/>
    <x v="13"/>
    <x v="23"/>
    <x v="7"/>
  </r>
  <r>
    <x v="3"/>
    <x v="58"/>
    <x v="1530"/>
    <x v="222"/>
    <x v="162"/>
    <x v="4"/>
    <x v="5"/>
    <x v="4"/>
  </r>
  <r>
    <x v="2"/>
    <x v="58"/>
    <x v="1531"/>
    <x v="57"/>
    <x v="57"/>
    <x v="0"/>
    <x v="13"/>
    <x v="4"/>
  </r>
  <r>
    <x v="2"/>
    <x v="58"/>
    <x v="1532"/>
    <x v="48"/>
    <x v="49"/>
    <x v="0"/>
    <x v="1"/>
    <x v="7"/>
  </r>
  <r>
    <x v="2"/>
    <x v="58"/>
    <x v="1533"/>
    <x v="6"/>
    <x v="6"/>
    <x v="13"/>
    <x v="10"/>
    <x v="25"/>
  </r>
  <r>
    <x v="0"/>
    <x v="58"/>
    <x v="1534"/>
    <x v="225"/>
    <x v="162"/>
    <x v="10"/>
    <x v="10"/>
    <x v="2"/>
  </r>
  <r>
    <x v="4"/>
    <x v="58"/>
    <x v="1535"/>
    <x v="47"/>
    <x v="48"/>
    <x v="1"/>
    <x v="23"/>
    <x v="7"/>
  </r>
  <r>
    <x v="4"/>
    <x v="58"/>
    <x v="1536"/>
    <x v="6"/>
    <x v="6"/>
    <x v="13"/>
    <x v="23"/>
    <x v="7"/>
  </r>
  <r>
    <x v="4"/>
    <x v="58"/>
    <x v="1537"/>
    <x v="6"/>
    <x v="6"/>
    <x v="13"/>
    <x v="23"/>
    <x v="7"/>
  </r>
  <r>
    <x v="0"/>
    <x v="58"/>
    <x v="1538"/>
    <x v="24"/>
    <x v="24"/>
    <x v="12"/>
    <x v="10"/>
    <x v="2"/>
  </r>
  <r>
    <x v="1"/>
    <x v="58"/>
    <x v="1539"/>
    <x v="165"/>
    <x v="160"/>
    <x v="4"/>
    <x v="23"/>
    <x v="7"/>
  </r>
  <r>
    <x v="1"/>
    <x v="58"/>
    <x v="1540"/>
    <x v="129"/>
    <x v="125"/>
    <x v="13"/>
    <x v="23"/>
    <x v="25"/>
  </r>
  <r>
    <x v="0"/>
    <x v="59"/>
    <x v="1541"/>
    <x v="7"/>
    <x v="7"/>
    <x v="12"/>
    <x v="10"/>
    <x v="2"/>
  </r>
  <r>
    <x v="5"/>
    <x v="59"/>
    <x v="1542"/>
    <x v="181"/>
    <x v="176"/>
    <x v="19"/>
    <x v="10"/>
    <x v="2"/>
  </r>
  <r>
    <x v="5"/>
    <x v="59"/>
    <x v="1543"/>
    <x v="22"/>
    <x v="22"/>
    <x v="13"/>
    <x v="23"/>
    <x v="7"/>
  </r>
  <r>
    <x v="5"/>
    <x v="59"/>
    <x v="1544"/>
    <x v="226"/>
    <x v="218"/>
    <x v="6"/>
    <x v="22"/>
    <x v="57"/>
  </r>
  <r>
    <x v="5"/>
    <x v="59"/>
    <x v="1545"/>
    <x v="226"/>
    <x v="218"/>
    <x v="6"/>
    <x v="22"/>
    <x v="57"/>
  </r>
  <r>
    <x v="5"/>
    <x v="59"/>
    <x v="1546"/>
    <x v="226"/>
    <x v="218"/>
    <x v="6"/>
    <x v="22"/>
    <x v="57"/>
  </r>
  <r>
    <x v="5"/>
    <x v="59"/>
    <x v="1547"/>
    <x v="226"/>
    <x v="218"/>
    <x v="6"/>
    <x v="22"/>
    <x v="57"/>
  </r>
  <r>
    <x v="5"/>
    <x v="59"/>
    <x v="1548"/>
    <x v="6"/>
    <x v="6"/>
    <x v="16"/>
    <x v="23"/>
    <x v="7"/>
  </r>
  <r>
    <x v="5"/>
    <x v="59"/>
    <x v="1549"/>
    <x v="1"/>
    <x v="1"/>
    <x v="1"/>
    <x v="1"/>
    <x v="7"/>
  </r>
  <r>
    <x v="2"/>
    <x v="59"/>
    <x v="1550"/>
    <x v="1"/>
    <x v="1"/>
    <x v="1"/>
    <x v="1"/>
    <x v="4"/>
  </r>
  <r>
    <x v="2"/>
    <x v="59"/>
    <x v="1551"/>
    <x v="1"/>
    <x v="1"/>
    <x v="1"/>
    <x v="23"/>
    <x v="4"/>
  </r>
  <r>
    <x v="4"/>
    <x v="59"/>
    <x v="1552"/>
    <x v="6"/>
    <x v="6"/>
    <x v="10"/>
    <x v="15"/>
    <x v="2"/>
  </r>
  <r>
    <x v="0"/>
    <x v="59"/>
    <x v="1553"/>
    <x v="60"/>
    <x v="60"/>
    <x v="4"/>
    <x v="23"/>
    <x v="31"/>
  </r>
  <r>
    <x v="5"/>
    <x v="59"/>
    <x v="1554"/>
    <x v="1"/>
    <x v="1"/>
    <x v="1"/>
    <x v="23"/>
    <x v="7"/>
  </r>
  <r>
    <x v="5"/>
    <x v="59"/>
    <x v="1555"/>
    <x v="1"/>
    <x v="1"/>
    <x v="1"/>
    <x v="13"/>
    <x v="7"/>
  </r>
  <r>
    <x v="1"/>
    <x v="59"/>
    <x v="1556"/>
    <x v="1"/>
    <x v="1"/>
    <x v="1"/>
    <x v="1"/>
    <x v="7"/>
  </r>
  <r>
    <x v="1"/>
    <x v="59"/>
    <x v="1557"/>
    <x v="1"/>
    <x v="1"/>
    <x v="1"/>
    <x v="1"/>
    <x v="7"/>
  </r>
  <r>
    <x v="1"/>
    <x v="59"/>
    <x v="1558"/>
    <x v="24"/>
    <x v="24"/>
    <x v="12"/>
    <x v="10"/>
    <x v="2"/>
  </r>
  <r>
    <x v="5"/>
    <x v="59"/>
    <x v="1559"/>
    <x v="25"/>
    <x v="25"/>
    <x v="6"/>
    <x v="11"/>
    <x v="2"/>
  </r>
  <r>
    <x v="5"/>
    <x v="59"/>
    <x v="1560"/>
    <x v="25"/>
    <x v="25"/>
    <x v="6"/>
    <x v="11"/>
    <x v="2"/>
  </r>
  <r>
    <x v="0"/>
    <x v="59"/>
    <x v="1561"/>
    <x v="112"/>
    <x v="109"/>
    <x v="13"/>
    <x v="11"/>
    <x v="2"/>
  </r>
  <r>
    <x v="0"/>
    <x v="59"/>
    <x v="1562"/>
    <x v="6"/>
    <x v="6"/>
    <x v="13"/>
    <x v="11"/>
    <x v="2"/>
  </r>
  <r>
    <x v="0"/>
    <x v="59"/>
    <x v="1563"/>
    <x v="6"/>
    <x v="6"/>
    <x v="13"/>
    <x v="11"/>
    <x v="2"/>
  </r>
  <r>
    <x v="2"/>
    <x v="59"/>
    <x v="1564"/>
    <x v="227"/>
    <x v="219"/>
    <x v="5"/>
    <x v="11"/>
    <x v="2"/>
  </r>
  <r>
    <x v="5"/>
    <x v="59"/>
    <x v="1565"/>
    <x v="210"/>
    <x v="205"/>
    <x v="6"/>
    <x v="23"/>
    <x v="7"/>
  </r>
  <r>
    <x v="3"/>
    <x v="59"/>
    <x v="1566"/>
    <x v="184"/>
    <x v="179"/>
    <x v="6"/>
    <x v="11"/>
    <x v="2"/>
  </r>
  <r>
    <x v="3"/>
    <x v="59"/>
    <x v="1567"/>
    <x v="184"/>
    <x v="179"/>
    <x v="6"/>
    <x v="11"/>
    <x v="2"/>
  </r>
  <r>
    <x v="5"/>
    <x v="60"/>
    <x v="1568"/>
    <x v="228"/>
    <x v="220"/>
    <x v="10"/>
    <x v="6"/>
    <x v="2"/>
  </r>
  <r>
    <x v="5"/>
    <x v="60"/>
    <x v="1569"/>
    <x v="24"/>
    <x v="24"/>
    <x v="12"/>
    <x v="10"/>
    <x v="2"/>
  </r>
  <r>
    <x v="5"/>
    <x v="60"/>
    <x v="1570"/>
    <x v="39"/>
    <x v="39"/>
    <x v="10"/>
    <x v="10"/>
    <x v="2"/>
  </r>
  <r>
    <x v="0"/>
    <x v="60"/>
    <x v="1571"/>
    <x v="24"/>
    <x v="24"/>
    <x v="12"/>
    <x v="10"/>
    <x v="2"/>
  </r>
  <r>
    <x v="5"/>
    <x v="60"/>
    <x v="1572"/>
    <x v="181"/>
    <x v="176"/>
    <x v="10"/>
    <x v="10"/>
    <x v="2"/>
  </r>
  <r>
    <x v="2"/>
    <x v="60"/>
    <x v="1573"/>
    <x v="60"/>
    <x v="60"/>
    <x v="17"/>
    <x v="1"/>
    <x v="52"/>
  </r>
  <r>
    <x v="2"/>
    <x v="60"/>
    <x v="1574"/>
    <x v="228"/>
    <x v="220"/>
    <x v="10"/>
    <x v="6"/>
    <x v="2"/>
  </r>
  <r>
    <x v="5"/>
    <x v="60"/>
    <x v="1575"/>
    <x v="114"/>
    <x v="111"/>
    <x v="13"/>
    <x v="5"/>
    <x v="4"/>
  </r>
  <r>
    <x v="5"/>
    <x v="60"/>
    <x v="1576"/>
    <x v="114"/>
    <x v="111"/>
    <x v="13"/>
    <x v="5"/>
    <x v="4"/>
  </r>
  <r>
    <x v="5"/>
    <x v="60"/>
    <x v="1577"/>
    <x v="114"/>
    <x v="111"/>
    <x v="13"/>
    <x v="5"/>
    <x v="4"/>
  </r>
  <r>
    <x v="5"/>
    <x v="60"/>
    <x v="1578"/>
    <x v="114"/>
    <x v="111"/>
    <x v="13"/>
    <x v="5"/>
    <x v="4"/>
  </r>
  <r>
    <x v="5"/>
    <x v="60"/>
    <x v="1579"/>
    <x v="114"/>
    <x v="111"/>
    <x v="13"/>
    <x v="5"/>
    <x v="4"/>
  </r>
  <r>
    <x v="5"/>
    <x v="60"/>
    <x v="1580"/>
    <x v="114"/>
    <x v="111"/>
    <x v="13"/>
    <x v="5"/>
    <x v="4"/>
  </r>
  <r>
    <x v="5"/>
    <x v="60"/>
    <x v="1581"/>
    <x v="114"/>
    <x v="111"/>
    <x v="13"/>
    <x v="5"/>
    <x v="4"/>
  </r>
  <r>
    <x v="5"/>
    <x v="60"/>
    <x v="1582"/>
    <x v="114"/>
    <x v="111"/>
    <x v="13"/>
    <x v="5"/>
    <x v="4"/>
  </r>
  <r>
    <x v="5"/>
    <x v="60"/>
    <x v="1583"/>
    <x v="114"/>
    <x v="111"/>
    <x v="13"/>
    <x v="5"/>
    <x v="4"/>
  </r>
  <r>
    <x v="5"/>
    <x v="60"/>
    <x v="1584"/>
    <x v="114"/>
    <x v="111"/>
    <x v="13"/>
    <x v="5"/>
    <x v="4"/>
  </r>
  <r>
    <x v="5"/>
    <x v="60"/>
    <x v="1585"/>
    <x v="114"/>
    <x v="111"/>
    <x v="13"/>
    <x v="5"/>
    <x v="4"/>
  </r>
  <r>
    <x v="4"/>
    <x v="60"/>
    <x v="1586"/>
    <x v="217"/>
    <x v="212"/>
    <x v="13"/>
    <x v="6"/>
    <x v="2"/>
  </r>
  <r>
    <x v="5"/>
    <x v="60"/>
    <x v="1587"/>
    <x v="229"/>
    <x v="221"/>
    <x v="8"/>
    <x v="11"/>
    <x v="2"/>
  </r>
  <r>
    <x v="5"/>
    <x v="60"/>
    <x v="1588"/>
    <x v="229"/>
    <x v="221"/>
    <x v="8"/>
    <x v="11"/>
    <x v="2"/>
  </r>
  <r>
    <x v="0"/>
    <x v="60"/>
    <x v="1589"/>
    <x v="113"/>
    <x v="110"/>
    <x v="6"/>
    <x v="11"/>
    <x v="2"/>
  </r>
  <r>
    <x v="3"/>
    <x v="60"/>
    <x v="1590"/>
    <x v="228"/>
    <x v="220"/>
    <x v="10"/>
    <x v="6"/>
    <x v="2"/>
  </r>
  <r>
    <x v="4"/>
    <x v="61"/>
    <x v="1591"/>
    <x v="6"/>
    <x v="6"/>
    <x v="16"/>
    <x v="19"/>
    <x v="4"/>
  </r>
  <r>
    <x v="4"/>
    <x v="61"/>
    <x v="1592"/>
    <x v="6"/>
    <x v="6"/>
    <x v="16"/>
    <x v="19"/>
    <x v="4"/>
  </r>
  <r>
    <x v="3"/>
    <x v="61"/>
    <x v="1593"/>
    <x v="230"/>
    <x v="222"/>
    <x v="10"/>
    <x v="34"/>
    <x v="2"/>
  </r>
  <r>
    <x v="5"/>
    <x v="62"/>
    <x v="1594"/>
    <x v="8"/>
    <x v="8"/>
    <x v="15"/>
    <x v="23"/>
    <x v="7"/>
  </r>
  <r>
    <x v="0"/>
    <x v="62"/>
    <x v="1595"/>
    <x v="222"/>
    <x v="162"/>
    <x v="5"/>
    <x v="28"/>
    <x v="25"/>
  </r>
  <r>
    <x v="3"/>
    <x v="62"/>
    <x v="1596"/>
    <x v="42"/>
    <x v="42"/>
    <x v="13"/>
    <x v="2"/>
    <x v="20"/>
  </r>
  <r>
    <x v="3"/>
    <x v="62"/>
    <x v="1597"/>
    <x v="153"/>
    <x v="149"/>
    <x v="4"/>
    <x v="23"/>
    <x v="7"/>
  </r>
  <r>
    <x v="3"/>
    <x v="62"/>
    <x v="1598"/>
    <x v="220"/>
    <x v="162"/>
    <x v="4"/>
    <x v="5"/>
    <x v="4"/>
  </r>
  <r>
    <x v="3"/>
    <x v="62"/>
    <x v="1599"/>
    <x v="231"/>
    <x v="162"/>
    <x v="4"/>
    <x v="5"/>
    <x v="4"/>
  </r>
  <r>
    <x v="3"/>
    <x v="62"/>
    <x v="1600"/>
    <x v="24"/>
    <x v="24"/>
    <x v="12"/>
    <x v="10"/>
    <x v="2"/>
  </r>
  <r>
    <x v="2"/>
    <x v="62"/>
    <x v="1601"/>
    <x v="232"/>
    <x v="223"/>
    <x v="15"/>
    <x v="3"/>
    <x v="2"/>
  </r>
  <r>
    <x v="0"/>
    <x v="62"/>
    <x v="1602"/>
    <x v="199"/>
    <x v="194"/>
    <x v="6"/>
    <x v="13"/>
    <x v="2"/>
  </r>
  <r>
    <x v="0"/>
    <x v="62"/>
    <x v="1603"/>
    <x v="199"/>
    <x v="194"/>
    <x v="6"/>
    <x v="13"/>
    <x v="2"/>
  </r>
  <r>
    <x v="0"/>
    <x v="62"/>
    <x v="1604"/>
    <x v="109"/>
    <x v="106"/>
    <x v="10"/>
    <x v="34"/>
    <x v="25"/>
  </r>
  <r>
    <x v="0"/>
    <x v="62"/>
    <x v="1605"/>
    <x v="203"/>
    <x v="198"/>
    <x v="10"/>
    <x v="10"/>
    <x v="12"/>
  </r>
  <r>
    <x v="1"/>
    <x v="62"/>
    <x v="1606"/>
    <x v="233"/>
    <x v="224"/>
    <x v="15"/>
    <x v="5"/>
    <x v="2"/>
  </r>
  <r>
    <x v="1"/>
    <x v="62"/>
    <x v="1607"/>
    <x v="216"/>
    <x v="211"/>
    <x v="15"/>
    <x v="5"/>
    <x v="2"/>
  </r>
  <r>
    <x v="1"/>
    <x v="62"/>
    <x v="1608"/>
    <x v="216"/>
    <x v="211"/>
    <x v="15"/>
    <x v="5"/>
    <x v="2"/>
  </r>
  <r>
    <x v="1"/>
    <x v="62"/>
    <x v="1609"/>
    <x v="192"/>
    <x v="187"/>
    <x v="4"/>
    <x v="4"/>
    <x v="7"/>
  </r>
  <r>
    <x v="1"/>
    <x v="62"/>
    <x v="1610"/>
    <x v="24"/>
    <x v="24"/>
    <x v="12"/>
    <x v="10"/>
    <x v="25"/>
  </r>
  <r>
    <x v="5"/>
    <x v="63"/>
    <x v="1611"/>
    <x v="135"/>
    <x v="131"/>
    <x v="16"/>
    <x v="1"/>
    <x v="7"/>
  </r>
  <r>
    <x v="0"/>
    <x v="63"/>
    <x v="1612"/>
    <x v="1"/>
    <x v="1"/>
    <x v="1"/>
    <x v="1"/>
    <x v="7"/>
  </r>
  <r>
    <x v="0"/>
    <x v="63"/>
    <x v="1613"/>
    <x v="1"/>
    <x v="1"/>
    <x v="1"/>
    <x v="1"/>
    <x v="7"/>
  </r>
  <r>
    <x v="5"/>
    <x v="63"/>
    <x v="1614"/>
    <x v="234"/>
    <x v="225"/>
    <x v="4"/>
    <x v="27"/>
    <x v="2"/>
  </r>
  <r>
    <x v="5"/>
    <x v="63"/>
    <x v="1615"/>
    <x v="234"/>
    <x v="225"/>
    <x v="4"/>
    <x v="27"/>
    <x v="2"/>
  </r>
  <r>
    <x v="3"/>
    <x v="63"/>
    <x v="1616"/>
    <x v="1"/>
    <x v="1"/>
    <x v="1"/>
    <x v="1"/>
    <x v="7"/>
  </r>
  <r>
    <x v="3"/>
    <x v="63"/>
    <x v="1617"/>
    <x v="1"/>
    <x v="1"/>
    <x v="1"/>
    <x v="1"/>
    <x v="7"/>
  </r>
  <r>
    <x v="3"/>
    <x v="63"/>
    <x v="1618"/>
    <x v="1"/>
    <x v="1"/>
    <x v="1"/>
    <x v="1"/>
    <x v="7"/>
  </r>
  <r>
    <x v="3"/>
    <x v="63"/>
    <x v="1619"/>
    <x v="203"/>
    <x v="198"/>
    <x v="10"/>
    <x v="34"/>
    <x v="56"/>
  </r>
  <r>
    <x v="4"/>
    <x v="63"/>
    <x v="1620"/>
    <x v="1"/>
    <x v="1"/>
    <x v="1"/>
    <x v="1"/>
    <x v="7"/>
  </r>
  <r>
    <x v="4"/>
    <x v="63"/>
    <x v="1621"/>
    <x v="1"/>
    <x v="1"/>
    <x v="1"/>
    <x v="1"/>
    <x v="7"/>
  </r>
  <r>
    <x v="2"/>
    <x v="63"/>
    <x v="1622"/>
    <x v="107"/>
    <x v="104"/>
    <x v="13"/>
    <x v="15"/>
    <x v="2"/>
  </r>
  <r>
    <x v="5"/>
    <x v="64"/>
    <x v="1623"/>
    <x v="39"/>
    <x v="39"/>
    <x v="10"/>
    <x v="10"/>
    <x v="2"/>
  </r>
  <r>
    <x v="0"/>
    <x v="64"/>
    <x v="1624"/>
    <x v="13"/>
    <x v="13"/>
    <x v="13"/>
    <x v="23"/>
    <x v="7"/>
  </r>
  <r>
    <x v="0"/>
    <x v="65"/>
    <x v="1625"/>
    <x v="24"/>
    <x v="24"/>
    <x v="12"/>
    <x v="10"/>
    <x v="2"/>
  </r>
  <r>
    <x v="0"/>
    <x v="64"/>
    <x v="1626"/>
    <x v="39"/>
    <x v="39"/>
    <x v="10"/>
    <x v="10"/>
    <x v="2"/>
  </r>
  <r>
    <x v="3"/>
    <x v="64"/>
    <x v="1627"/>
    <x v="59"/>
    <x v="59"/>
    <x v="15"/>
    <x v="23"/>
    <x v="7"/>
  </r>
  <r>
    <x v="3"/>
    <x v="64"/>
    <x v="1628"/>
    <x v="59"/>
    <x v="59"/>
    <x v="15"/>
    <x v="23"/>
    <x v="7"/>
  </r>
  <r>
    <x v="3"/>
    <x v="64"/>
    <x v="1629"/>
    <x v="235"/>
    <x v="226"/>
    <x v="10"/>
    <x v="34"/>
    <x v="56"/>
  </r>
  <r>
    <x v="5"/>
    <x v="64"/>
    <x v="1630"/>
    <x v="184"/>
    <x v="179"/>
    <x v="15"/>
    <x v="23"/>
    <x v="7"/>
  </r>
  <r>
    <x v="5"/>
    <x v="64"/>
    <x v="1631"/>
    <x v="6"/>
    <x v="6"/>
    <x v="13"/>
    <x v="1"/>
    <x v="23"/>
  </r>
  <r>
    <x v="3"/>
    <x v="64"/>
    <x v="1632"/>
    <x v="12"/>
    <x v="12"/>
    <x v="13"/>
    <x v="23"/>
    <x v="7"/>
  </r>
  <r>
    <x v="3"/>
    <x v="64"/>
    <x v="1633"/>
    <x v="6"/>
    <x v="6"/>
    <x v="13"/>
    <x v="1"/>
    <x v="7"/>
  </r>
  <r>
    <x v="3"/>
    <x v="64"/>
    <x v="1422"/>
    <x v="11"/>
    <x v="11"/>
    <x v="15"/>
    <x v="23"/>
    <x v="23"/>
  </r>
  <r>
    <x v="5"/>
    <x v="64"/>
    <x v="1634"/>
    <x v="6"/>
    <x v="6"/>
    <x v="13"/>
    <x v="1"/>
    <x v="23"/>
  </r>
  <r>
    <x v="5"/>
    <x v="64"/>
    <x v="1635"/>
    <x v="6"/>
    <x v="6"/>
    <x v="13"/>
    <x v="1"/>
    <x v="23"/>
  </r>
  <r>
    <x v="5"/>
    <x v="64"/>
    <x v="1636"/>
    <x v="236"/>
    <x v="227"/>
    <x v="20"/>
    <x v="22"/>
    <x v="58"/>
  </r>
  <r>
    <x v="2"/>
    <x v="64"/>
    <x v="1637"/>
    <x v="184"/>
    <x v="179"/>
    <x v="4"/>
    <x v="23"/>
    <x v="7"/>
  </r>
  <r>
    <x v="2"/>
    <x v="64"/>
    <x v="1638"/>
    <x v="101"/>
    <x v="99"/>
    <x v="0"/>
    <x v="15"/>
    <x v="7"/>
  </r>
  <r>
    <x v="2"/>
    <x v="64"/>
    <x v="1639"/>
    <x v="6"/>
    <x v="6"/>
    <x v="13"/>
    <x v="34"/>
    <x v="7"/>
  </r>
  <r>
    <x v="0"/>
    <x v="64"/>
    <x v="1640"/>
    <x v="29"/>
    <x v="29"/>
    <x v="15"/>
    <x v="5"/>
    <x v="59"/>
  </r>
  <r>
    <x v="0"/>
    <x v="64"/>
    <x v="1641"/>
    <x v="237"/>
    <x v="228"/>
    <x v="16"/>
    <x v="3"/>
    <x v="23"/>
  </r>
  <r>
    <x v="0"/>
    <x v="64"/>
    <x v="1642"/>
    <x v="6"/>
    <x v="6"/>
    <x v="13"/>
    <x v="10"/>
    <x v="2"/>
  </r>
  <r>
    <x v="4"/>
    <x v="64"/>
    <x v="1643"/>
    <x v="101"/>
    <x v="99"/>
    <x v="0"/>
    <x v="15"/>
    <x v="2"/>
  </r>
  <r>
    <x v="4"/>
    <x v="64"/>
    <x v="1644"/>
    <x v="6"/>
    <x v="6"/>
    <x v="13"/>
    <x v="15"/>
    <x v="7"/>
  </r>
  <r>
    <x v="4"/>
    <x v="64"/>
    <x v="1645"/>
    <x v="151"/>
    <x v="147"/>
    <x v="13"/>
    <x v="21"/>
    <x v="2"/>
  </r>
  <r>
    <x v="1"/>
    <x v="64"/>
    <x v="1646"/>
    <x v="24"/>
    <x v="24"/>
    <x v="12"/>
    <x v="10"/>
    <x v="2"/>
  </r>
  <r>
    <x v="1"/>
    <x v="64"/>
    <x v="1647"/>
    <x v="238"/>
    <x v="229"/>
    <x v="17"/>
    <x v="22"/>
    <x v="7"/>
  </r>
  <r>
    <x v="1"/>
    <x v="64"/>
    <x v="1648"/>
    <x v="238"/>
    <x v="229"/>
    <x v="17"/>
    <x v="22"/>
    <x v="7"/>
  </r>
  <r>
    <x v="1"/>
    <x v="64"/>
    <x v="1441"/>
    <x v="11"/>
    <x v="11"/>
    <x v="15"/>
    <x v="6"/>
    <x v="2"/>
  </r>
  <r>
    <x v="1"/>
    <x v="64"/>
    <x v="1649"/>
    <x v="12"/>
    <x v="12"/>
    <x v="13"/>
    <x v="10"/>
    <x v="7"/>
  </r>
  <r>
    <x v="1"/>
    <x v="64"/>
    <x v="1650"/>
    <x v="6"/>
    <x v="6"/>
    <x v="13"/>
    <x v="15"/>
    <x v="7"/>
  </r>
  <r>
    <x v="0"/>
    <x v="64"/>
    <x v="1403"/>
    <x v="11"/>
    <x v="11"/>
    <x v="15"/>
    <x v="23"/>
    <x v="7"/>
  </r>
  <r>
    <x v="4"/>
    <x v="64"/>
    <x v="1651"/>
    <x v="59"/>
    <x v="59"/>
    <x v="15"/>
    <x v="8"/>
    <x v="7"/>
  </r>
  <r>
    <x v="4"/>
    <x v="64"/>
    <x v="1652"/>
    <x v="39"/>
    <x v="39"/>
    <x v="10"/>
    <x v="10"/>
    <x v="2"/>
  </r>
  <r>
    <x v="5"/>
    <x v="64"/>
    <x v="1653"/>
    <x v="89"/>
    <x v="89"/>
    <x v="0"/>
    <x v="5"/>
    <x v="2"/>
  </r>
  <r>
    <x v="5"/>
    <x v="64"/>
    <x v="1654"/>
    <x v="89"/>
    <x v="89"/>
    <x v="0"/>
    <x v="5"/>
    <x v="2"/>
  </r>
  <r>
    <x v="5"/>
    <x v="64"/>
    <x v="1655"/>
    <x v="89"/>
    <x v="89"/>
    <x v="0"/>
    <x v="5"/>
    <x v="2"/>
  </r>
  <r>
    <x v="1"/>
    <x v="64"/>
    <x v="1656"/>
    <x v="6"/>
    <x v="6"/>
    <x v="16"/>
    <x v="11"/>
    <x v="2"/>
  </r>
  <r>
    <x v="1"/>
    <x v="64"/>
    <x v="1657"/>
    <x v="6"/>
    <x v="6"/>
    <x v="13"/>
    <x v="11"/>
    <x v="2"/>
  </r>
  <r>
    <x v="1"/>
    <x v="64"/>
    <x v="1658"/>
    <x v="6"/>
    <x v="6"/>
    <x v="13"/>
    <x v="11"/>
    <x v="2"/>
  </r>
  <r>
    <x v="5"/>
    <x v="66"/>
    <x v="1659"/>
    <x v="24"/>
    <x v="24"/>
    <x v="12"/>
    <x v="10"/>
    <x v="2"/>
  </r>
  <r>
    <x v="5"/>
    <x v="66"/>
    <x v="1256"/>
    <x v="208"/>
    <x v="203"/>
    <x v="17"/>
    <x v="16"/>
    <x v="60"/>
  </r>
  <r>
    <x v="0"/>
    <x v="66"/>
    <x v="1641"/>
    <x v="237"/>
    <x v="228"/>
    <x v="16"/>
    <x v="26"/>
    <x v="7"/>
  </r>
  <r>
    <x v="4"/>
    <x v="66"/>
    <x v="1660"/>
    <x v="239"/>
    <x v="230"/>
    <x v="13"/>
    <x v="15"/>
    <x v="7"/>
  </r>
  <r>
    <x v="5"/>
    <x v="66"/>
    <x v="1661"/>
    <x v="237"/>
    <x v="228"/>
    <x v="16"/>
    <x v="26"/>
    <x v="7"/>
  </r>
  <r>
    <x v="5"/>
    <x v="66"/>
    <x v="1662"/>
    <x v="1"/>
    <x v="1"/>
    <x v="13"/>
    <x v="1"/>
    <x v="7"/>
  </r>
  <r>
    <x v="5"/>
    <x v="66"/>
    <x v="1663"/>
    <x v="42"/>
    <x v="42"/>
    <x v="13"/>
    <x v="21"/>
    <x v="2"/>
  </r>
  <r>
    <x v="5"/>
    <x v="66"/>
    <x v="1664"/>
    <x v="184"/>
    <x v="179"/>
    <x v="4"/>
    <x v="22"/>
    <x v="7"/>
  </r>
  <r>
    <x v="2"/>
    <x v="66"/>
    <x v="1665"/>
    <x v="1"/>
    <x v="1"/>
    <x v="1"/>
    <x v="1"/>
    <x v="4"/>
  </r>
  <r>
    <x v="2"/>
    <x v="66"/>
    <x v="1666"/>
    <x v="26"/>
    <x v="26"/>
    <x v="16"/>
    <x v="35"/>
    <x v="4"/>
  </r>
  <r>
    <x v="3"/>
    <x v="66"/>
    <x v="1667"/>
    <x v="184"/>
    <x v="179"/>
    <x v="6"/>
    <x v="23"/>
    <x v="25"/>
  </r>
  <r>
    <x v="2"/>
    <x v="66"/>
    <x v="1668"/>
    <x v="1"/>
    <x v="1"/>
    <x v="1"/>
    <x v="1"/>
    <x v="25"/>
  </r>
  <r>
    <x v="0"/>
    <x v="66"/>
    <x v="1669"/>
    <x v="184"/>
    <x v="179"/>
    <x v="4"/>
    <x v="23"/>
    <x v="32"/>
  </r>
  <r>
    <x v="2"/>
    <x v="66"/>
    <x v="1670"/>
    <x v="36"/>
    <x v="36"/>
    <x v="6"/>
    <x v="1"/>
    <x v="7"/>
  </r>
  <r>
    <x v="2"/>
    <x v="66"/>
    <x v="1671"/>
    <x v="135"/>
    <x v="131"/>
    <x v="8"/>
    <x v="15"/>
    <x v="7"/>
  </r>
  <r>
    <x v="2"/>
    <x v="66"/>
    <x v="1672"/>
    <x v="240"/>
    <x v="162"/>
    <x v="5"/>
    <x v="10"/>
    <x v="7"/>
  </r>
  <r>
    <x v="2"/>
    <x v="66"/>
    <x v="1673"/>
    <x v="184"/>
    <x v="179"/>
    <x v="4"/>
    <x v="8"/>
    <x v="25"/>
  </r>
  <r>
    <x v="3"/>
    <x v="66"/>
    <x v="1674"/>
    <x v="118"/>
    <x v="162"/>
    <x v="1"/>
    <x v="11"/>
    <x v="2"/>
  </r>
  <r>
    <x v="1"/>
    <x v="66"/>
    <x v="1675"/>
    <x v="1"/>
    <x v="1"/>
    <x v="1"/>
    <x v="1"/>
    <x v="7"/>
  </r>
  <r>
    <x v="1"/>
    <x v="66"/>
    <x v="1676"/>
    <x v="1"/>
    <x v="1"/>
    <x v="1"/>
    <x v="1"/>
    <x v="7"/>
  </r>
  <r>
    <x v="1"/>
    <x v="66"/>
    <x v="1677"/>
    <x v="118"/>
    <x v="162"/>
    <x v="1"/>
    <x v="2"/>
    <x v="61"/>
  </r>
  <r>
    <x v="1"/>
    <x v="66"/>
    <x v="1678"/>
    <x v="74"/>
    <x v="74"/>
    <x v="8"/>
    <x v="4"/>
    <x v="10"/>
  </r>
  <r>
    <x v="1"/>
    <x v="66"/>
    <x v="1679"/>
    <x v="6"/>
    <x v="6"/>
    <x v="13"/>
    <x v="4"/>
    <x v="7"/>
  </r>
  <r>
    <x v="1"/>
    <x v="66"/>
    <x v="1658"/>
    <x v="6"/>
    <x v="6"/>
    <x v="13"/>
    <x v="4"/>
    <x v="7"/>
  </r>
  <r>
    <x v="3"/>
    <x v="66"/>
    <x v="1680"/>
    <x v="39"/>
    <x v="39"/>
    <x v="10"/>
    <x v="10"/>
    <x v="2"/>
  </r>
  <r>
    <x v="0"/>
    <x v="66"/>
    <x v="1681"/>
    <x v="177"/>
    <x v="162"/>
    <x v="6"/>
    <x v="3"/>
    <x v="2"/>
  </r>
  <r>
    <x v="0"/>
    <x v="66"/>
    <x v="1682"/>
    <x v="14"/>
    <x v="14"/>
    <x v="1"/>
    <x v="21"/>
    <x v="25"/>
  </r>
  <r>
    <x v="2"/>
    <x v="66"/>
    <x v="1683"/>
    <x v="177"/>
    <x v="162"/>
    <x v="6"/>
    <x v="3"/>
    <x v="25"/>
  </r>
  <r>
    <x v="4"/>
    <x v="66"/>
    <x v="1684"/>
    <x v="177"/>
    <x v="162"/>
    <x v="6"/>
    <x v="3"/>
    <x v="2"/>
  </r>
  <r>
    <x v="5"/>
    <x v="66"/>
    <x v="1685"/>
    <x v="177"/>
    <x v="162"/>
    <x v="6"/>
    <x v="3"/>
    <x v="2"/>
  </r>
  <r>
    <x v="1"/>
    <x v="66"/>
    <x v="1686"/>
    <x v="39"/>
    <x v="39"/>
    <x v="10"/>
    <x v="11"/>
    <x v="2"/>
  </r>
  <r>
    <x v="3"/>
    <x v="66"/>
    <x v="1687"/>
    <x v="32"/>
    <x v="32"/>
    <x v="10"/>
    <x v="8"/>
    <x v="2"/>
  </r>
  <r>
    <x v="3"/>
    <x v="66"/>
    <x v="1688"/>
    <x v="25"/>
    <x v="25"/>
    <x v="6"/>
    <x v="11"/>
    <x v="2"/>
  </r>
  <r>
    <x v="3"/>
    <x v="66"/>
    <x v="1689"/>
    <x v="25"/>
    <x v="25"/>
    <x v="6"/>
    <x v="11"/>
    <x v="2"/>
  </r>
  <r>
    <x v="4"/>
    <x v="66"/>
    <x v="1690"/>
    <x v="14"/>
    <x v="14"/>
    <x v="1"/>
    <x v="21"/>
    <x v="2"/>
  </r>
  <r>
    <x v="0"/>
    <x v="67"/>
    <x v="1691"/>
    <x v="13"/>
    <x v="13"/>
    <x v="13"/>
    <x v="11"/>
    <x v="2"/>
  </r>
  <r>
    <x v="3"/>
    <x v="67"/>
    <x v="1692"/>
    <x v="8"/>
    <x v="8"/>
    <x v="13"/>
    <x v="4"/>
    <x v="18"/>
  </r>
  <r>
    <x v="3"/>
    <x v="67"/>
    <x v="1693"/>
    <x v="8"/>
    <x v="8"/>
    <x v="13"/>
    <x v="4"/>
    <x v="18"/>
  </r>
  <r>
    <x v="3"/>
    <x v="67"/>
    <x v="1694"/>
    <x v="8"/>
    <x v="8"/>
    <x v="13"/>
    <x v="4"/>
    <x v="18"/>
  </r>
  <r>
    <x v="3"/>
    <x v="67"/>
    <x v="1695"/>
    <x v="8"/>
    <x v="8"/>
    <x v="13"/>
    <x v="4"/>
    <x v="18"/>
  </r>
  <r>
    <x v="3"/>
    <x v="67"/>
    <x v="1696"/>
    <x v="8"/>
    <x v="8"/>
    <x v="13"/>
    <x v="4"/>
    <x v="18"/>
  </r>
  <r>
    <x v="3"/>
    <x v="67"/>
    <x v="1697"/>
    <x v="8"/>
    <x v="8"/>
    <x v="13"/>
    <x v="4"/>
    <x v="18"/>
  </r>
  <r>
    <x v="3"/>
    <x v="67"/>
    <x v="1698"/>
    <x v="8"/>
    <x v="8"/>
    <x v="13"/>
    <x v="4"/>
    <x v="18"/>
  </r>
  <r>
    <x v="3"/>
    <x v="67"/>
    <x v="1699"/>
    <x v="8"/>
    <x v="8"/>
    <x v="13"/>
    <x v="4"/>
    <x v="18"/>
  </r>
  <r>
    <x v="3"/>
    <x v="67"/>
    <x v="1700"/>
    <x v="8"/>
    <x v="8"/>
    <x v="13"/>
    <x v="4"/>
    <x v="18"/>
  </r>
  <r>
    <x v="3"/>
    <x v="67"/>
    <x v="1701"/>
    <x v="8"/>
    <x v="8"/>
    <x v="13"/>
    <x v="4"/>
    <x v="18"/>
  </r>
  <r>
    <x v="3"/>
    <x v="67"/>
    <x v="1702"/>
    <x v="8"/>
    <x v="8"/>
    <x v="13"/>
    <x v="4"/>
    <x v="18"/>
  </r>
  <r>
    <x v="3"/>
    <x v="67"/>
    <x v="1703"/>
    <x v="8"/>
    <x v="8"/>
    <x v="13"/>
    <x v="4"/>
    <x v="18"/>
  </r>
  <r>
    <x v="3"/>
    <x v="67"/>
    <x v="1704"/>
    <x v="8"/>
    <x v="8"/>
    <x v="13"/>
    <x v="4"/>
    <x v="18"/>
  </r>
  <r>
    <x v="3"/>
    <x v="67"/>
    <x v="1705"/>
    <x v="8"/>
    <x v="8"/>
    <x v="13"/>
    <x v="4"/>
    <x v="18"/>
  </r>
  <r>
    <x v="3"/>
    <x v="67"/>
    <x v="1706"/>
    <x v="8"/>
    <x v="8"/>
    <x v="13"/>
    <x v="4"/>
    <x v="18"/>
  </r>
  <r>
    <x v="2"/>
    <x v="67"/>
    <x v="1707"/>
    <x v="57"/>
    <x v="57"/>
    <x v="0"/>
    <x v="26"/>
    <x v="25"/>
  </r>
  <r>
    <x v="5"/>
    <x v="67"/>
    <x v="1708"/>
    <x v="238"/>
    <x v="229"/>
    <x v="17"/>
    <x v="22"/>
    <x v="60"/>
  </r>
  <r>
    <x v="5"/>
    <x v="67"/>
    <x v="1501"/>
    <x v="165"/>
    <x v="160"/>
    <x v="4"/>
    <x v="3"/>
    <x v="2"/>
  </r>
  <r>
    <x v="5"/>
    <x v="67"/>
    <x v="1709"/>
    <x v="14"/>
    <x v="14"/>
    <x v="1"/>
    <x v="23"/>
    <x v="7"/>
  </r>
  <r>
    <x v="5"/>
    <x v="67"/>
    <x v="1710"/>
    <x v="114"/>
    <x v="111"/>
    <x v="13"/>
    <x v="8"/>
    <x v="7"/>
  </r>
  <r>
    <x v="5"/>
    <x v="67"/>
    <x v="1711"/>
    <x v="36"/>
    <x v="36"/>
    <x v="6"/>
    <x v="22"/>
    <x v="4"/>
  </r>
  <r>
    <x v="0"/>
    <x v="67"/>
    <x v="1712"/>
    <x v="114"/>
    <x v="111"/>
    <x v="13"/>
    <x v="8"/>
    <x v="7"/>
  </r>
  <r>
    <x v="0"/>
    <x v="67"/>
    <x v="1713"/>
    <x v="241"/>
    <x v="231"/>
    <x v="17"/>
    <x v="11"/>
    <x v="2"/>
  </r>
  <r>
    <x v="0"/>
    <x v="67"/>
    <x v="1714"/>
    <x v="18"/>
    <x v="18"/>
    <x v="15"/>
    <x v="11"/>
    <x v="2"/>
  </r>
  <r>
    <x v="0"/>
    <x v="67"/>
    <x v="1715"/>
    <x v="18"/>
    <x v="18"/>
    <x v="15"/>
    <x v="11"/>
    <x v="2"/>
  </r>
  <r>
    <x v="0"/>
    <x v="67"/>
    <x v="1716"/>
    <x v="18"/>
    <x v="18"/>
    <x v="15"/>
    <x v="11"/>
    <x v="2"/>
  </r>
  <r>
    <x v="1"/>
    <x v="67"/>
    <x v="1717"/>
    <x v="114"/>
    <x v="111"/>
    <x v="13"/>
    <x v="8"/>
    <x v="53"/>
  </r>
  <r>
    <x v="1"/>
    <x v="67"/>
    <x v="1718"/>
    <x v="60"/>
    <x v="60"/>
    <x v="4"/>
    <x v="23"/>
    <x v="7"/>
  </r>
  <r>
    <x v="1"/>
    <x v="67"/>
    <x v="1719"/>
    <x v="14"/>
    <x v="14"/>
    <x v="1"/>
    <x v="22"/>
    <x v="7"/>
  </r>
  <r>
    <x v="1"/>
    <x v="67"/>
    <x v="1720"/>
    <x v="241"/>
    <x v="231"/>
    <x v="17"/>
    <x v="5"/>
    <x v="2"/>
  </r>
  <r>
    <x v="1"/>
    <x v="67"/>
    <x v="1721"/>
    <x v="39"/>
    <x v="39"/>
    <x v="10"/>
    <x v="10"/>
    <x v="2"/>
  </r>
  <r>
    <x v="4"/>
    <x v="67"/>
    <x v="1722"/>
    <x v="181"/>
    <x v="176"/>
    <x v="10"/>
    <x v="10"/>
    <x v="2"/>
  </r>
  <r>
    <x v="4"/>
    <x v="67"/>
    <x v="1723"/>
    <x v="18"/>
    <x v="18"/>
    <x v="8"/>
    <x v="1"/>
    <x v="7"/>
  </r>
  <r>
    <x v="4"/>
    <x v="67"/>
    <x v="1724"/>
    <x v="46"/>
    <x v="47"/>
    <x v="4"/>
    <x v="23"/>
    <x v="62"/>
  </r>
  <r>
    <x v="4"/>
    <x v="67"/>
    <x v="1725"/>
    <x v="145"/>
    <x v="141"/>
    <x v="0"/>
    <x v="21"/>
    <x v="2"/>
  </r>
  <r>
    <x v="4"/>
    <x v="67"/>
    <x v="1726"/>
    <x v="114"/>
    <x v="111"/>
    <x v="13"/>
    <x v="8"/>
    <x v="7"/>
  </r>
  <r>
    <x v="5"/>
    <x v="68"/>
    <x v="1727"/>
    <x v="18"/>
    <x v="18"/>
    <x v="8"/>
    <x v="15"/>
    <x v="43"/>
  </r>
  <r>
    <x v="2"/>
    <x v="68"/>
    <x v="1728"/>
    <x v="24"/>
    <x v="24"/>
    <x v="12"/>
    <x v="10"/>
    <x v="14"/>
  </r>
  <r>
    <x v="5"/>
    <x v="68"/>
    <x v="1729"/>
    <x v="24"/>
    <x v="24"/>
    <x v="12"/>
    <x v="10"/>
    <x v="14"/>
  </r>
  <r>
    <x v="5"/>
    <x v="68"/>
    <x v="1730"/>
    <x v="222"/>
    <x v="162"/>
    <x v="5"/>
    <x v="10"/>
    <x v="25"/>
  </r>
  <r>
    <x v="6"/>
    <x v="68"/>
    <x v="1731"/>
    <x v="200"/>
    <x v="195"/>
    <x v="5"/>
    <x v="28"/>
    <x v="25"/>
  </r>
  <r>
    <x v="0"/>
    <x v="68"/>
    <x v="1732"/>
    <x v="7"/>
    <x v="7"/>
    <x v="12"/>
    <x v="10"/>
    <x v="25"/>
  </r>
  <r>
    <x v="0"/>
    <x v="69"/>
    <x v="1733"/>
    <x v="39"/>
    <x v="39"/>
    <x v="10"/>
    <x v="6"/>
    <x v="2"/>
  </r>
  <r>
    <x v="5"/>
    <x v="69"/>
    <x v="1734"/>
    <x v="93"/>
    <x v="93"/>
    <x v="0"/>
    <x v="25"/>
    <x v="63"/>
  </r>
  <r>
    <x v="5"/>
    <x v="69"/>
    <x v="1735"/>
    <x v="93"/>
    <x v="93"/>
    <x v="0"/>
    <x v="25"/>
    <x v="63"/>
  </r>
  <r>
    <x v="3"/>
    <x v="69"/>
    <x v="1736"/>
    <x v="242"/>
    <x v="232"/>
    <x v="4"/>
    <x v="31"/>
    <x v="63"/>
  </r>
  <r>
    <x v="3"/>
    <x v="69"/>
    <x v="1737"/>
    <x v="242"/>
    <x v="232"/>
    <x v="4"/>
    <x v="31"/>
    <x v="63"/>
  </r>
  <r>
    <x v="3"/>
    <x v="69"/>
    <x v="1738"/>
    <x v="242"/>
    <x v="232"/>
    <x v="4"/>
    <x v="31"/>
    <x v="63"/>
  </r>
  <r>
    <x v="2"/>
    <x v="69"/>
    <x v="1739"/>
    <x v="136"/>
    <x v="132"/>
    <x v="4"/>
    <x v="36"/>
    <x v="2"/>
  </r>
  <r>
    <x v="3"/>
    <x v="69"/>
    <x v="1740"/>
    <x v="242"/>
    <x v="232"/>
    <x v="4"/>
    <x v="31"/>
    <x v="31"/>
  </r>
  <r>
    <x v="3"/>
    <x v="69"/>
    <x v="1741"/>
    <x v="57"/>
    <x v="57"/>
    <x v="0"/>
    <x v="3"/>
    <x v="2"/>
  </r>
  <r>
    <x v="2"/>
    <x v="69"/>
    <x v="1742"/>
    <x v="65"/>
    <x v="65"/>
    <x v="8"/>
    <x v="4"/>
    <x v="31"/>
  </r>
  <r>
    <x v="2"/>
    <x v="69"/>
    <x v="1743"/>
    <x v="65"/>
    <x v="65"/>
    <x v="8"/>
    <x v="4"/>
    <x v="31"/>
  </r>
  <r>
    <x v="3"/>
    <x v="69"/>
    <x v="1744"/>
    <x v="125"/>
    <x v="122"/>
    <x v="13"/>
    <x v="1"/>
    <x v="7"/>
  </r>
  <r>
    <x v="3"/>
    <x v="69"/>
    <x v="1745"/>
    <x v="42"/>
    <x v="42"/>
    <x v="13"/>
    <x v="5"/>
    <x v="2"/>
  </r>
  <r>
    <x v="3"/>
    <x v="69"/>
    <x v="1746"/>
    <x v="42"/>
    <x v="42"/>
    <x v="13"/>
    <x v="5"/>
    <x v="2"/>
  </r>
  <r>
    <x v="3"/>
    <x v="69"/>
    <x v="1747"/>
    <x v="42"/>
    <x v="42"/>
    <x v="13"/>
    <x v="5"/>
    <x v="2"/>
  </r>
  <r>
    <x v="3"/>
    <x v="69"/>
    <x v="1748"/>
    <x v="42"/>
    <x v="42"/>
    <x v="13"/>
    <x v="5"/>
    <x v="2"/>
  </r>
  <r>
    <x v="3"/>
    <x v="69"/>
    <x v="1749"/>
    <x v="42"/>
    <x v="42"/>
    <x v="13"/>
    <x v="5"/>
    <x v="2"/>
  </r>
  <r>
    <x v="3"/>
    <x v="69"/>
    <x v="1750"/>
    <x v="42"/>
    <x v="42"/>
    <x v="13"/>
    <x v="5"/>
    <x v="2"/>
  </r>
  <r>
    <x v="2"/>
    <x v="69"/>
    <x v="1751"/>
    <x v="6"/>
    <x v="6"/>
    <x v="13"/>
    <x v="15"/>
    <x v="2"/>
  </r>
  <r>
    <x v="5"/>
    <x v="69"/>
    <x v="1752"/>
    <x v="63"/>
    <x v="63"/>
    <x v="16"/>
    <x v="23"/>
    <x v="7"/>
  </r>
  <r>
    <x v="4"/>
    <x v="69"/>
    <x v="1753"/>
    <x v="93"/>
    <x v="93"/>
    <x v="15"/>
    <x v="22"/>
    <x v="7"/>
  </r>
  <r>
    <x v="0"/>
    <x v="69"/>
    <x v="1754"/>
    <x v="65"/>
    <x v="65"/>
    <x v="8"/>
    <x v="4"/>
    <x v="4"/>
  </r>
  <r>
    <x v="4"/>
    <x v="69"/>
    <x v="1755"/>
    <x v="50"/>
    <x v="51"/>
    <x v="10"/>
    <x v="15"/>
    <x v="2"/>
  </r>
  <r>
    <x v="4"/>
    <x v="69"/>
    <x v="1756"/>
    <x v="243"/>
    <x v="162"/>
    <x v="10"/>
    <x v="15"/>
    <x v="2"/>
  </r>
  <r>
    <x v="4"/>
    <x v="69"/>
    <x v="1757"/>
    <x v="108"/>
    <x v="162"/>
    <x v="10"/>
    <x v="10"/>
    <x v="2"/>
  </r>
  <r>
    <x v="3"/>
    <x v="69"/>
    <x v="1758"/>
    <x v="6"/>
    <x v="6"/>
    <x v="13"/>
    <x v="22"/>
    <x v="7"/>
  </r>
  <r>
    <x v="5"/>
    <x v="70"/>
    <x v="1759"/>
    <x v="24"/>
    <x v="24"/>
    <x v="12"/>
    <x v="10"/>
    <x v="2"/>
  </r>
  <r>
    <x v="3"/>
    <x v="70"/>
    <x v="1760"/>
    <x v="73"/>
    <x v="73"/>
    <x v="15"/>
    <x v="4"/>
    <x v="10"/>
  </r>
  <r>
    <x v="3"/>
    <x v="70"/>
    <x v="1761"/>
    <x v="73"/>
    <x v="73"/>
    <x v="15"/>
    <x v="4"/>
    <x v="10"/>
  </r>
  <r>
    <x v="3"/>
    <x v="70"/>
    <x v="1762"/>
    <x v="73"/>
    <x v="73"/>
    <x v="15"/>
    <x v="4"/>
    <x v="10"/>
  </r>
  <r>
    <x v="3"/>
    <x v="70"/>
    <x v="1763"/>
    <x v="73"/>
    <x v="73"/>
    <x v="15"/>
    <x v="4"/>
    <x v="10"/>
  </r>
  <r>
    <x v="3"/>
    <x v="70"/>
    <x v="1764"/>
    <x v="114"/>
    <x v="111"/>
    <x v="16"/>
    <x v="8"/>
    <x v="6"/>
  </r>
  <r>
    <x v="3"/>
    <x v="70"/>
    <x v="1750"/>
    <x v="42"/>
    <x v="42"/>
    <x v="13"/>
    <x v="3"/>
    <x v="2"/>
  </r>
  <r>
    <x v="5"/>
    <x v="70"/>
    <x v="1765"/>
    <x v="73"/>
    <x v="73"/>
    <x v="15"/>
    <x v="4"/>
    <x v="7"/>
  </r>
  <r>
    <x v="5"/>
    <x v="70"/>
    <x v="1766"/>
    <x v="73"/>
    <x v="73"/>
    <x v="15"/>
    <x v="4"/>
    <x v="7"/>
  </r>
  <r>
    <x v="5"/>
    <x v="70"/>
    <x v="1767"/>
    <x v="73"/>
    <x v="73"/>
    <x v="15"/>
    <x v="4"/>
    <x v="23"/>
  </r>
  <r>
    <x v="0"/>
    <x v="70"/>
    <x v="1768"/>
    <x v="98"/>
    <x v="97"/>
    <x v="13"/>
    <x v="26"/>
    <x v="7"/>
  </r>
  <r>
    <x v="4"/>
    <x v="70"/>
    <x v="1769"/>
    <x v="37"/>
    <x v="37"/>
    <x v="6"/>
    <x v="1"/>
    <x v="7"/>
  </r>
  <r>
    <x v="0"/>
    <x v="70"/>
    <x v="1770"/>
    <x v="159"/>
    <x v="154"/>
    <x v="17"/>
    <x v="1"/>
    <x v="23"/>
  </r>
  <r>
    <x v="5"/>
    <x v="70"/>
    <x v="1661"/>
    <x v="237"/>
    <x v="228"/>
    <x v="16"/>
    <x v="13"/>
    <x v="23"/>
  </r>
  <r>
    <x v="2"/>
    <x v="70"/>
    <x v="1771"/>
    <x v="98"/>
    <x v="97"/>
    <x v="13"/>
    <x v="26"/>
    <x v="7"/>
  </r>
  <r>
    <x v="2"/>
    <x v="70"/>
    <x v="1772"/>
    <x v="60"/>
    <x v="60"/>
    <x v="4"/>
    <x v="1"/>
    <x v="7"/>
  </r>
  <r>
    <x v="2"/>
    <x v="70"/>
    <x v="1773"/>
    <x v="60"/>
    <x v="60"/>
    <x v="4"/>
    <x v="23"/>
    <x v="7"/>
  </r>
  <r>
    <x v="0"/>
    <x v="70"/>
    <x v="1774"/>
    <x v="24"/>
    <x v="24"/>
    <x v="12"/>
    <x v="10"/>
    <x v="2"/>
  </r>
  <r>
    <x v="1"/>
    <x v="70"/>
    <x v="1775"/>
    <x v="78"/>
    <x v="78"/>
    <x v="15"/>
    <x v="35"/>
    <x v="59"/>
  </r>
  <r>
    <x v="3"/>
    <x v="70"/>
    <x v="1776"/>
    <x v="15"/>
    <x v="15"/>
    <x v="16"/>
    <x v="13"/>
    <x v="7"/>
  </r>
  <r>
    <x v="2"/>
    <x v="70"/>
    <x v="1771"/>
    <x v="98"/>
    <x v="97"/>
    <x v="8"/>
    <x v="26"/>
    <x v="7"/>
  </r>
  <r>
    <x v="2"/>
    <x v="70"/>
    <x v="1777"/>
    <x v="244"/>
    <x v="233"/>
    <x v="8"/>
    <x v="4"/>
    <x v="7"/>
  </r>
  <r>
    <x v="0"/>
    <x v="70"/>
    <x v="1778"/>
    <x v="237"/>
    <x v="228"/>
    <x v="16"/>
    <x v="26"/>
    <x v="7"/>
  </r>
  <r>
    <x v="4"/>
    <x v="70"/>
    <x v="1779"/>
    <x v="78"/>
    <x v="78"/>
    <x v="15"/>
    <x v="23"/>
    <x v="23"/>
  </r>
  <r>
    <x v="4"/>
    <x v="70"/>
    <x v="1780"/>
    <x v="62"/>
    <x v="62"/>
    <x v="10"/>
    <x v="10"/>
    <x v="2"/>
  </r>
  <r>
    <x v="4"/>
    <x v="70"/>
    <x v="1781"/>
    <x v="40"/>
    <x v="40"/>
    <x v="6"/>
    <x v="3"/>
    <x v="23"/>
  </r>
  <r>
    <x v="5"/>
    <x v="70"/>
    <x v="1782"/>
    <x v="245"/>
    <x v="162"/>
    <x v="10"/>
    <x v="10"/>
    <x v="2"/>
  </r>
  <r>
    <x v="0"/>
    <x v="70"/>
    <x v="1783"/>
    <x v="18"/>
    <x v="18"/>
    <x v="0"/>
    <x v="13"/>
    <x v="2"/>
  </r>
  <r>
    <x v="4"/>
    <x v="70"/>
    <x v="1784"/>
    <x v="180"/>
    <x v="175"/>
    <x v="0"/>
    <x v="3"/>
    <x v="8"/>
  </r>
  <r>
    <x v="0"/>
    <x v="71"/>
    <x v="1785"/>
    <x v="43"/>
    <x v="43"/>
    <x v="17"/>
    <x v="2"/>
    <x v="20"/>
  </r>
  <r>
    <x v="5"/>
    <x v="71"/>
    <x v="1786"/>
    <x v="43"/>
    <x v="43"/>
    <x v="17"/>
    <x v="2"/>
    <x v="20"/>
  </r>
  <r>
    <x v="3"/>
    <x v="71"/>
    <x v="1787"/>
    <x v="43"/>
    <x v="43"/>
    <x v="17"/>
    <x v="2"/>
    <x v="20"/>
  </r>
  <r>
    <x v="5"/>
    <x v="71"/>
    <x v="1788"/>
    <x v="203"/>
    <x v="198"/>
    <x v="10"/>
    <x v="10"/>
    <x v="2"/>
  </r>
  <r>
    <x v="3"/>
    <x v="71"/>
    <x v="1789"/>
    <x v="42"/>
    <x v="42"/>
    <x v="13"/>
    <x v="4"/>
    <x v="7"/>
  </r>
  <r>
    <x v="3"/>
    <x v="71"/>
    <x v="1750"/>
    <x v="42"/>
    <x v="42"/>
    <x v="13"/>
    <x v="4"/>
    <x v="7"/>
  </r>
  <r>
    <x v="3"/>
    <x v="71"/>
    <x v="1790"/>
    <x v="246"/>
    <x v="234"/>
    <x v="17"/>
    <x v="13"/>
    <x v="7"/>
  </r>
  <r>
    <x v="3"/>
    <x v="71"/>
    <x v="1791"/>
    <x v="247"/>
    <x v="235"/>
    <x v="10"/>
    <x v="34"/>
    <x v="56"/>
  </r>
  <r>
    <x v="3"/>
    <x v="71"/>
    <x v="1744"/>
    <x v="125"/>
    <x v="122"/>
    <x v="13"/>
    <x v="1"/>
    <x v="7"/>
  </r>
  <r>
    <x v="2"/>
    <x v="71"/>
    <x v="1792"/>
    <x v="102"/>
    <x v="100"/>
    <x v="4"/>
    <x v="31"/>
    <x v="31"/>
  </r>
  <r>
    <x v="4"/>
    <x v="71"/>
    <x v="1793"/>
    <x v="203"/>
    <x v="198"/>
    <x v="10"/>
    <x v="10"/>
    <x v="2"/>
  </r>
  <r>
    <x v="3"/>
    <x v="71"/>
    <x v="1794"/>
    <x v="151"/>
    <x v="147"/>
    <x v="13"/>
    <x v="21"/>
    <x v="53"/>
  </r>
  <r>
    <x v="3"/>
    <x v="71"/>
    <x v="1795"/>
    <x v="151"/>
    <x v="147"/>
    <x v="13"/>
    <x v="21"/>
    <x v="53"/>
  </r>
  <r>
    <x v="3"/>
    <x v="71"/>
    <x v="1796"/>
    <x v="203"/>
    <x v="198"/>
    <x v="10"/>
    <x v="10"/>
    <x v="2"/>
  </r>
  <r>
    <x v="2"/>
    <x v="71"/>
    <x v="1797"/>
    <x v="9"/>
    <x v="9"/>
    <x v="13"/>
    <x v="18"/>
    <x v="2"/>
  </r>
  <r>
    <x v="2"/>
    <x v="71"/>
    <x v="1798"/>
    <x v="203"/>
    <x v="198"/>
    <x v="10"/>
    <x v="10"/>
    <x v="2"/>
  </r>
  <r>
    <x v="0"/>
    <x v="71"/>
    <x v="1799"/>
    <x v="203"/>
    <x v="198"/>
    <x v="10"/>
    <x v="10"/>
    <x v="2"/>
  </r>
  <r>
    <x v="0"/>
    <x v="71"/>
    <x v="1800"/>
    <x v="203"/>
    <x v="198"/>
    <x v="10"/>
    <x v="10"/>
    <x v="2"/>
  </r>
  <r>
    <x v="4"/>
    <x v="71"/>
    <x v="1801"/>
    <x v="160"/>
    <x v="162"/>
    <x v="15"/>
    <x v="11"/>
    <x v="2"/>
  </r>
  <r>
    <x v="2"/>
    <x v="71"/>
    <x v="1802"/>
    <x v="47"/>
    <x v="48"/>
    <x v="1"/>
    <x v="11"/>
    <x v="2"/>
  </r>
  <r>
    <x v="0"/>
    <x v="72"/>
    <x v="1803"/>
    <x v="219"/>
    <x v="214"/>
    <x v="17"/>
    <x v="23"/>
    <x v="7"/>
  </r>
  <r>
    <x v="5"/>
    <x v="72"/>
    <x v="1804"/>
    <x v="219"/>
    <x v="214"/>
    <x v="17"/>
    <x v="23"/>
    <x v="7"/>
  </r>
  <r>
    <x v="3"/>
    <x v="72"/>
    <x v="1805"/>
    <x v="219"/>
    <x v="214"/>
    <x v="17"/>
    <x v="23"/>
    <x v="52"/>
  </r>
  <r>
    <x v="3"/>
    <x v="72"/>
    <x v="1806"/>
    <x v="1"/>
    <x v="1"/>
    <x v="1"/>
    <x v="1"/>
    <x v="7"/>
  </r>
  <r>
    <x v="3"/>
    <x v="72"/>
    <x v="1807"/>
    <x v="1"/>
    <x v="1"/>
    <x v="1"/>
    <x v="1"/>
    <x v="7"/>
  </r>
  <r>
    <x v="3"/>
    <x v="72"/>
    <x v="1808"/>
    <x v="248"/>
    <x v="236"/>
    <x v="10"/>
    <x v="10"/>
    <x v="16"/>
  </r>
  <r>
    <x v="3"/>
    <x v="72"/>
    <x v="1809"/>
    <x v="210"/>
    <x v="205"/>
    <x v="16"/>
    <x v="15"/>
    <x v="56"/>
  </r>
  <r>
    <x v="3"/>
    <x v="72"/>
    <x v="1810"/>
    <x v="98"/>
    <x v="97"/>
    <x v="15"/>
    <x v="3"/>
    <x v="2"/>
  </r>
  <r>
    <x v="3"/>
    <x v="72"/>
    <x v="1811"/>
    <x v="1"/>
    <x v="1"/>
    <x v="1"/>
    <x v="13"/>
    <x v="2"/>
  </r>
  <r>
    <x v="5"/>
    <x v="72"/>
    <x v="1812"/>
    <x v="1"/>
    <x v="1"/>
    <x v="1"/>
    <x v="1"/>
    <x v="7"/>
  </r>
  <r>
    <x v="5"/>
    <x v="72"/>
    <x v="1813"/>
    <x v="1"/>
    <x v="1"/>
    <x v="1"/>
    <x v="1"/>
    <x v="7"/>
  </r>
  <r>
    <x v="5"/>
    <x v="72"/>
    <x v="1814"/>
    <x v="219"/>
    <x v="214"/>
    <x v="17"/>
    <x v="1"/>
    <x v="7"/>
  </r>
  <r>
    <x v="5"/>
    <x v="72"/>
    <x v="1804"/>
    <x v="219"/>
    <x v="214"/>
    <x v="17"/>
    <x v="22"/>
    <x v="7"/>
  </r>
  <r>
    <x v="2"/>
    <x v="72"/>
    <x v="1815"/>
    <x v="1"/>
    <x v="1"/>
    <x v="1"/>
    <x v="23"/>
    <x v="25"/>
  </r>
  <r>
    <x v="2"/>
    <x v="72"/>
    <x v="1816"/>
    <x v="1"/>
    <x v="1"/>
    <x v="1"/>
    <x v="1"/>
    <x v="25"/>
  </r>
  <r>
    <x v="0"/>
    <x v="72"/>
    <x v="1817"/>
    <x v="52"/>
    <x v="20"/>
    <x v="15"/>
    <x v="8"/>
    <x v="7"/>
  </r>
  <r>
    <x v="0"/>
    <x v="72"/>
    <x v="1818"/>
    <x v="3"/>
    <x v="3"/>
    <x v="4"/>
    <x v="23"/>
    <x v="31"/>
  </r>
  <r>
    <x v="2"/>
    <x v="72"/>
    <x v="1819"/>
    <x v="1"/>
    <x v="1"/>
    <x v="1"/>
    <x v="8"/>
    <x v="25"/>
  </r>
  <r>
    <x v="2"/>
    <x v="72"/>
    <x v="1820"/>
    <x v="219"/>
    <x v="214"/>
    <x v="17"/>
    <x v="23"/>
    <x v="7"/>
  </r>
  <r>
    <x v="2"/>
    <x v="72"/>
    <x v="1821"/>
    <x v="98"/>
    <x v="97"/>
    <x v="4"/>
    <x v="23"/>
    <x v="7"/>
  </r>
  <r>
    <x v="2"/>
    <x v="72"/>
    <x v="1822"/>
    <x v="249"/>
    <x v="237"/>
    <x v="0"/>
    <x v="10"/>
    <x v="7"/>
  </r>
  <r>
    <x v="2"/>
    <x v="72"/>
    <x v="1823"/>
    <x v="250"/>
    <x v="238"/>
    <x v="20"/>
    <x v="3"/>
    <x v="2"/>
  </r>
  <r>
    <x v="5"/>
    <x v="72"/>
    <x v="1824"/>
    <x v="1"/>
    <x v="1"/>
    <x v="1"/>
    <x v="3"/>
    <x v="2"/>
  </r>
  <r>
    <x v="5"/>
    <x v="72"/>
    <x v="1825"/>
    <x v="1"/>
    <x v="1"/>
    <x v="1"/>
    <x v="13"/>
    <x v="2"/>
  </r>
  <r>
    <x v="4"/>
    <x v="72"/>
    <x v="1826"/>
    <x v="219"/>
    <x v="214"/>
    <x v="17"/>
    <x v="1"/>
    <x v="7"/>
  </r>
  <r>
    <x v="4"/>
    <x v="72"/>
    <x v="1827"/>
    <x v="219"/>
    <x v="214"/>
    <x v="17"/>
    <x v="23"/>
    <x v="7"/>
  </r>
  <r>
    <x v="4"/>
    <x v="72"/>
    <x v="1828"/>
    <x v="73"/>
    <x v="73"/>
    <x v="15"/>
    <x v="4"/>
    <x v="59"/>
  </r>
  <r>
    <x v="4"/>
    <x v="72"/>
    <x v="1829"/>
    <x v="73"/>
    <x v="73"/>
    <x v="15"/>
    <x v="4"/>
    <x v="59"/>
  </r>
  <r>
    <x v="4"/>
    <x v="72"/>
    <x v="1830"/>
    <x v="73"/>
    <x v="73"/>
    <x v="15"/>
    <x v="4"/>
    <x v="59"/>
  </r>
  <r>
    <x v="4"/>
    <x v="72"/>
    <x v="1831"/>
    <x v="73"/>
    <x v="73"/>
    <x v="15"/>
    <x v="4"/>
    <x v="59"/>
  </r>
  <r>
    <x v="4"/>
    <x v="72"/>
    <x v="1832"/>
    <x v="39"/>
    <x v="39"/>
    <x v="10"/>
    <x v="10"/>
    <x v="2"/>
  </r>
  <r>
    <x v="4"/>
    <x v="72"/>
    <x v="1833"/>
    <x v="98"/>
    <x v="97"/>
    <x v="0"/>
    <x v="23"/>
    <x v="7"/>
  </r>
  <r>
    <x v="1"/>
    <x v="72"/>
    <x v="1834"/>
    <x v="107"/>
    <x v="104"/>
    <x v="13"/>
    <x v="6"/>
    <x v="2"/>
  </r>
  <r>
    <x v="1"/>
    <x v="72"/>
    <x v="1835"/>
    <x v="1"/>
    <x v="1"/>
    <x v="1"/>
    <x v="23"/>
    <x v="7"/>
  </r>
  <r>
    <x v="1"/>
    <x v="72"/>
    <x v="1836"/>
    <x v="1"/>
    <x v="1"/>
    <x v="1"/>
    <x v="1"/>
    <x v="7"/>
  </r>
  <r>
    <x v="1"/>
    <x v="72"/>
    <x v="1837"/>
    <x v="219"/>
    <x v="214"/>
    <x v="17"/>
    <x v="22"/>
    <x v="7"/>
  </r>
  <r>
    <x v="1"/>
    <x v="72"/>
    <x v="1838"/>
    <x v="224"/>
    <x v="217"/>
    <x v="17"/>
    <x v="11"/>
    <x v="2"/>
  </r>
  <r>
    <x v="1"/>
    <x v="72"/>
    <x v="1839"/>
    <x v="224"/>
    <x v="217"/>
    <x v="17"/>
    <x v="11"/>
    <x v="2"/>
  </r>
  <r>
    <x v="1"/>
    <x v="72"/>
    <x v="1840"/>
    <x v="184"/>
    <x v="179"/>
    <x v="4"/>
    <x v="11"/>
    <x v="2"/>
  </r>
  <r>
    <x v="1"/>
    <x v="72"/>
    <x v="1841"/>
    <x v="184"/>
    <x v="179"/>
    <x v="4"/>
    <x v="11"/>
    <x v="2"/>
  </r>
  <r>
    <x v="1"/>
    <x v="72"/>
    <x v="1842"/>
    <x v="184"/>
    <x v="179"/>
    <x v="4"/>
    <x v="11"/>
    <x v="2"/>
  </r>
  <r>
    <x v="0"/>
    <x v="72"/>
    <x v="1843"/>
    <x v="98"/>
    <x v="97"/>
    <x v="15"/>
    <x v="11"/>
    <x v="2"/>
  </r>
  <r>
    <x v="0"/>
    <x v="72"/>
    <x v="1844"/>
    <x v="98"/>
    <x v="97"/>
    <x v="15"/>
    <x v="11"/>
    <x v="2"/>
  </r>
  <r>
    <x v="0"/>
    <x v="72"/>
    <x v="1845"/>
    <x v="98"/>
    <x v="97"/>
    <x v="17"/>
    <x v="11"/>
    <x v="2"/>
  </r>
  <r>
    <x v="0"/>
    <x v="72"/>
    <x v="1846"/>
    <x v="98"/>
    <x v="97"/>
    <x v="17"/>
    <x v="11"/>
    <x v="2"/>
  </r>
  <r>
    <x v="0"/>
    <x v="72"/>
    <x v="1847"/>
    <x v="98"/>
    <x v="97"/>
    <x v="17"/>
    <x v="11"/>
    <x v="2"/>
  </r>
  <r>
    <x v="3"/>
    <x v="73"/>
    <x v="1848"/>
    <x v="86"/>
    <x v="86"/>
    <x v="15"/>
    <x v="2"/>
    <x v="20"/>
  </r>
  <r>
    <x v="3"/>
    <x v="73"/>
    <x v="1849"/>
    <x v="24"/>
    <x v="24"/>
    <x v="12"/>
    <x v="10"/>
    <x v="2"/>
  </r>
  <r>
    <x v="3"/>
    <x v="73"/>
    <x v="1850"/>
    <x v="237"/>
    <x v="228"/>
    <x v="16"/>
    <x v="1"/>
    <x v="7"/>
  </r>
  <r>
    <x v="3"/>
    <x v="73"/>
    <x v="1851"/>
    <x v="251"/>
    <x v="239"/>
    <x v="6"/>
    <x v="25"/>
    <x v="7"/>
  </r>
  <r>
    <x v="3"/>
    <x v="73"/>
    <x v="1852"/>
    <x v="251"/>
    <x v="239"/>
    <x v="6"/>
    <x v="25"/>
    <x v="7"/>
  </r>
  <r>
    <x v="3"/>
    <x v="73"/>
    <x v="1853"/>
    <x v="125"/>
    <x v="122"/>
    <x v="13"/>
    <x v="13"/>
    <x v="2"/>
  </r>
  <r>
    <x v="0"/>
    <x v="73"/>
    <x v="1854"/>
    <x v="86"/>
    <x v="86"/>
    <x v="15"/>
    <x v="2"/>
    <x v="20"/>
  </r>
  <r>
    <x v="5"/>
    <x v="73"/>
    <x v="1855"/>
    <x v="86"/>
    <x v="86"/>
    <x v="15"/>
    <x v="2"/>
    <x v="20"/>
  </r>
  <r>
    <x v="2"/>
    <x v="73"/>
    <x v="1856"/>
    <x v="86"/>
    <x v="86"/>
    <x v="15"/>
    <x v="2"/>
    <x v="20"/>
  </r>
  <r>
    <x v="0"/>
    <x v="73"/>
    <x v="1857"/>
    <x v="24"/>
    <x v="24"/>
    <x v="12"/>
    <x v="10"/>
    <x v="2"/>
  </r>
  <r>
    <x v="3"/>
    <x v="73"/>
    <x v="1858"/>
    <x v="252"/>
    <x v="240"/>
    <x v="13"/>
    <x v="10"/>
    <x v="2"/>
  </r>
  <r>
    <x v="4"/>
    <x v="73"/>
    <x v="1859"/>
    <x v="86"/>
    <x v="86"/>
    <x v="15"/>
    <x v="2"/>
    <x v="20"/>
  </r>
  <r>
    <x v="0"/>
    <x v="73"/>
    <x v="1860"/>
    <x v="136"/>
    <x v="132"/>
    <x v="4"/>
    <x v="31"/>
    <x v="31"/>
  </r>
  <r>
    <x v="0"/>
    <x v="73"/>
    <x v="1861"/>
    <x v="136"/>
    <x v="132"/>
    <x v="4"/>
    <x v="31"/>
    <x v="31"/>
  </r>
  <r>
    <x v="0"/>
    <x v="73"/>
    <x v="1862"/>
    <x v="136"/>
    <x v="132"/>
    <x v="4"/>
    <x v="31"/>
    <x v="31"/>
  </r>
  <r>
    <x v="0"/>
    <x v="73"/>
    <x v="1863"/>
    <x v="136"/>
    <x v="132"/>
    <x v="4"/>
    <x v="31"/>
    <x v="31"/>
  </r>
  <r>
    <x v="0"/>
    <x v="73"/>
    <x v="1864"/>
    <x v="136"/>
    <x v="132"/>
    <x v="4"/>
    <x v="31"/>
    <x v="31"/>
  </r>
  <r>
    <x v="1"/>
    <x v="73"/>
    <x v="1865"/>
    <x v="24"/>
    <x v="24"/>
    <x v="12"/>
    <x v="10"/>
    <x v="2"/>
  </r>
  <r>
    <x v="1"/>
    <x v="73"/>
    <x v="1866"/>
    <x v="86"/>
    <x v="86"/>
    <x v="15"/>
    <x v="1"/>
    <x v="20"/>
  </r>
  <r>
    <x v="2"/>
    <x v="73"/>
    <x v="1867"/>
    <x v="229"/>
    <x v="221"/>
    <x v="1"/>
    <x v="21"/>
    <x v="2"/>
  </r>
  <r>
    <x v="2"/>
    <x v="73"/>
    <x v="1868"/>
    <x v="229"/>
    <x v="221"/>
    <x v="1"/>
    <x v="21"/>
    <x v="2"/>
  </r>
  <r>
    <x v="0"/>
    <x v="73"/>
    <x v="1869"/>
    <x v="253"/>
    <x v="241"/>
    <x v="0"/>
    <x v="5"/>
    <x v="2"/>
  </r>
  <r>
    <x v="5"/>
    <x v="73"/>
    <x v="1870"/>
    <x v="229"/>
    <x v="221"/>
    <x v="1"/>
    <x v="6"/>
    <x v="2"/>
  </r>
  <r>
    <x v="5"/>
    <x v="73"/>
    <x v="1871"/>
    <x v="229"/>
    <x v="221"/>
    <x v="1"/>
    <x v="6"/>
    <x v="2"/>
  </r>
  <r>
    <x v="4"/>
    <x v="73"/>
    <x v="1872"/>
    <x v="229"/>
    <x v="221"/>
    <x v="1"/>
    <x v="6"/>
    <x v="2"/>
  </r>
  <r>
    <x v="4"/>
    <x v="73"/>
    <x v="1873"/>
    <x v="229"/>
    <x v="221"/>
    <x v="1"/>
    <x v="6"/>
    <x v="2"/>
  </r>
  <r>
    <x v="0"/>
    <x v="73"/>
    <x v="1874"/>
    <x v="229"/>
    <x v="221"/>
    <x v="0"/>
    <x v="21"/>
    <x v="2"/>
  </r>
  <r>
    <x v="0"/>
    <x v="73"/>
    <x v="1875"/>
    <x v="229"/>
    <x v="221"/>
    <x v="0"/>
    <x v="21"/>
    <x v="2"/>
  </r>
  <r>
    <x v="0"/>
    <x v="74"/>
    <x v="1876"/>
    <x v="24"/>
    <x v="24"/>
    <x v="12"/>
    <x v="10"/>
    <x v="2"/>
  </r>
  <r>
    <x v="5"/>
    <x v="75"/>
    <x v="1877"/>
    <x v="151"/>
    <x v="147"/>
    <x v="13"/>
    <x v="4"/>
    <x v="53"/>
  </r>
  <r>
    <x v="5"/>
    <x v="75"/>
    <x v="1878"/>
    <x v="86"/>
    <x v="86"/>
    <x v="15"/>
    <x v="4"/>
    <x v="10"/>
  </r>
  <r>
    <x v="5"/>
    <x v="75"/>
    <x v="1879"/>
    <x v="86"/>
    <x v="86"/>
    <x v="15"/>
    <x v="4"/>
    <x v="10"/>
  </r>
  <r>
    <x v="5"/>
    <x v="75"/>
    <x v="1880"/>
    <x v="130"/>
    <x v="126"/>
    <x v="4"/>
    <x v="4"/>
    <x v="10"/>
  </r>
  <r>
    <x v="5"/>
    <x v="75"/>
    <x v="1881"/>
    <x v="130"/>
    <x v="126"/>
    <x v="4"/>
    <x v="4"/>
    <x v="10"/>
  </r>
  <r>
    <x v="5"/>
    <x v="75"/>
    <x v="1882"/>
    <x v="130"/>
    <x v="126"/>
    <x v="4"/>
    <x v="4"/>
    <x v="10"/>
  </r>
  <r>
    <x v="5"/>
    <x v="75"/>
    <x v="1883"/>
    <x v="130"/>
    <x v="126"/>
    <x v="4"/>
    <x v="4"/>
    <x v="10"/>
  </r>
  <r>
    <x v="5"/>
    <x v="75"/>
    <x v="1884"/>
    <x v="130"/>
    <x v="126"/>
    <x v="4"/>
    <x v="4"/>
    <x v="10"/>
  </r>
  <r>
    <x v="5"/>
    <x v="75"/>
    <x v="1885"/>
    <x v="130"/>
    <x v="126"/>
    <x v="4"/>
    <x v="4"/>
    <x v="10"/>
  </r>
  <r>
    <x v="2"/>
    <x v="75"/>
    <x v="1886"/>
    <x v="93"/>
    <x v="93"/>
    <x v="0"/>
    <x v="1"/>
    <x v="8"/>
  </r>
  <r>
    <x v="0"/>
    <x v="75"/>
    <x v="1887"/>
    <x v="117"/>
    <x v="114"/>
    <x v="0"/>
    <x v="23"/>
    <x v="7"/>
  </r>
  <r>
    <x v="0"/>
    <x v="75"/>
    <x v="1888"/>
    <x v="117"/>
    <x v="114"/>
    <x v="0"/>
    <x v="23"/>
    <x v="7"/>
  </r>
  <r>
    <x v="0"/>
    <x v="75"/>
    <x v="1889"/>
    <x v="117"/>
    <x v="114"/>
    <x v="15"/>
    <x v="23"/>
    <x v="7"/>
  </r>
  <r>
    <x v="0"/>
    <x v="75"/>
    <x v="1890"/>
    <x v="117"/>
    <x v="114"/>
    <x v="15"/>
    <x v="23"/>
    <x v="7"/>
  </r>
  <r>
    <x v="3"/>
    <x v="75"/>
    <x v="1891"/>
    <x v="114"/>
    <x v="111"/>
    <x v="13"/>
    <x v="4"/>
    <x v="53"/>
  </r>
  <r>
    <x v="3"/>
    <x v="75"/>
    <x v="1892"/>
    <x v="114"/>
    <x v="111"/>
    <x v="13"/>
    <x v="4"/>
    <x v="53"/>
  </r>
  <r>
    <x v="3"/>
    <x v="75"/>
    <x v="1893"/>
    <x v="114"/>
    <x v="111"/>
    <x v="13"/>
    <x v="4"/>
    <x v="53"/>
  </r>
  <r>
    <x v="3"/>
    <x v="75"/>
    <x v="1894"/>
    <x v="114"/>
    <x v="111"/>
    <x v="13"/>
    <x v="4"/>
    <x v="53"/>
  </r>
  <r>
    <x v="3"/>
    <x v="75"/>
    <x v="1895"/>
    <x v="114"/>
    <x v="111"/>
    <x v="13"/>
    <x v="4"/>
    <x v="53"/>
  </r>
  <r>
    <x v="3"/>
    <x v="75"/>
    <x v="1896"/>
    <x v="114"/>
    <x v="111"/>
    <x v="13"/>
    <x v="4"/>
    <x v="53"/>
  </r>
  <r>
    <x v="3"/>
    <x v="75"/>
    <x v="1897"/>
    <x v="114"/>
    <x v="111"/>
    <x v="13"/>
    <x v="4"/>
    <x v="53"/>
  </r>
  <r>
    <x v="3"/>
    <x v="75"/>
    <x v="1898"/>
    <x v="114"/>
    <x v="111"/>
    <x v="13"/>
    <x v="4"/>
    <x v="53"/>
  </r>
  <r>
    <x v="3"/>
    <x v="75"/>
    <x v="1899"/>
    <x v="151"/>
    <x v="147"/>
    <x v="13"/>
    <x v="4"/>
    <x v="53"/>
  </r>
  <r>
    <x v="3"/>
    <x v="75"/>
    <x v="1900"/>
    <x v="151"/>
    <x v="147"/>
    <x v="13"/>
    <x v="4"/>
    <x v="53"/>
  </r>
  <r>
    <x v="3"/>
    <x v="75"/>
    <x v="1901"/>
    <x v="6"/>
    <x v="6"/>
    <x v="16"/>
    <x v="1"/>
    <x v="7"/>
  </r>
  <r>
    <x v="3"/>
    <x v="75"/>
    <x v="1902"/>
    <x v="24"/>
    <x v="24"/>
    <x v="12"/>
    <x v="10"/>
    <x v="2"/>
  </r>
  <r>
    <x v="0"/>
    <x v="75"/>
    <x v="1903"/>
    <x v="86"/>
    <x v="86"/>
    <x v="15"/>
    <x v="4"/>
    <x v="7"/>
  </r>
  <r>
    <x v="0"/>
    <x v="75"/>
    <x v="1904"/>
    <x v="86"/>
    <x v="86"/>
    <x v="15"/>
    <x v="4"/>
    <x v="7"/>
  </r>
  <r>
    <x v="5"/>
    <x v="75"/>
    <x v="1905"/>
    <x v="114"/>
    <x v="111"/>
    <x v="13"/>
    <x v="4"/>
    <x v="7"/>
  </r>
  <r>
    <x v="5"/>
    <x v="75"/>
    <x v="1906"/>
    <x v="114"/>
    <x v="111"/>
    <x v="13"/>
    <x v="4"/>
    <x v="7"/>
  </r>
  <r>
    <x v="5"/>
    <x v="75"/>
    <x v="1907"/>
    <x v="114"/>
    <x v="111"/>
    <x v="13"/>
    <x v="4"/>
    <x v="7"/>
  </r>
  <r>
    <x v="5"/>
    <x v="75"/>
    <x v="1908"/>
    <x v="114"/>
    <x v="111"/>
    <x v="13"/>
    <x v="4"/>
    <x v="7"/>
  </r>
  <r>
    <x v="5"/>
    <x v="75"/>
    <x v="1909"/>
    <x v="114"/>
    <x v="111"/>
    <x v="13"/>
    <x v="4"/>
    <x v="7"/>
  </r>
  <r>
    <x v="5"/>
    <x v="75"/>
    <x v="1910"/>
    <x v="114"/>
    <x v="111"/>
    <x v="13"/>
    <x v="4"/>
    <x v="7"/>
  </r>
  <r>
    <x v="3"/>
    <x v="75"/>
    <x v="284"/>
    <x v="24"/>
    <x v="24"/>
    <x v="12"/>
    <x v="10"/>
    <x v="2"/>
  </r>
  <r>
    <x v="5"/>
    <x v="75"/>
    <x v="1911"/>
    <x v="114"/>
    <x v="111"/>
    <x v="13"/>
    <x v="4"/>
    <x v="7"/>
  </r>
  <r>
    <x v="5"/>
    <x v="75"/>
    <x v="1912"/>
    <x v="114"/>
    <x v="111"/>
    <x v="13"/>
    <x v="4"/>
    <x v="7"/>
  </r>
  <r>
    <x v="5"/>
    <x v="75"/>
    <x v="1913"/>
    <x v="114"/>
    <x v="111"/>
    <x v="13"/>
    <x v="4"/>
    <x v="7"/>
  </r>
  <r>
    <x v="5"/>
    <x v="75"/>
    <x v="1914"/>
    <x v="114"/>
    <x v="111"/>
    <x v="13"/>
    <x v="4"/>
    <x v="7"/>
  </r>
  <r>
    <x v="5"/>
    <x v="75"/>
    <x v="1915"/>
    <x v="114"/>
    <x v="111"/>
    <x v="13"/>
    <x v="4"/>
    <x v="7"/>
  </r>
  <r>
    <x v="5"/>
    <x v="75"/>
    <x v="1916"/>
    <x v="114"/>
    <x v="111"/>
    <x v="13"/>
    <x v="4"/>
    <x v="7"/>
  </r>
  <r>
    <x v="5"/>
    <x v="75"/>
    <x v="1917"/>
    <x v="114"/>
    <x v="111"/>
    <x v="13"/>
    <x v="4"/>
    <x v="7"/>
  </r>
  <r>
    <x v="0"/>
    <x v="75"/>
    <x v="1918"/>
    <x v="1"/>
    <x v="1"/>
    <x v="1"/>
    <x v="1"/>
    <x v="7"/>
  </r>
  <r>
    <x v="0"/>
    <x v="75"/>
    <x v="1919"/>
    <x v="1"/>
    <x v="162"/>
    <x v="1"/>
    <x v="23"/>
    <x v="7"/>
  </r>
  <r>
    <x v="5"/>
    <x v="75"/>
    <x v="1920"/>
    <x v="8"/>
    <x v="8"/>
    <x v="13"/>
    <x v="1"/>
    <x v="7"/>
  </r>
  <r>
    <x v="5"/>
    <x v="75"/>
    <x v="1921"/>
    <x v="42"/>
    <x v="42"/>
    <x v="13"/>
    <x v="21"/>
    <x v="2"/>
  </r>
  <r>
    <x v="3"/>
    <x v="75"/>
    <x v="1922"/>
    <x v="254"/>
    <x v="162"/>
    <x v="4"/>
    <x v="3"/>
    <x v="2"/>
  </r>
  <r>
    <x v="3"/>
    <x v="75"/>
    <x v="1923"/>
    <x v="254"/>
    <x v="162"/>
    <x v="4"/>
    <x v="3"/>
    <x v="2"/>
  </r>
  <r>
    <x v="3"/>
    <x v="75"/>
    <x v="1924"/>
    <x v="67"/>
    <x v="67"/>
    <x v="15"/>
    <x v="22"/>
    <x v="7"/>
  </r>
  <r>
    <x v="0"/>
    <x v="75"/>
    <x v="1925"/>
    <x v="6"/>
    <x v="6"/>
    <x v="16"/>
    <x v="10"/>
    <x v="7"/>
  </r>
  <r>
    <x v="5"/>
    <x v="75"/>
    <x v="1926"/>
    <x v="6"/>
    <x v="6"/>
    <x v="16"/>
    <x v="1"/>
    <x v="7"/>
  </r>
  <r>
    <x v="0"/>
    <x v="75"/>
    <x v="1927"/>
    <x v="57"/>
    <x v="57"/>
    <x v="4"/>
    <x v="4"/>
    <x v="7"/>
  </r>
  <r>
    <x v="0"/>
    <x v="75"/>
    <x v="1928"/>
    <x v="57"/>
    <x v="57"/>
    <x v="4"/>
    <x v="4"/>
    <x v="7"/>
  </r>
  <r>
    <x v="0"/>
    <x v="75"/>
    <x v="1929"/>
    <x v="57"/>
    <x v="57"/>
    <x v="4"/>
    <x v="4"/>
    <x v="7"/>
  </r>
  <r>
    <x v="0"/>
    <x v="75"/>
    <x v="1930"/>
    <x v="67"/>
    <x v="67"/>
    <x v="15"/>
    <x v="23"/>
    <x v="7"/>
  </r>
  <r>
    <x v="5"/>
    <x v="75"/>
    <x v="1931"/>
    <x v="93"/>
    <x v="93"/>
    <x v="0"/>
    <x v="1"/>
    <x v="8"/>
  </r>
  <r>
    <x v="3"/>
    <x v="75"/>
    <x v="1932"/>
    <x v="6"/>
    <x v="6"/>
    <x v="13"/>
    <x v="23"/>
    <x v="7"/>
  </r>
  <r>
    <x v="3"/>
    <x v="75"/>
    <x v="1933"/>
    <x v="93"/>
    <x v="93"/>
    <x v="0"/>
    <x v="1"/>
    <x v="8"/>
  </r>
  <r>
    <x v="3"/>
    <x v="75"/>
    <x v="1934"/>
    <x v="8"/>
    <x v="8"/>
    <x v="13"/>
    <x v="1"/>
    <x v="7"/>
  </r>
  <r>
    <x v="0"/>
    <x v="75"/>
    <x v="1935"/>
    <x v="67"/>
    <x v="67"/>
    <x v="15"/>
    <x v="23"/>
    <x v="7"/>
  </r>
  <r>
    <x v="3"/>
    <x v="75"/>
    <x v="1936"/>
    <x v="255"/>
    <x v="162"/>
    <x v="15"/>
    <x v="28"/>
    <x v="2"/>
  </r>
  <r>
    <x v="2"/>
    <x v="75"/>
    <x v="1937"/>
    <x v="222"/>
    <x v="162"/>
    <x v="15"/>
    <x v="23"/>
    <x v="7"/>
  </r>
  <r>
    <x v="2"/>
    <x v="75"/>
    <x v="1938"/>
    <x v="6"/>
    <x v="6"/>
    <x v="16"/>
    <x v="10"/>
    <x v="7"/>
  </r>
  <r>
    <x v="2"/>
    <x v="75"/>
    <x v="1939"/>
    <x v="60"/>
    <x v="60"/>
    <x v="17"/>
    <x v="8"/>
    <x v="34"/>
  </r>
  <r>
    <x v="0"/>
    <x v="75"/>
    <x v="1940"/>
    <x v="255"/>
    <x v="162"/>
    <x v="15"/>
    <x v="28"/>
    <x v="2"/>
  </r>
  <r>
    <x v="0"/>
    <x v="75"/>
    <x v="1941"/>
    <x v="67"/>
    <x v="67"/>
    <x v="15"/>
    <x v="27"/>
    <x v="2"/>
  </r>
  <r>
    <x v="0"/>
    <x v="75"/>
    <x v="1942"/>
    <x v="256"/>
    <x v="242"/>
    <x v="1"/>
    <x v="5"/>
    <x v="4"/>
  </r>
  <r>
    <x v="0"/>
    <x v="75"/>
    <x v="1943"/>
    <x v="257"/>
    <x v="243"/>
    <x v="20"/>
    <x v="0"/>
    <x v="12"/>
  </r>
  <r>
    <x v="1"/>
    <x v="75"/>
    <x v="1944"/>
    <x v="67"/>
    <x v="67"/>
    <x v="15"/>
    <x v="22"/>
    <x v="7"/>
  </r>
  <r>
    <x v="1"/>
    <x v="75"/>
    <x v="1945"/>
    <x v="67"/>
    <x v="67"/>
    <x v="15"/>
    <x v="22"/>
    <x v="7"/>
  </r>
  <r>
    <x v="1"/>
    <x v="75"/>
    <x v="1946"/>
    <x v="93"/>
    <x v="93"/>
    <x v="0"/>
    <x v="1"/>
    <x v="7"/>
  </r>
  <r>
    <x v="2"/>
    <x v="75"/>
    <x v="1947"/>
    <x v="222"/>
    <x v="162"/>
    <x v="0"/>
    <x v="4"/>
    <x v="4"/>
  </r>
  <r>
    <x v="2"/>
    <x v="75"/>
    <x v="1948"/>
    <x v="222"/>
    <x v="162"/>
    <x v="0"/>
    <x v="4"/>
    <x v="4"/>
  </r>
  <r>
    <x v="2"/>
    <x v="75"/>
    <x v="1949"/>
    <x v="222"/>
    <x v="162"/>
    <x v="0"/>
    <x v="4"/>
    <x v="4"/>
  </r>
  <r>
    <x v="2"/>
    <x v="75"/>
    <x v="1950"/>
    <x v="222"/>
    <x v="162"/>
    <x v="0"/>
    <x v="4"/>
    <x v="4"/>
  </r>
  <r>
    <x v="2"/>
    <x v="75"/>
    <x v="1951"/>
    <x v="222"/>
    <x v="162"/>
    <x v="0"/>
    <x v="4"/>
    <x v="4"/>
  </r>
  <r>
    <x v="2"/>
    <x v="75"/>
    <x v="1952"/>
    <x v="222"/>
    <x v="162"/>
    <x v="0"/>
    <x v="4"/>
    <x v="4"/>
  </r>
  <r>
    <x v="2"/>
    <x v="75"/>
    <x v="1953"/>
    <x v="222"/>
    <x v="162"/>
    <x v="0"/>
    <x v="4"/>
    <x v="4"/>
  </r>
  <r>
    <x v="2"/>
    <x v="75"/>
    <x v="1954"/>
    <x v="222"/>
    <x v="162"/>
    <x v="0"/>
    <x v="4"/>
    <x v="4"/>
  </r>
  <r>
    <x v="2"/>
    <x v="75"/>
    <x v="1955"/>
    <x v="222"/>
    <x v="162"/>
    <x v="0"/>
    <x v="4"/>
    <x v="4"/>
  </r>
  <r>
    <x v="2"/>
    <x v="75"/>
    <x v="1956"/>
    <x v="222"/>
    <x v="162"/>
    <x v="0"/>
    <x v="4"/>
    <x v="4"/>
  </r>
  <r>
    <x v="2"/>
    <x v="75"/>
    <x v="1957"/>
    <x v="222"/>
    <x v="162"/>
    <x v="0"/>
    <x v="4"/>
    <x v="4"/>
  </r>
  <r>
    <x v="2"/>
    <x v="75"/>
    <x v="1958"/>
    <x v="222"/>
    <x v="162"/>
    <x v="0"/>
    <x v="4"/>
    <x v="4"/>
  </r>
  <r>
    <x v="2"/>
    <x v="75"/>
    <x v="1959"/>
    <x v="222"/>
    <x v="162"/>
    <x v="0"/>
    <x v="4"/>
    <x v="4"/>
  </r>
  <r>
    <x v="2"/>
    <x v="75"/>
    <x v="1960"/>
    <x v="222"/>
    <x v="162"/>
    <x v="0"/>
    <x v="4"/>
    <x v="4"/>
  </r>
  <r>
    <x v="2"/>
    <x v="75"/>
    <x v="1961"/>
    <x v="222"/>
    <x v="162"/>
    <x v="0"/>
    <x v="4"/>
    <x v="4"/>
  </r>
  <r>
    <x v="2"/>
    <x v="75"/>
    <x v="1962"/>
    <x v="222"/>
    <x v="162"/>
    <x v="0"/>
    <x v="4"/>
    <x v="4"/>
  </r>
  <r>
    <x v="2"/>
    <x v="75"/>
    <x v="1963"/>
    <x v="222"/>
    <x v="162"/>
    <x v="0"/>
    <x v="4"/>
    <x v="4"/>
  </r>
  <r>
    <x v="2"/>
    <x v="75"/>
    <x v="1964"/>
    <x v="222"/>
    <x v="162"/>
    <x v="0"/>
    <x v="4"/>
    <x v="4"/>
  </r>
  <r>
    <x v="2"/>
    <x v="75"/>
    <x v="1965"/>
    <x v="222"/>
    <x v="162"/>
    <x v="0"/>
    <x v="4"/>
    <x v="4"/>
  </r>
  <r>
    <x v="2"/>
    <x v="75"/>
    <x v="1966"/>
    <x v="222"/>
    <x v="162"/>
    <x v="0"/>
    <x v="4"/>
    <x v="4"/>
  </r>
  <r>
    <x v="2"/>
    <x v="75"/>
    <x v="1967"/>
    <x v="222"/>
    <x v="162"/>
    <x v="0"/>
    <x v="4"/>
    <x v="4"/>
  </r>
  <r>
    <x v="2"/>
    <x v="75"/>
    <x v="1968"/>
    <x v="222"/>
    <x v="162"/>
    <x v="0"/>
    <x v="4"/>
    <x v="4"/>
  </r>
  <r>
    <x v="0"/>
    <x v="75"/>
    <x v="1969"/>
    <x v="93"/>
    <x v="93"/>
    <x v="0"/>
    <x v="1"/>
    <x v="7"/>
  </r>
  <r>
    <x v="2"/>
    <x v="75"/>
    <x v="1188"/>
    <x v="86"/>
    <x v="86"/>
    <x v="15"/>
    <x v="4"/>
    <x v="4"/>
  </r>
  <r>
    <x v="2"/>
    <x v="75"/>
    <x v="1970"/>
    <x v="86"/>
    <x v="86"/>
    <x v="15"/>
    <x v="4"/>
    <x v="4"/>
  </r>
  <r>
    <x v="5"/>
    <x v="75"/>
    <x v="1971"/>
    <x v="155"/>
    <x v="151"/>
    <x v="10"/>
    <x v="10"/>
    <x v="2"/>
  </r>
  <r>
    <x v="5"/>
    <x v="75"/>
    <x v="1766"/>
    <x v="73"/>
    <x v="73"/>
    <x v="15"/>
    <x v="5"/>
    <x v="2"/>
  </r>
  <r>
    <x v="5"/>
    <x v="75"/>
    <x v="1765"/>
    <x v="73"/>
    <x v="73"/>
    <x v="15"/>
    <x v="5"/>
    <x v="2"/>
  </r>
  <r>
    <x v="1"/>
    <x v="75"/>
    <x v="1972"/>
    <x v="24"/>
    <x v="24"/>
    <x v="12"/>
    <x v="10"/>
    <x v="2"/>
  </r>
  <r>
    <x v="4"/>
    <x v="75"/>
    <x v="1973"/>
    <x v="6"/>
    <x v="6"/>
    <x v="16"/>
    <x v="10"/>
    <x v="7"/>
  </r>
  <r>
    <x v="4"/>
    <x v="75"/>
    <x v="1974"/>
    <x v="237"/>
    <x v="228"/>
    <x v="16"/>
    <x v="10"/>
    <x v="7"/>
  </r>
  <r>
    <x v="4"/>
    <x v="75"/>
    <x v="1975"/>
    <x v="93"/>
    <x v="93"/>
    <x v="0"/>
    <x v="1"/>
    <x v="7"/>
  </r>
  <r>
    <x v="4"/>
    <x v="75"/>
    <x v="1976"/>
    <x v="8"/>
    <x v="8"/>
    <x v="15"/>
    <x v="1"/>
    <x v="7"/>
  </r>
  <r>
    <x v="4"/>
    <x v="75"/>
    <x v="1977"/>
    <x v="8"/>
    <x v="8"/>
    <x v="15"/>
    <x v="1"/>
    <x v="7"/>
  </r>
  <r>
    <x v="1"/>
    <x v="75"/>
    <x v="1978"/>
    <x v="12"/>
    <x v="12"/>
    <x v="13"/>
    <x v="5"/>
    <x v="2"/>
  </r>
  <r>
    <x v="1"/>
    <x v="75"/>
    <x v="1979"/>
    <x v="12"/>
    <x v="12"/>
    <x v="13"/>
    <x v="5"/>
    <x v="2"/>
  </r>
  <r>
    <x v="1"/>
    <x v="75"/>
    <x v="1980"/>
    <x v="12"/>
    <x v="12"/>
    <x v="13"/>
    <x v="5"/>
    <x v="2"/>
  </r>
  <r>
    <x v="4"/>
    <x v="75"/>
    <x v="1981"/>
    <x v="67"/>
    <x v="67"/>
    <x v="15"/>
    <x v="23"/>
    <x v="2"/>
  </r>
  <r>
    <x v="4"/>
    <x v="75"/>
    <x v="1982"/>
    <x v="176"/>
    <x v="171"/>
    <x v="17"/>
    <x v="1"/>
    <x v="2"/>
  </r>
  <r>
    <x v="1"/>
    <x v="75"/>
    <x v="1983"/>
    <x v="6"/>
    <x v="6"/>
    <x v="16"/>
    <x v="11"/>
    <x v="2"/>
  </r>
  <r>
    <x v="5"/>
    <x v="75"/>
    <x v="1984"/>
    <x v="67"/>
    <x v="67"/>
    <x v="15"/>
    <x v="22"/>
    <x v="7"/>
  </r>
  <r>
    <x v="3"/>
    <x v="76"/>
    <x v="1985"/>
    <x v="90"/>
    <x v="90"/>
    <x v="4"/>
    <x v="4"/>
    <x v="7"/>
  </r>
  <r>
    <x v="3"/>
    <x v="76"/>
    <x v="1986"/>
    <x v="90"/>
    <x v="90"/>
    <x v="4"/>
    <x v="4"/>
    <x v="7"/>
  </r>
  <r>
    <x v="3"/>
    <x v="76"/>
    <x v="1987"/>
    <x v="90"/>
    <x v="90"/>
    <x v="4"/>
    <x v="4"/>
    <x v="7"/>
  </r>
  <r>
    <x v="3"/>
    <x v="76"/>
    <x v="1988"/>
    <x v="90"/>
    <x v="90"/>
    <x v="4"/>
    <x v="4"/>
    <x v="7"/>
  </r>
  <r>
    <x v="3"/>
    <x v="76"/>
    <x v="1989"/>
    <x v="222"/>
    <x v="162"/>
    <x v="5"/>
    <x v="4"/>
    <x v="7"/>
  </r>
  <r>
    <x v="3"/>
    <x v="76"/>
    <x v="1990"/>
    <x v="237"/>
    <x v="228"/>
    <x v="16"/>
    <x v="18"/>
    <x v="7"/>
  </r>
  <r>
    <x v="3"/>
    <x v="76"/>
    <x v="1991"/>
    <x v="188"/>
    <x v="183"/>
    <x v="0"/>
    <x v="1"/>
    <x v="7"/>
  </r>
  <r>
    <x v="5"/>
    <x v="76"/>
    <x v="1765"/>
    <x v="73"/>
    <x v="73"/>
    <x v="15"/>
    <x v="4"/>
    <x v="7"/>
  </r>
  <r>
    <x v="5"/>
    <x v="76"/>
    <x v="1766"/>
    <x v="73"/>
    <x v="73"/>
    <x v="15"/>
    <x v="4"/>
    <x v="7"/>
  </r>
  <r>
    <x v="0"/>
    <x v="76"/>
    <x v="1992"/>
    <x v="114"/>
    <x v="111"/>
    <x v="13"/>
    <x v="1"/>
    <x v="25"/>
  </r>
  <r>
    <x v="3"/>
    <x v="76"/>
    <x v="1993"/>
    <x v="222"/>
    <x v="162"/>
    <x v="13"/>
    <x v="4"/>
    <x v="53"/>
  </r>
  <r>
    <x v="3"/>
    <x v="76"/>
    <x v="1994"/>
    <x v="239"/>
    <x v="230"/>
    <x v="13"/>
    <x v="15"/>
    <x v="53"/>
  </r>
  <r>
    <x v="3"/>
    <x v="76"/>
    <x v="1995"/>
    <x v="213"/>
    <x v="208"/>
    <x v="10"/>
    <x v="10"/>
    <x v="56"/>
  </r>
  <r>
    <x v="3"/>
    <x v="76"/>
    <x v="1996"/>
    <x v="222"/>
    <x v="162"/>
    <x v="6"/>
    <x v="22"/>
    <x v="7"/>
  </r>
  <r>
    <x v="0"/>
    <x v="76"/>
    <x v="1713"/>
    <x v="241"/>
    <x v="231"/>
    <x v="17"/>
    <x v="1"/>
    <x v="7"/>
  </r>
  <r>
    <x v="5"/>
    <x v="76"/>
    <x v="1997"/>
    <x v="239"/>
    <x v="230"/>
    <x v="13"/>
    <x v="3"/>
    <x v="2"/>
  </r>
  <r>
    <x v="2"/>
    <x v="76"/>
    <x v="1998"/>
    <x v="105"/>
    <x v="96"/>
    <x v="5"/>
    <x v="8"/>
    <x v="25"/>
  </r>
  <r>
    <x v="1"/>
    <x v="76"/>
    <x v="1999"/>
    <x v="258"/>
    <x v="244"/>
    <x v="13"/>
    <x v="27"/>
    <x v="2"/>
  </r>
  <r>
    <x v="1"/>
    <x v="76"/>
    <x v="2000"/>
    <x v="114"/>
    <x v="111"/>
    <x v="13"/>
    <x v="1"/>
    <x v="2"/>
  </r>
  <r>
    <x v="1"/>
    <x v="76"/>
    <x v="2001"/>
    <x v="24"/>
    <x v="24"/>
    <x v="12"/>
    <x v="10"/>
    <x v="2"/>
  </r>
  <r>
    <x v="0"/>
    <x v="76"/>
    <x v="2002"/>
    <x v="26"/>
    <x v="26"/>
    <x v="16"/>
    <x v="15"/>
    <x v="7"/>
  </r>
  <r>
    <x v="0"/>
    <x v="76"/>
    <x v="2003"/>
    <x v="259"/>
    <x v="245"/>
    <x v="17"/>
    <x v="27"/>
    <x v="2"/>
  </r>
  <r>
    <x v="0"/>
    <x v="76"/>
    <x v="2004"/>
    <x v="260"/>
    <x v="246"/>
    <x v="0"/>
    <x v="27"/>
    <x v="2"/>
  </r>
  <r>
    <x v="0"/>
    <x v="76"/>
    <x v="2005"/>
    <x v="260"/>
    <x v="246"/>
    <x v="0"/>
    <x v="27"/>
    <x v="2"/>
  </r>
  <r>
    <x v="0"/>
    <x v="76"/>
    <x v="2006"/>
    <x v="2"/>
    <x v="2"/>
    <x v="4"/>
    <x v="3"/>
    <x v="3"/>
  </r>
  <r>
    <x v="1"/>
    <x v="76"/>
    <x v="2007"/>
    <x v="14"/>
    <x v="14"/>
    <x v="1"/>
    <x v="6"/>
    <x v="2"/>
  </r>
  <r>
    <x v="1"/>
    <x v="76"/>
    <x v="2008"/>
    <x v="24"/>
    <x v="24"/>
    <x v="12"/>
    <x v="10"/>
    <x v="2"/>
  </r>
  <r>
    <x v="1"/>
    <x v="76"/>
    <x v="2009"/>
    <x v="155"/>
    <x v="151"/>
    <x v="10"/>
    <x v="11"/>
    <x v="2"/>
  </r>
  <r>
    <x v="4"/>
    <x v="76"/>
    <x v="2010"/>
    <x v="48"/>
    <x v="49"/>
    <x v="0"/>
    <x v="23"/>
    <x v="7"/>
  </r>
  <r>
    <x v="4"/>
    <x v="76"/>
    <x v="2011"/>
    <x v="213"/>
    <x v="208"/>
    <x v="10"/>
    <x v="10"/>
    <x v="2"/>
  </r>
  <r>
    <x v="5"/>
    <x v="77"/>
    <x v="2012"/>
    <x v="52"/>
    <x v="20"/>
    <x v="15"/>
    <x v="22"/>
    <x v="7"/>
  </r>
  <r>
    <x v="5"/>
    <x v="77"/>
    <x v="2013"/>
    <x v="60"/>
    <x v="60"/>
    <x v="17"/>
    <x v="8"/>
    <x v="52"/>
  </r>
  <r>
    <x v="5"/>
    <x v="77"/>
    <x v="2014"/>
    <x v="60"/>
    <x v="60"/>
    <x v="17"/>
    <x v="8"/>
    <x v="52"/>
  </r>
  <r>
    <x v="1"/>
    <x v="77"/>
    <x v="2015"/>
    <x v="261"/>
    <x v="162"/>
    <x v="15"/>
    <x v="28"/>
    <x v="34"/>
  </r>
  <r>
    <x v="2"/>
    <x v="77"/>
    <x v="1937"/>
    <x v="261"/>
    <x v="162"/>
    <x v="15"/>
    <x v="28"/>
    <x v="34"/>
  </r>
  <r>
    <x v="0"/>
    <x v="77"/>
    <x v="2016"/>
    <x v="184"/>
    <x v="179"/>
    <x v="4"/>
    <x v="23"/>
    <x v="7"/>
  </r>
  <r>
    <x v="0"/>
    <x v="77"/>
    <x v="2017"/>
    <x v="184"/>
    <x v="179"/>
    <x v="4"/>
    <x v="23"/>
    <x v="7"/>
  </r>
  <r>
    <x v="5"/>
    <x v="77"/>
    <x v="2018"/>
    <x v="107"/>
    <x v="104"/>
    <x v="13"/>
    <x v="24"/>
    <x v="64"/>
  </r>
  <r>
    <x v="4"/>
    <x v="77"/>
    <x v="2019"/>
    <x v="24"/>
    <x v="24"/>
    <x v="12"/>
    <x v="3"/>
    <x v="2"/>
  </r>
  <r>
    <x v="5"/>
    <x v="77"/>
    <x v="2020"/>
    <x v="262"/>
    <x v="247"/>
    <x v="0"/>
    <x v="25"/>
    <x v="65"/>
  </r>
  <r>
    <x v="5"/>
    <x v="77"/>
    <x v="2021"/>
    <x v="262"/>
    <x v="247"/>
    <x v="0"/>
    <x v="25"/>
    <x v="65"/>
  </r>
  <r>
    <x v="5"/>
    <x v="77"/>
    <x v="2022"/>
    <x v="262"/>
    <x v="247"/>
    <x v="0"/>
    <x v="25"/>
    <x v="65"/>
  </r>
  <r>
    <x v="5"/>
    <x v="77"/>
    <x v="2023"/>
    <x v="262"/>
    <x v="247"/>
    <x v="0"/>
    <x v="25"/>
    <x v="65"/>
  </r>
  <r>
    <x v="5"/>
    <x v="77"/>
    <x v="2024"/>
    <x v="147"/>
    <x v="162"/>
    <x v="1"/>
    <x v="13"/>
    <x v="7"/>
  </r>
  <r>
    <x v="4"/>
    <x v="77"/>
    <x v="2025"/>
    <x v="173"/>
    <x v="168"/>
    <x v="5"/>
    <x v="2"/>
    <x v="1"/>
  </r>
  <r>
    <x v="3"/>
    <x v="77"/>
    <x v="2026"/>
    <x v="222"/>
    <x v="162"/>
    <x v="13"/>
    <x v="27"/>
    <x v="4"/>
  </r>
  <r>
    <x v="0"/>
    <x v="77"/>
    <x v="2027"/>
    <x v="39"/>
    <x v="39"/>
    <x v="10"/>
    <x v="10"/>
    <x v="2"/>
  </r>
  <r>
    <x v="0"/>
    <x v="77"/>
    <x v="1940"/>
    <x v="261"/>
    <x v="162"/>
    <x v="15"/>
    <x v="28"/>
    <x v="2"/>
  </r>
  <r>
    <x v="0"/>
    <x v="77"/>
    <x v="2028"/>
    <x v="152"/>
    <x v="148"/>
    <x v="8"/>
    <x v="4"/>
    <x v="66"/>
  </r>
  <r>
    <x v="0"/>
    <x v="77"/>
    <x v="2029"/>
    <x v="176"/>
    <x v="171"/>
    <x v="17"/>
    <x v="23"/>
    <x v="7"/>
  </r>
  <r>
    <x v="2"/>
    <x v="77"/>
    <x v="2030"/>
    <x v="173"/>
    <x v="168"/>
    <x v="15"/>
    <x v="24"/>
    <x v="64"/>
  </r>
  <r>
    <x v="2"/>
    <x v="77"/>
    <x v="2031"/>
    <x v="74"/>
    <x v="74"/>
    <x v="8"/>
    <x v="6"/>
    <x v="2"/>
  </r>
  <r>
    <x v="2"/>
    <x v="77"/>
    <x v="2032"/>
    <x v="113"/>
    <x v="110"/>
    <x v="5"/>
    <x v="11"/>
    <x v="2"/>
  </r>
  <r>
    <x v="3"/>
    <x v="77"/>
    <x v="2033"/>
    <x v="263"/>
    <x v="248"/>
    <x v="15"/>
    <x v="4"/>
    <x v="4"/>
  </r>
  <r>
    <x v="3"/>
    <x v="77"/>
    <x v="2034"/>
    <x v="263"/>
    <x v="248"/>
    <x v="15"/>
    <x v="4"/>
    <x v="4"/>
  </r>
  <r>
    <x v="3"/>
    <x v="77"/>
    <x v="2035"/>
    <x v="263"/>
    <x v="248"/>
    <x v="15"/>
    <x v="4"/>
    <x v="4"/>
  </r>
  <r>
    <x v="3"/>
    <x v="77"/>
    <x v="2036"/>
    <x v="263"/>
    <x v="248"/>
    <x v="15"/>
    <x v="4"/>
    <x v="4"/>
  </r>
  <r>
    <x v="0"/>
    <x v="77"/>
    <x v="2037"/>
    <x v="213"/>
    <x v="208"/>
    <x v="10"/>
    <x v="1"/>
    <x v="16"/>
  </r>
  <r>
    <x v="0"/>
    <x v="78"/>
    <x v="2038"/>
    <x v="7"/>
    <x v="7"/>
    <x v="12"/>
    <x v="10"/>
    <x v="2"/>
  </r>
  <r>
    <x v="2"/>
    <x v="78"/>
    <x v="2039"/>
    <x v="77"/>
    <x v="77"/>
    <x v="13"/>
    <x v="4"/>
    <x v="7"/>
  </r>
  <r>
    <x v="1"/>
    <x v="78"/>
    <x v="2040"/>
    <x v="52"/>
    <x v="20"/>
    <x v="15"/>
    <x v="22"/>
    <x v="7"/>
  </r>
  <r>
    <x v="0"/>
    <x v="78"/>
    <x v="2041"/>
    <x v="77"/>
    <x v="77"/>
    <x v="13"/>
    <x v="4"/>
    <x v="7"/>
  </r>
  <r>
    <x v="2"/>
    <x v="78"/>
    <x v="2042"/>
    <x v="1"/>
    <x v="1"/>
    <x v="1"/>
    <x v="1"/>
    <x v="7"/>
  </r>
  <r>
    <x v="2"/>
    <x v="78"/>
    <x v="2043"/>
    <x v="1"/>
    <x v="1"/>
    <x v="1"/>
    <x v="23"/>
    <x v="7"/>
  </r>
  <r>
    <x v="4"/>
    <x v="78"/>
    <x v="2044"/>
    <x v="1"/>
    <x v="1"/>
    <x v="1"/>
    <x v="1"/>
    <x v="7"/>
  </r>
  <r>
    <x v="4"/>
    <x v="78"/>
    <x v="2045"/>
    <x v="1"/>
    <x v="1"/>
    <x v="1"/>
    <x v="23"/>
    <x v="7"/>
  </r>
  <r>
    <x v="5"/>
    <x v="78"/>
    <x v="2046"/>
    <x v="1"/>
    <x v="1"/>
    <x v="1"/>
    <x v="1"/>
    <x v="7"/>
  </r>
  <r>
    <x v="5"/>
    <x v="78"/>
    <x v="2047"/>
    <x v="1"/>
    <x v="1"/>
    <x v="1"/>
    <x v="1"/>
    <x v="7"/>
  </r>
  <r>
    <x v="5"/>
    <x v="78"/>
    <x v="2048"/>
    <x v="1"/>
    <x v="1"/>
    <x v="1"/>
    <x v="1"/>
    <x v="7"/>
  </r>
  <r>
    <x v="5"/>
    <x v="78"/>
    <x v="2049"/>
    <x v="1"/>
    <x v="1"/>
    <x v="1"/>
    <x v="1"/>
    <x v="7"/>
  </r>
  <r>
    <x v="0"/>
    <x v="78"/>
    <x v="2050"/>
    <x v="220"/>
    <x v="162"/>
    <x v="4"/>
    <x v="1"/>
    <x v="25"/>
  </r>
  <r>
    <x v="0"/>
    <x v="78"/>
    <x v="1817"/>
    <x v="52"/>
    <x v="20"/>
    <x v="15"/>
    <x v="8"/>
    <x v="34"/>
  </r>
  <r>
    <x v="4"/>
    <x v="78"/>
    <x v="2051"/>
    <x v="1"/>
    <x v="1"/>
    <x v="1"/>
    <x v="8"/>
    <x v="25"/>
  </r>
  <r>
    <x v="4"/>
    <x v="78"/>
    <x v="2052"/>
    <x v="1"/>
    <x v="1"/>
    <x v="1"/>
    <x v="1"/>
    <x v="7"/>
  </r>
  <r>
    <x v="1"/>
    <x v="78"/>
    <x v="2053"/>
    <x v="1"/>
    <x v="1"/>
    <x v="1"/>
    <x v="1"/>
    <x v="7"/>
  </r>
  <r>
    <x v="1"/>
    <x v="78"/>
    <x v="2054"/>
    <x v="1"/>
    <x v="1"/>
    <x v="1"/>
    <x v="1"/>
    <x v="7"/>
  </r>
  <r>
    <x v="1"/>
    <x v="78"/>
    <x v="2055"/>
    <x v="1"/>
    <x v="1"/>
    <x v="1"/>
    <x v="23"/>
    <x v="7"/>
  </r>
  <r>
    <x v="1"/>
    <x v="78"/>
    <x v="2056"/>
    <x v="1"/>
    <x v="1"/>
    <x v="1"/>
    <x v="1"/>
    <x v="7"/>
  </r>
  <r>
    <x v="1"/>
    <x v="78"/>
    <x v="2057"/>
    <x v="1"/>
    <x v="1"/>
    <x v="1"/>
    <x v="1"/>
    <x v="7"/>
  </r>
  <r>
    <x v="1"/>
    <x v="78"/>
    <x v="2058"/>
    <x v="1"/>
    <x v="1"/>
    <x v="1"/>
    <x v="23"/>
    <x v="7"/>
  </r>
  <r>
    <x v="5"/>
    <x v="78"/>
    <x v="2059"/>
    <x v="77"/>
    <x v="77"/>
    <x v="13"/>
    <x v="4"/>
    <x v="7"/>
  </r>
  <r>
    <x v="4"/>
    <x v="78"/>
    <x v="2060"/>
    <x v="1"/>
    <x v="1"/>
    <x v="1"/>
    <x v="1"/>
    <x v="25"/>
  </r>
  <r>
    <x v="2"/>
    <x v="78"/>
    <x v="2061"/>
    <x v="1"/>
    <x v="1"/>
    <x v="1"/>
    <x v="1"/>
    <x v="7"/>
  </r>
  <r>
    <x v="0"/>
    <x v="78"/>
    <x v="2062"/>
    <x v="133"/>
    <x v="129"/>
    <x v="13"/>
    <x v="23"/>
    <x v="7"/>
  </r>
  <r>
    <x v="5"/>
    <x v="78"/>
    <x v="2063"/>
    <x v="1"/>
    <x v="1"/>
    <x v="1"/>
    <x v="13"/>
    <x v="2"/>
  </r>
  <r>
    <x v="1"/>
    <x v="78"/>
    <x v="2064"/>
    <x v="220"/>
    <x v="162"/>
    <x v="4"/>
    <x v="5"/>
    <x v="10"/>
  </r>
  <r>
    <x v="1"/>
    <x v="78"/>
    <x v="2065"/>
    <x v="231"/>
    <x v="162"/>
    <x v="4"/>
    <x v="5"/>
    <x v="10"/>
  </r>
  <r>
    <x v="0"/>
    <x v="78"/>
    <x v="2066"/>
    <x v="132"/>
    <x v="128"/>
    <x v="0"/>
    <x v="11"/>
    <x v="2"/>
  </r>
  <r>
    <x v="0"/>
    <x v="78"/>
    <x v="2067"/>
    <x v="158"/>
    <x v="153"/>
    <x v="15"/>
    <x v="11"/>
    <x v="2"/>
  </r>
  <r>
    <x v="0"/>
    <x v="78"/>
    <x v="2068"/>
    <x v="158"/>
    <x v="153"/>
    <x v="15"/>
    <x v="11"/>
    <x v="2"/>
  </r>
  <r>
    <x v="0"/>
    <x v="78"/>
    <x v="2069"/>
    <x v="107"/>
    <x v="104"/>
    <x v="13"/>
    <x v="11"/>
    <x v="2"/>
  </r>
  <r>
    <x v="2"/>
    <x v="78"/>
    <x v="2042"/>
    <x v="1"/>
    <x v="1"/>
    <x v="1"/>
    <x v="1"/>
    <x v="7"/>
  </r>
  <r>
    <x v="2"/>
    <x v="78"/>
    <x v="2043"/>
    <x v="1"/>
    <x v="1"/>
    <x v="1"/>
    <x v="1"/>
    <x v="7"/>
  </r>
  <r>
    <x v="2"/>
    <x v="78"/>
    <x v="2061"/>
    <x v="1"/>
    <x v="1"/>
    <x v="1"/>
    <x v="1"/>
    <x v="7"/>
  </r>
  <r>
    <x v="2"/>
    <x v="78"/>
    <x v="2070"/>
    <x v="1"/>
    <x v="1"/>
    <x v="1"/>
    <x v="3"/>
    <x v="2"/>
  </r>
  <r>
    <x v="2"/>
    <x v="78"/>
    <x v="2039"/>
    <x v="77"/>
    <x v="77"/>
    <x v="13"/>
    <x v="4"/>
    <x v="7"/>
  </r>
  <r>
    <x v="0"/>
    <x v="79"/>
    <x v="2071"/>
    <x v="90"/>
    <x v="90"/>
    <x v="4"/>
    <x v="4"/>
    <x v="7"/>
  </r>
  <r>
    <x v="0"/>
    <x v="79"/>
    <x v="2072"/>
    <x v="90"/>
    <x v="90"/>
    <x v="4"/>
    <x v="4"/>
    <x v="7"/>
  </r>
  <r>
    <x v="0"/>
    <x v="79"/>
    <x v="2073"/>
    <x v="90"/>
    <x v="90"/>
    <x v="4"/>
    <x v="4"/>
    <x v="7"/>
  </r>
  <r>
    <x v="0"/>
    <x v="79"/>
    <x v="2074"/>
    <x v="90"/>
    <x v="90"/>
    <x v="4"/>
    <x v="4"/>
    <x v="7"/>
  </r>
  <r>
    <x v="0"/>
    <x v="79"/>
    <x v="2075"/>
    <x v="90"/>
    <x v="90"/>
    <x v="4"/>
    <x v="4"/>
    <x v="7"/>
  </r>
  <r>
    <x v="0"/>
    <x v="79"/>
    <x v="2076"/>
    <x v="90"/>
    <x v="90"/>
    <x v="4"/>
    <x v="4"/>
    <x v="7"/>
  </r>
  <r>
    <x v="0"/>
    <x v="79"/>
    <x v="2077"/>
    <x v="90"/>
    <x v="90"/>
    <x v="4"/>
    <x v="4"/>
    <x v="7"/>
  </r>
  <r>
    <x v="0"/>
    <x v="79"/>
    <x v="2078"/>
    <x v="90"/>
    <x v="90"/>
    <x v="4"/>
    <x v="4"/>
    <x v="7"/>
  </r>
  <r>
    <x v="0"/>
    <x v="79"/>
    <x v="2079"/>
    <x v="90"/>
    <x v="90"/>
    <x v="4"/>
    <x v="4"/>
    <x v="7"/>
  </r>
  <r>
    <x v="0"/>
    <x v="79"/>
    <x v="2080"/>
    <x v="90"/>
    <x v="90"/>
    <x v="4"/>
    <x v="4"/>
    <x v="7"/>
  </r>
  <r>
    <x v="5"/>
    <x v="79"/>
    <x v="2081"/>
    <x v="9"/>
    <x v="9"/>
    <x v="13"/>
    <x v="4"/>
    <x v="53"/>
  </r>
  <r>
    <x v="1"/>
    <x v="79"/>
    <x v="2082"/>
    <x v="229"/>
    <x v="221"/>
    <x v="8"/>
    <x v="22"/>
    <x v="43"/>
  </r>
  <r>
    <x v="0"/>
    <x v="79"/>
    <x v="2083"/>
    <x v="24"/>
    <x v="24"/>
    <x v="12"/>
    <x v="10"/>
    <x v="2"/>
  </r>
  <r>
    <x v="0"/>
    <x v="79"/>
    <x v="2084"/>
    <x v="1"/>
    <x v="1"/>
    <x v="1"/>
    <x v="1"/>
    <x v="7"/>
  </r>
  <r>
    <x v="0"/>
    <x v="79"/>
    <x v="2085"/>
    <x v="1"/>
    <x v="1"/>
    <x v="1"/>
    <x v="23"/>
    <x v="7"/>
  </r>
  <r>
    <x v="5"/>
    <x v="79"/>
    <x v="2086"/>
    <x v="245"/>
    <x v="162"/>
    <x v="10"/>
    <x v="10"/>
    <x v="2"/>
  </r>
  <r>
    <x v="2"/>
    <x v="79"/>
    <x v="2087"/>
    <x v="90"/>
    <x v="90"/>
    <x v="4"/>
    <x v="23"/>
    <x v="7"/>
  </r>
  <r>
    <x v="2"/>
    <x v="79"/>
    <x v="2088"/>
    <x v="8"/>
    <x v="8"/>
    <x v="13"/>
    <x v="25"/>
    <x v="7"/>
  </r>
  <r>
    <x v="2"/>
    <x v="79"/>
    <x v="2089"/>
    <x v="8"/>
    <x v="8"/>
    <x v="13"/>
    <x v="25"/>
    <x v="7"/>
  </r>
  <r>
    <x v="2"/>
    <x v="79"/>
    <x v="2090"/>
    <x v="8"/>
    <x v="8"/>
    <x v="13"/>
    <x v="25"/>
    <x v="7"/>
  </r>
  <r>
    <x v="2"/>
    <x v="79"/>
    <x v="2091"/>
    <x v="8"/>
    <x v="8"/>
    <x v="13"/>
    <x v="25"/>
    <x v="7"/>
  </r>
  <r>
    <x v="2"/>
    <x v="79"/>
    <x v="2092"/>
    <x v="8"/>
    <x v="8"/>
    <x v="13"/>
    <x v="25"/>
    <x v="7"/>
  </r>
  <r>
    <x v="2"/>
    <x v="79"/>
    <x v="2093"/>
    <x v="8"/>
    <x v="8"/>
    <x v="13"/>
    <x v="25"/>
    <x v="7"/>
  </r>
  <r>
    <x v="2"/>
    <x v="79"/>
    <x v="2094"/>
    <x v="264"/>
    <x v="249"/>
    <x v="15"/>
    <x v="25"/>
    <x v="7"/>
  </r>
  <r>
    <x v="1"/>
    <x v="79"/>
    <x v="2095"/>
    <x v="222"/>
    <x v="162"/>
    <x v="5"/>
    <x v="28"/>
    <x v="25"/>
  </r>
  <r>
    <x v="1"/>
    <x v="79"/>
    <x v="2096"/>
    <x v="222"/>
    <x v="162"/>
    <x v="5"/>
    <x v="28"/>
    <x v="25"/>
  </r>
  <r>
    <x v="1"/>
    <x v="79"/>
    <x v="2097"/>
    <x v="222"/>
    <x v="162"/>
    <x v="5"/>
    <x v="28"/>
    <x v="25"/>
  </r>
  <r>
    <x v="1"/>
    <x v="79"/>
    <x v="2098"/>
    <x v="222"/>
    <x v="162"/>
    <x v="5"/>
    <x v="28"/>
    <x v="25"/>
  </r>
  <r>
    <x v="1"/>
    <x v="79"/>
    <x v="2099"/>
    <x v="222"/>
    <x v="162"/>
    <x v="5"/>
    <x v="28"/>
    <x v="25"/>
  </r>
  <r>
    <x v="1"/>
    <x v="79"/>
    <x v="2100"/>
    <x v="222"/>
    <x v="162"/>
    <x v="5"/>
    <x v="28"/>
    <x v="25"/>
  </r>
  <r>
    <x v="1"/>
    <x v="79"/>
    <x v="2101"/>
    <x v="222"/>
    <x v="162"/>
    <x v="5"/>
    <x v="28"/>
    <x v="25"/>
  </r>
  <r>
    <x v="0"/>
    <x v="79"/>
    <x v="2102"/>
    <x v="8"/>
    <x v="8"/>
    <x v="13"/>
    <x v="23"/>
    <x v="7"/>
  </r>
  <r>
    <x v="4"/>
    <x v="79"/>
    <x v="2103"/>
    <x v="76"/>
    <x v="76"/>
    <x v="13"/>
    <x v="5"/>
    <x v="2"/>
  </r>
  <r>
    <x v="4"/>
    <x v="79"/>
    <x v="2104"/>
    <x v="76"/>
    <x v="76"/>
    <x v="13"/>
    <x v="5"/>
    <x v="2"/>
  </r>
  <r>
    <x v="4"/>
    <x v="79"/>
    <x v="2105"/>
    <x v="76"/>
    <x v="76"/>
    <x v="13"/>
    <x v="5"/>
    <x v="2"/>
  </r>
  <r>
    <x v="4"/>
    <x v="79"/>
    <x v="2106"/>
    <x v="87"/>
    <x v="87"/>
    <x v="15"/>
    <x v="33"/>
    <x v="7"/>
  </r>
  <r>
    <x v="4"/>
    <x v="79"/>
    <x v="2107"/>
    <x v="87"/>
    <x v="87"/>
    <x v="15"/>
    <x v="33"/>
    <x v="7"/>
  </r>
  <r>
    <x v="4"/>
    <x v="79"/>
    <x v="2108"/>
    <x v="217"/>
    <x v="212"/>
    <x v="13"/>
    <x v="6"/>
    <x v="2"/>
  </r>
  <r>
    <x v="1"/>
    <x v="79"/>
    <x v="2109"/>
    <x v="87"/>
    <x v="87"/>
    <x v="15"/>
    <x v="33"/>
    <x v="2"/>
  </r>
  <r>
    <x v="1"/>
    <x v="79"/>
    <x v="2110"/>
    <x v="87"/>
    <x v="87"/>
    <x v="15"/>
    <x v="33"/>
    <x v="2"/>
  </r>
  <r>
    <x v="5"/>
    <x v="79"/>
    <x v="2111"/>
    <x v="87"/>
    <x v="87"/>
    <x v="15"/>
    <x v="33"/>
    <x v="60"/>
  </r>
  <r>
    <x v="5"/>
    <x v="79"/>
    <x v="2112"/>
    <x v="87"/>
    <x v="87"/>
    <x v="15"/>
    <x v="33"/>
    <x v="60"/>
  </r>
  <r>
    <x v="3"/>
    <x v="79"/>
    <x v="2113"/>
    <x v="24"/>
    <x v="24"/>
    <x v="10"/>
    <x v="10"/>
    <x v="2"/>
  </r>
  <r>
    <x v="3"/>
    <x v="79"/>
    <x v="2114"/>
    <x v="1"/>
    <x v="1"/>
    <x v="1"/>
    <x v="1"/>
    <x v="7"/>
  </r>
  <r>
    <x v="3"/>
    <x v="79"/>
    <x v="2115"/>
    <x v="1"/>
    <x v="1"/>
    <x v="1"/>
    <x v="1"/>
    <x v="7"/>
  </r>
  <r>
    <x v="3"/>
    <x v="79"/>
    <x v="2116"/>
    <x v="1"/>
    <x v="1"/>
    <x v="1"/>
    <x v="1"/>
    <x v="7"/>
  </r>
  <r>
    <x v="3"/>
    <x v="79"/>
    <x v="2117"/>
    <x v="1"/>
    <x v="1"/>
    <x v="1"/>
    <x v="1"/>
    <x v="7"/>
  </r>
  <r>
    <x v="3"/>
    <x v="79"/>
    <x v="2118"/>
    <x v="1"/>
    <x v="1"/>
    <x v="1"/>
    <x v="1"/>
    <x v="7"/>
  </r>
  <r>
    <x v="3"/>
    <x v="79"/>
    <x v="2119"/>
    <x v="1"/>
    <x v="1"/>
    <x v="1"/>
    <x v="1"/>
    <x v="7"/>
  </r>
  <r>
    <x v="3"/>
    <x v="79"/>
    <x v="2120"/>
    <x v="1"/>
    <x v="1"/>
    <x v="1"/>
    <x v="1"/>
    <x v="7"/>
  </r>
  <r>
    <x v="3"/>
    <x v="79"/>
    <x v="2121"/>
    <x v="222"/>
    <x v="162"/>
    <x v="10"/>
    <x v="34"/>
    <x v="56"/>
  </r>
  <r>
    <x v="5"/>
    <x v="79"/>
    <x v="2122"/>
    <x v="101"/>
    <x v="99"/>
    <x v="0"/>
    <x v="11"/>
    <x v="2"/>
  </r>
  <r>
    <x v="5"/>
    <x v="79"/>
    <x v="2123"/>
    <x v="101"/>
    <x v="99"/>
    <x v="0"/>
    <x v="11"/>
    <x v="2"/>
  </r>
  <r>
    <x v="3"/>
    <x v="79"/>
    <x v="2124"/>
    <x v="155"/>
    <x v="151"/>
    <x v="10"/>
    <x v="10"/>
    <x v="2"/>
  </r>
  <r>
    <x v="2"/>
    <x v="79"/>
    <x v="2125"/>
    <x v="245"/>
    <x v="162"/>
    <x v="10"/>
    <x v="10"/>
    <x v="2"/>
  </r>
  <r>
    <x v="3"/>
    <x v="79"/>
    <x v="2126"/>
    <x v="1"/>
    <x v="1"/>
    <x v="1"/>
    <x v="3"/>
    <x v="2"/>
  </r>
  <r>
    <x v="0"/>
    <x v="79"/>
    <x v="2127"/>
    <x v="8"/>
    <x v="8"/>
    <x v="13"/>
    <x v="3"/>
    <x v="67"/>
  </r>
  <r>
    <x v="0"/>
    <x v="80"/>
    <x v="2128"/>
    <x v="7"/>
    <x v="7"/>
    <x v="12"/>
    <x v="10"/>
    <x v="2"/>
  </r>
  <r>
    <x v="0"/>
    <x v="80"/>
    <x v="2129"/>
    <x v="7"/>
    <x v="7"/>
    <x v="12"/>
    <x v="3"/>
    <x v="2"/>
  </r>
  <r>
    <x v="1"/>
    <x v="81"/>
    <x v="2130"/>
    <x v="63"/>
    <x v="63"/>
    <x v="16"/>
    <x v="23"/>
    <x v="7"/>
  </r>
  <r>
    <x v="1"/>
    <x v="81"/>
    <x v="1837"/>
    <x v="219"/>
    <x v="214"/>
    <x v="17"/>
    <x v="22"/>
    <x v="7"/>
  </r>
  <r>
    <x v="0"/>
    <x v="81"/>
    <x v="1803"/>
    <x v="219"/>
    <x v="214"/>
    <x v="17"/>
    <x v="23"/>
    <x v="7"/>
  </r>
  <r>
    <x v="0"/>
    <x v="81"/>
    <x v="2131"/>
    <x v="222"/>
    <x v="162"/>
    <x v="5"/>
    <x v="28"/>
    <x v="25"/>
  </r>
  <r>
    <x v="5"/>
    <x v="81"/>
    <x v="2132"/>
    <x v="13"/>
    <x v="13"/>
    <x v="13"/>
    <x v="18"/>
    <x v="14"/>
  </r>
  <r>
    <x v="1"/>
    <x v="81"/>
    <x v="2133"/>
    <x v="98"/>
    <x v="97"/>
    <x v="1"/>
    <x v="23"/>
    <x v="7"/>
  </r>
  <r>
    <x v="5"/>
    <x v="81"/>
    <x v="2134"/>
    <x v="13"/>
    <x v="13"/>
    <x v="13"/>
    <x v="18"/>
    <x v="14"/>
  </r>
  <r>
    <x v="5"/>
    <x v="81"/>
    <x v="2135"/>
    <x v="98"/>
    <x v="97"/>
    <x v="1"/>
    <x v="22"/>
    <x v="7"/>
  </r>
  <r>
    <x v="5"/>
    <x v="81"/>
    <x v="2136"/>
    <x v="98"/>
    <x v="97"/>
    <x v="1"/>
    <x v="22"/>
    <x v="7"/>
  </r>
  <r>
    <x v="3"/>
    <x v="81"/>
    <x v="2137"/>
    <x v="63"/>
    <x v="63"/>
    <x v="15"/>
    <x v="1"/>
    <x v="7"/>
  </r>
  <r>
    <x v="0"/>
    <x v="81"/>
    <x v="2138"/>
    <x v="219"/>
    <x v="214"/>
    <x v="17"/>
    <x v="1"/>
    <x v="7"/>
  </r>
  <r>
    <x v="0"/>
    <x v="81"/>
    <x v="2139"/>
    <x v="98"/>
    <x v="97"/>
    <x v="1"/>
    <x v="23"/>
    <x v="7"/>
  </r>
  <r>
    <x v="0"/>
    <x v="81"/>
    <x v="2140"/>
    <x v="154"/>
    <x v="150"/>
    <x v="17"/>
    <x v="14"/>
    <x v="0"/>
  </r>
  <r>
    <x v="3"/>
    <x v="81"/>
    <x v="2141"/>
    <x v="98"/>
    <x v="97"/>
    <x v="1"/>
    <x v="19"/>
    <x v="4"/>
  </r>
  <r>
    <x v="3"/>
    <x v="81"/>
    <x v="2142"/>
    <x v="98"/>
    <x v="97"/>
    <x v="1"/>
    <x v="19"/>
    <x v="4"/>
  </r>
  <r>
    <x v="5"/>
    <x v="81"/>
    <x v="2143"/>
    <x v="245"/>
    <x v="162"/>
    <x v="10"/>
    <x v="1"/>
    <x v="14"/>
  </r>
  <r>
    <x v="3"/>
    <x v="81"/>
    <x v="2144"/>
    <x v="222"/>
    <x v="162"/>
    <x v="5"/>
    <x v="28"/>
    <x v="25"/>
  </r>
  <r>
    <x v="2"/>
    <x v="81"/>
    <x v="2145"/>
    <x v="87"/>
    <x v="87"/>
    <x v="15"/>
    <x v="23"/>
    <x v="7"/>
  </r>
  <r>
    <x v="2"/>
    <x v="81"/>
    <x v="2146"/>
    <x v="87"/>
    <x v="87"/>
    <x v="15"/>
    <x v="23"/>
    <x v="7"/>
  </r>
  <r>
    <x v="0"/>
    <x v="81"/>
    <x v="2147"/>
    <x v="87"/>
    <x v="87"/>
    <x v="15"/>
    <x v="23"/>
    <x v="7"/>
  </r>
  <r>
    <x v="0"/>
    <x v="81"/>
    <x v="2148"/>
    <x v="87"/>
    <x v="87"/>
    <x v="15"/>
    <x v="23"/>
    <x v="7"/>
  </r>
  <r>
    <x v="0"/>
    <x v="81"/>
    <x v="2149"/>
    <x v="245"/>
    <x v="162"/>
    <x v="10"/>
    <x v="34"/>
    <x v="68"/>
  </r>
  <r>
    <x v="3"/>
    <x v="81"/>
    <x v="2150"/>
    <x v="222"/>
    <x v="162"/>
    <x v="5"/>
    <x v="28"/>
    <x v="25"/>
  </r>
  <r>
    <x v="0"/>
    <x v="81"/>
    <x v="2151"/>
    <x v="210"/>
    <x v="205"/>
    <x v="16"/>
    <x v="23"/>
    <x v="12"/>
  </r>
  <r>
    <x v="1"/>
    <x v="81"/>
    <x v="2152"/>
    <x v="51"/>
    <x v="52"/>
    <x v="17"/>
    <x v="12"/>
    <x v="14"/>
  </r>
  <r>
    <x v="4"/>
    <x v="81"/>
    <x v="2153"/>
    <x v="63"/>
    <x v="63"/>
    <x v="6"/>
    <x v="1"/>
    <x v="7"/>
  </r>
  <r>
    <x v="4"/>
    <x v="81"/>
    <x v="1827"/>
    <x v="219"/>
    <x v="214"/>
    <x v="17"/>
    <x v="23"/>
    <x v="7"/>
  </r>
  <r>
    <x v="4"/>
    <x v="81"/>
    <x v="2154"/>
    <x v="245"/>
    <x v="162"/>
    <x v="10"/>
    <x v="1"/>
    <x v="14"/>
  </r>
  <r>
    <x v="4"/>
    <x v="81"/>
    <x v="2155"/>
    <x v="98"/>
    <x v="97"/>
    <x v="0"/>
    <x v="23"/>
    <x v="7"/>
  </r>
  <r>
    <x v="3"/>
    <x v="81"/>
    <x v="2156"/>
    <x v="245"/>
    <x v="162"/>
    <x v="10"/>
    <x v="10"/>
    <x v="14"/>
  </r>
  <r>
    <x v="0"/>
    <x v="81"/>
    <x v="2157"/>
    <x v="155"/>
    <x v="151"/>
    <x v="10"/>
    <x v="34"/>
    <x v="68"/>
  </r>
  <r>
    <x v="3"/>
    <x v="81"/>
    <x v="2158"/>
    <x v="87"/>
    <x v="87"/>
    <x v="0"/>
    <x v="3"/>
    <x v="14"/>
  </r>
  <r>
    <x v="0"/>
    <x v="81"/>
    <x v="2159"/>
    <x v="178"/>
    <x v="173"/>
    <x v="17"/>
    <x v="11"/>
    <x v="14"/>
  </r>
  <r>
    <x v="0"/>
    <x v="81"/>
    <x v="2160"/>
    <x v="178"/>
    <x v="173"/>
    <x v="17"/>
    <x v="11"/>
    <x v="14"/>
  </r>
  <r>
    <x v="0"/>
    <x v="81"/>
    <x v="2161"/>
    <x v="178"/>
    <x v="173"/>
    <x v="17"/>
    <x v="11"/>
    <x v="14"/>
  </r>
  <r>
    <x v="0"/>
    <x v="81"/>
    <x v="2162"/>
    <x v="183"/>
    <x v="178"/>
    <x v="17"/>
    <x v="11"/>
    <x v="14"/>
  </r>
  <r>
    <x v="3"/>
    <x v="81"/>
    <x v="2163"/>
    <x v="217"/>
    <x v="212"/>
    <x v="12"/>
    <x v="6"/>
    <x v="14"/>
  </r>
  <r>
    <x v="2"/>
    <x v="81"/>
    <x v="2164"/>
    <x v="98"/>
    <x v="97"/>
    <x v="1"/>
    <x v="23"/>
    <x v="7"/>
  </r>
  <r>
    <x v="5"/>
    <x v="81"/>
    <x v="2165"/>
    <x v="245"/>
    <x v="162"/>
    <x v="10"/>
    <x v="1"/>
    <x v="69"/>
  </r>
  <r>
    <x v="3"/>
    <x v="82"/>
    <x v="2166"/>
    <x v="189"/>
    <x v="184"/>
    <x v="8"/>
    <x v="4"/>
    <x v="4"/>
  </r>
  <r>
    <x v="1"/>
    <x v="82"/>
    <x v="2167"/>
    <x v="265"/>
    <x v="250"/>
    <x v="13"/>
    <x v="15"/>
    <x v="2"/>
  </r>
  <r>
    <x v="0"/>
    <x v="82"/>
    <x v="2168"/>
    <x v="1"/>
    <x v="1"/>
    <x v="1"/>
    <x v="23"/>
    <x v="7"/>
  </r>
  <r>
    <x v="0"/>
    <x v="82"/>
    <x v="2169"/>
    <x v="266"/>
    <x v="162"/>
    <x v="17"/>
    <x v="4"/>
    <x v="7"/>
  </r>
  <r>
    <x v="1"/>
    <x v="82"/>
    <x v="2170"/>
    <x v="114"/>
    <x v="111"/>
    <x v="13"/>
    <x v="1"/>
    <x v="7"/>
  </r>
  <r>
    <x v="3"/>
    <x v="82"/>
    <x v="2171"/>
    <x v="1"/>
    <x v="1"/>
    <x v="1"/>
    <x v="1"/>
    <x v="4"/>
  </r>
  <r>
    <x v="3"/>
    <x v="82"/>
    <x v="2172"/>
    <x v="1"/>
    <x v="1"/>
    <x v="1"/>
    <x v="1"/>
    <x v="4"/>
  </r>
  <r>
    <x v="3"/>
    <x v="82"/>
    <x v="2173"/>
    <x v="1"/>
    <x v="1"/>
    <x v="1"/>
    <x v="1"/>
    <x v="4"/>
  </r>
  <r>
    <x v="3"/>
    <x v="82"/>
    <x v="2174"/>
    <x v="1"/>
    <x v="1"/>
    <x v="1"/>
    <x v="1"/>
    <x v="4"/>
  </r>
  <r>
    <x v="0"/>
    <x v="82"/>
    <x v="2175"/>
    <x v="1"/>
    <x v="1"/>
    <x v="1"/>
    <x v="3"/>
    <x v="2"/>
  </r>
  <r>
    <x v="0"/>
    <x v="82"/>
    <x v="2176"/>
    <x v="1"/>
    <x v="1"/>
    <x v="1"/>
    <x v="3"/>
    <x v="2"/>
  </r>
  <r>
    <x v="3"/>
    <x v="82"/>
    <x v="2142"/>
    <x v="98"/>
    <x v="97"/>
    <x v="1"/>
    <x v="23"/>
    <x v="4"/>
  </r>
  <r>
    <x v="4"/>
    <x v="82"/>
    <x v="2177"/>
    <x v="44"/>
    <x v="45"/>
    <x v="10"/>
    <x v="10"/>
    <x v="2"/>
  </r>
  <r>
    <x v="3"/>
    <x v="82"/>
    <x v="2178"/>
    <x v="114"/>
    <x v="111"/>
    <x v="13"/>
    <x v="1"/>
    <x v="7"/>
  </r>
  <r>
    <x v="3"/>
    <x v="82"/>
    <x v="2179"/>
    <x v="15"/>
    <x v="15"/>
    <x v="6"/>
    <x v="15"/>
    <x v="7"/>
  </r>
  <r>
    <x v="1"/>
    <x v="82"/>
    <x v="2180"/>
    <x v="74"/>
    <x v="74"/>
    <x v="15"/>
    <x v="5"/>
    <x v="10"/>
  </r>
  <r>
    <x v="4"/>
    <x v="82"/>
    <x v="2181"/>
    <x v="216"/>
    <x v="211"/>
    <x v="15"/>
    <x v="3"/>
    <x v="2"/>
  </r>
  <r>
    <x v="3"/>
    <x v="82"/>
    <x v="2182"/>
    <x v="1"/>
    <x v="1"/>
    <x v="1"/>
    <x v="13"/>
    <x v="2"/>
  </r>
  <r>
    <x v="3"/>
    <x v="82"/>
    <x v="2183"/>
    <x v="1"/>
    <x v="1"/>
    <x v="1"/>
    <x v="13"/>
    <x v="2"/>
  </r>
  <r>
    <x v="3"/>
    <x v="82"/>
    <x v="2184"/>
    <x v="1"/>
    <x v="1"/>
    <x v="1"/>
    <x v="13"/>
    <x v="2"/>
  </r>
  <r>
    <x v="3"/>
    <x v="82"/>
    <x v="2185"/>
    <x v="114"/>
    <x v="111"/>
    <x v="13"/>
    <x v="3"/>
    <x v="2"/>
  </r>
  <r>
    <x v="4"/>
    <x v="82"/>
    <x v="2186"/>
    <x v="60"/>
    <x v="60"/>
    <x v="15"/>
    <x v="23"/>
    <x v="7"/>
  </r>
  <r>
    <x v="4"/>
    <x v="82"/>
    <x v="2187"/>
    <x v="10"/>
    <x v="10"/>
    <x v="13"/>
    <x v="11"/>
    <x v="2"/>
  </r>
  <r>
    <x v="4"/>
    <x v="82"/>
    <x v="2188"/>
    <x v="10"/>
    <x v="10"/>
    <x v="13"/>
    <x v="11"/>
    <x v="2"/>
  </r>
  <r>
    <x v="4"/>
    <x v="82"/>
    <x v="2189"/>
    <x v="267"/>
    <x v="251"/>
    <x v="13"/>
    <x v="11"/>
    <x v="2"/>
  </r>
  <r>
    <x v="4"/>
    <x v="82"/>
    <x v="2190"/>
    <x v="267"/>
    <x v="251"/>
    <x v="13"/>
    <x v="11"/>
    <x v="2"/>
  </r>
  <r>
    <x v="2"/>
    <x v="82"/>
    <x v="2191"/>
    <x v="60"/>
    <x v="60"/>
    <x v="15"/>
    <x v="13"/>
    <x v="59"/>
  </r>
  <r>
    <x v="2"/>
    <x v="82"/>
    <x v="2192"/>
    <x v="24"/>
    <x v="24"/>
    <x v="12"/>
    <x v="10"/>
    <x v="2"/>
  </r>
  <r>
    <x v="2"/>
    <x v="82"/>
    <x v="2164"/>
    <x v="98"/>
    <x v="97"/>
    <x v="1"/>
    <x v="23"/>
    <x v="7"/>
  </r>
  <r>
    <x v="2"/>
    <x v="82"/>
    <x v="2193"/>
    <x v="98"/>
    <x v="97"/>
    <x v="1"/>
    <x v="23"/>
    <x v="7"/>
  </r>
  <r>
    <x v="2"/>
    <x v="82"/>
    <x v="2194"/>
    <x v="151"/>
    <x v="147"/>
    <x v="13"/>
    <x v="4"/>
    <x v="53"/>
  </r>
  <r>
    <x v="0"/>
    <x v="83"/>
    <x v="2195"/>
    <x v="7"/>
    <x v="7"/>
    <x v="12"/>
    <x v="10"/>
    <x v="2"/>
  </r>
  <r>
    <x v="2"/>
    <x v="83"/>
    <x v="2196"/>
    <x v="114"/>
    <x v="111"/>
    <x v="13"/>
    <x v="4"/>
    <x v="53"/>
  </r>
  <r>
    <x v="2"/>
    <x v="83"/>
    <x v="2197"/>
    <x v="114"/>
    <x v="111"/>
    <x v="13"/>
    <x v="4"/>
    <x v="53"/>
  </r>
  <r>
    <x v="2"/>
    <x v="83"/>
    <x v="2198"/>
    <x v="114"/>
    <x v="111"/>
    <x v="13"/>
    <x v="4"/>
    <x v="53"/>
  </r>
  <r>
    <x v="2"/>
    <x v="83"/>
    <x v="2199"/>
    <x v="114"/>
    <x v="111"/>
    <x v="13"/>
    <x v="4"/>
    <x v="53"/>
  </r>
  <r>
    <x v="2"/>
    <x v="83"/>
    <x v="2200"/>
    <x v="114"/>
    <x v="111"/>
    <x v="13"/>
    <x v="4"/>
    <x v="53"/>
  </r>
  <r>
    <x v="2"/>
    <x v="83"/>
    <x v="2201"/>
    <x v="114"/>
    <x v="111"/>
    <x v="13"/>
    <x v="4"/>
    <x v="53"/>
  </r>
  <r>
    <x v="2"/>
    <x v="83"/>
    <x v="2202"/>
    <x v="114"/>
    <x v="111"/>
    <x v="13"/>
    <x v="4"/>
    <x v="53"/>
  </r>
  <r>
    <x v="2"/>
    <x v="83"/>
    <x v="2203"/>
    <x v="114"/>
    <x v="111"/>
    <x v="13"/>
    <x v="4"/>
    <x v="53"/>
  </r>
  <r>
    <x v="2"/>
    <x v="83"/>
    <x v="2204"/>
    <x v="114"/>
    <x v="111"/>
    <x v="13"/>
    <x v="4"/>
    <x v="53"/>
  </r>
  <r>
    <x v="2"/>
    <x v="83"/>
    <x v="2205"/>
    <x v="114"/>
    <x v="111"/>
    <x v="13"/>
    <x v="4"/>
    <x v="53"/>
  </r>
  <r>
    <x v="2"/>
    <x v="83"/>
    <x v="2206"/>
    <x v="114"/>
    <x v="111"/>
    <x v="13"/>
    <x v="4"/>
    <x v="53"/>
  </r>
  <r>
    <x v="2"/>
    <x v="83"/>
    <x v="2207"/>
    <x v="114"/>
    <x v="111"/>
    <x v="13"/>
    <x v="4"/>
    <x v="53"/>
  </r>
  <r>
    <x v="2"/>
    <x v="83"/>
    <x v="2208"/>
    <x v="114"/>
    <x v="111"/>
    <x v="13"/>
    <x v="4"/>
    <x v="53"/>
  </r>
  <r>
    <x v="5"/>
    <x v="83"/>
    <x v="2209"/>
    <x v="60"/>
    <x v="60"/>
    <x v="15"/>
    <x v="22"/>
    <x v="60"/>
  </r>
  <r>
    <x v="5"/>
    <x v="83"/>
    <x v="2210"/>
    <x v="78"/>
    <x v="78"/>
    <x v="0"/>
    <x v="0"/>
    <x v="44"/>
  </r>
  <r>
    <x v="0"/>
    <x v="83"/>
    <x v="2211"/>
    <x v="114"/>
    <x v="111"/>
    <x v="13"/>
    <x v="4"/>
    <x v="7"/>
  </r>
  <r>
    <x v="0"/>
    <x v="83"/>
    <x v="2212"/>
    <x v="114"/>
    <x v="111"/>
    <x v="13"/>
    <x v="4"/>
    <x v="7"/>
  </r>
  <r>
    <x v="0"/>
    <x v="83"/>
    <x v="2213"/>
    <x v="114"/>
    <x v="111"/>
    <x v="13"/>
    <x v="4"/>
    <x v="7"/>
  </r>
  <r>
    <x v="0"/>
    <x v="83"/>
    <x v="2214"/>
    <x v="114"/>
    <x v="111"/>
    <x v="13"/>
    <x v="4"/>
    <x v="7"/>
  </r>
  <r>
    <x v="0"/>
    <x v="83"/>
    <x v="2215"/>
    <x v="114"/>
    <x v="111"/>
    <x v="13"/>
    <x v="4"/>
    <x v="7"/>
  </r>
  <r>
    <x v="0"/>
    <x v="83"/>
    <x v="2216"/>
    <x v="114"/>
    <x v="111"/>
    <x v="13"/>
    <x v="4"/>
    <x v="7"/>
  </r>
  <r>
    <x v="0"/>
    <x v="83"/>
    <x v="2217"/>
    <x v="114"/>
    <x v="111"/>
    <x v="13"/>
    <x v="4"/>
    <x v="7"/>
  </r>
  <r>
    <x v="0"/>
    <x v="83"/>
    <x v="2218"/>
    <x v="114"/>
    <x v="111"/>
    <x v="13"/>
    <x v="4"/>
    <x v="7"/>
  </r>
  <r>
    <x v="0"/>
    <x v="83"/>
    <x v="2219"/>
    <x v="114"/>
    <x v="111"/>
    <x v="13"/>
    <x v="4"/>
    <x v="7"/>
  </r>
  <r>
    <x v="0"/>
    <x v="83"/>
    <x v="2220"/>
    <x v="114"/>
    <x v="111"/>
    <x v="13"/>
    <x v="4"/>
    <x v="7"/>
  </r>
  <r>
    <x v="0"/>
    <x v="83"/>
    <x v="2221"/>
    <x v="114"/>
    <x v="111"/>
    <x v="13"/>
    <x v="4"/>
    <x v="7"/>
  </r>
  <r>
    <x v="0"/>
    <x v="83"/>
    <x v="2222"/>
    <x v="114"/>
    <x v="111"/>
    <x v="13"/>
    <x v="4"/>
    <x v="7"/>
  </r>
  <r>
    <x v="0"/>
    <x v="83"/>
    <x v="2223"/>
    <x v="114"/>
    <x v="111"/>
    <x v="13"/>
    <x v="4"/>
    <x v="7"/>
  </r>
  <r>
    <x v="0"/>
    <x v="83"/>
    <x v="2224"/>
    <x v="114"/>
    <x v="111"/>
    <x v="13"/>
    <x v="4"/>
    <x v="7"/>
  </r>
  <r>
    <x v="0"/>
    <x v="83"/>
    <x v="2225"/>
    <x v="114"/>
    <x v="111"/>
    <x v="13"/>
    <x v="4"/>
    <x v="7"/>
  </r>
  <r>
    <x v="0"/>
    <x v="83"/>
    <x v="2226"/>
    <x v="114"/>
    <x v="111"/>
    <x v="13"/>
    <x v="4"/>
    <x v="7"/>
  </r>
  <r>
    <x v="4"/>
    <x v="83"/>
    <x v="2227"/>
    <x v="1"/>
    <x v="1"/>
    <x v="1"/>
    <x v="1"/>
    <x v="25"/>
  </r>
  <r>
    <x v="4"/>
    <x v="83"/>
    <x v="2228"/>
    <x v="1"/>
    <x v="1"/>
    <x v="1"/>
    <x v="1"/>
    <x v="25"/>
  </r>
  <r>
    <x v="4"/>
    <x v="83"/>
    <x v="2229"/>
    <x v="1"/>
    <x v="1"/>
    <x v="1"/>
    <x v="1"/>
    <x v="25"/>
  </r>
  <r>
    <x v="3"/>
    <x v="83"/>
    <x v="2230"/>
    <x v="60"/>
    <x v="60"/>
    <x v="15"/>
    <x v="8"/>
    <x v="7"/>
  </r>
  <r>
    <x v="5"/>
    <x v="83"/>
    <x v="2231"/>
    <x v="39"/>
    <x v="39"/>
    <x v="10"/>
    <x v="10"/>
    <x v="2"/>
  </r>
  <r>
    <x v="5"/>
    <x v="83"/>
    <x v="2232"/>
    <x v="245"/>
    <x v="162"/>
    <x v="10"/>
    <x v="10"/>
    <x v="2"/>
  </r>
  <r>
    <x v="6"/>
    <x v="83"/>
    <x v="2233"/>
    <x v="60"/>
    <x v="60"/>
    <x v="15"/>
    <x v="23"/>
    <x v="7"/>
  </r>
  <r>
    <x v="3"/>
    <x v="83"/>
    <x v="2234"/>
    <x v="231"/>
    <x v="162"/>
    <x v="4"/>
    <x v="1"/>
    <x v="20"/>
  </r>
  <r>
    <x v="2"/>
    <x v="83"/>
    <x v="2235"/>
    <x v="44"/>
    <x v="45"/>
    <x v="10"/>
    <x v="34"/>
    <x v="2"/>
  </r>
  <r>
    <x v="2"/>
    <x v="83"/>
    <x v="2236"/>
    <x v="5"/>
    <x v="162"/>
    <x v="6"/>
    <x v="5"/>
    <x v="2"/>
  </r>
  <r>
    <x v="2"/>
    <x v="83"/>
    <x v="2237"/>
    <x v="5"/>
    <x v="110"/>
    <x v="6"/>
    <x v="5"/>
    <x v="2"/>
  </r>
  <r>
    <x v="2"/>
    <x v="83"/>
    <x v="2238"/>
    <x v="5"/>
    <x v="162"/>
    <x v="6"/>
    <x v="5"/>
    <x v="2"/>
  </r>
  <r>
    <x v="2"/>
    <x v="83"/>
    <x v="2239"/>
    <x v="5"/>
    <x v="162"/>
    <x v="6"/>
    <x v="5"/>
    <x v="2"/>
  </r>
  <r>
    <x v="4"/>
    <x v="83"/>
    <x v="2240"/>
    <x v="113"/>
    <x v="162"/>
    <x v="4"/>
    <x v="11"/>
    <x v="2"/>
  </r>
  <r>
    <x v="4"/>
    <x v="83"/>
    <x v="2241"/>
    <x v="113"/>
    <x v="110"/>
    <x v="4"/>
    <x v="11"/>
    <x v="2"/>
  </r>
  <r>
    <x v="4"/>
    <x v="83"/>
    <x v="2242"/>
    <x v="113"/>
    <x v="110"/>
    <x v="4"/>
    <x v="11"/>
    <x v="2"/>
  </r>
  <r>
    <x v="4"/>
    <x v="83"/>
    <x v="2243"/>
    <x v="113"/>
    <x v="110"/>
    <x v="4"/>
    <x v="11"/>
    <x v="2"/>
  </r>
  <r>
    <x v="4"/>
    <x v="83"/>
    <x v="2244"/>
    <x v="113"/>
    <x v="110"/>
    <x v="4"/>
    <x v="11"/>
    <x v="2"/>
  </r>
  <r>
    <x v="4"/>
    <x v="83"/>
    <x v="2245"/>
    <x v="113"/>
    <x v="110"/>
    <x v="4"/>
    <x v="11"/>
    <x v="2"/>
  </r>
  <r>
    <x v="4"/>
    <x v="83"/>
    <x v="2246"/>
    <x v="113"/>
    <x v="110"/>
    <x v="5"/>
    <x v="28"/>
    <x v="25"/>
  </r>
  <r>
    <x v="5"/>
    <x v="83"/>
    <x v="2247"/>
    <x v="40"/>
    <x v="40"/>
    <x v="4"/>
    <x v="13"/>
    <x v="2"/>
  </r>
  <r>
    <x v="2"/>
    <x v="83"/>
    <x v="2248"/>
    <x v="268"/>
    <x v="252"/>
    <x v="16"/>
    <x v="15"/>
    <x v="2"/>
  </r>
  <r>
    <x v="5"/>
    <x v="84"/>
    <x v="2210"/>
    <x v="78"/>
    <x v="78"/>
    <x v="0"/>
    <x v="0"/>
    <x v="44"/>
  </r>
  <r>
    <x v="2"/>
    <x v="84"/>
    <x v="2249"/>
    <x v="1"/>
    <x v="1"/>
    <x v="1"/>
    <x v="1"/>
    <x v="7"/>
  </r>
  <r>
    <x v="2"/>
    <x v="84"/>
    <x v="2250"/>
    <x v="1"/>
    <x v="1"/>
    <x v="1"/>
    <x v="1"/>
    <x v="7"/>
  </r>
  <r>
    <x v="1"/>
    <x v="84"/>
    <x v="2251"/>
    <x v="211"/>
    <x v="162"/>
    <x v="17"/>
    <x v="0"/>
    <x v="2"/>
  </r>
  <r>
    <x v="1"/>
    <x v="84"/>
    <x v="2252"/>
    <x v="60"/>
    <x v="60"/>
    <x v="6"/>
    <x v="21"/>
    <x v="2"/>
  </r>
  <r>
    <x v="5"/>
    <x v="84"/>
    <x v="2253"/>
    <x v="1"/>
    <x v="1"/>
    <x v="1"/>
    <x v="1"/>
    <x v="7"/>
  </r>
  <r>
    <x v="5"/>
    <x v="84"/>
    <x v="2254"/>
    <x v="1"/>
    <x v="1"/>
    <x v="1"/>
    <x v="1"/>
    <x v="7"/>
  </r>
  <r>
    <x v="0"/>
    <x v="84"/>
    <x v="2255"/>
    <x v="24"/>
    <x v="24"/>
    <x v="12"/>
    <x v="10"/>
    <x v="2"/>
  </r>
  <r>
    <x v="2"/>
    <x v="84"/>
    <x v="2256"/>
    <x v="184"/>
    <x v="179"/>
    <x v="6"/>
    <x v="23"/>
    <x v="7"/>
  </r>
  <r>
    <x v="2"/>
    <x v="84"/>
    <x v="2257"/>
    <x v="184"/>
    <x v="179"/>
    <x v="6"/>
    <x v="23"/>
    <x v="7"/>
  </r>
  <r>
    <x v="0"/>
    <x v="84"/>
    <x v="2258"/>
    <x v="48"/>
    <x v="49"/>
    <x v="15"/>
    <x v="23"/>
    <x v="7"/>
  </r>
  <r>
    <x v="5"/>
    <x v="84"/>
    <x v="2259"/>
    <x v="48"/>
    <x v="49"/>
    <x v="15"/>
    <x v="23"/>
    <x v="7"/>
  </r>
  <r>
    <x v="0"/>
    <x v="84"/>
    <x v="2211"/>
    <x v="114"/>
    <x v="111"/>
    <x v="13"/>
    <x v="5"/>
    <x v="4"/>
  </r>
  <r>
    <x v="0"/>
    <x v="84"/>
    <x v="2212"/>
    <x v="114"/>
    <x v="111"/>
    <x v="13"/>
    <x v="5"/>
    <x v="4"/>
  </r>
  <r>
    <x v="0"/>
    <x v="84"/>
    <x v="2213"/>
    <x v="114"/>
    <x v="111"/>
    <x v="13"/>
    <x v="5"/>
    <x v="4"/>
  </r>
  <r>
    <x v="0"/>
    <x v="84"/>
    <x v="2214"/>
    <x v="114"/>
    <x v="111"/>
    <x v="13"/>
    <x v="5"/>
    <x v="4"/>
  </r>
  <r>
    <x v="0"/>
    <x v="84"/>
    <x v="2215"/>
    <x v="114"/>
    <x v="111"/>
    <x v="13"/>
    <x v="5"/>
    <x v="4"/>
  </r>
  <r>
    <x v="0"/>
    <x v="84"/>
    <x v="2216"/>
    <x v="114"/>
    <x v="111"/>
    <x v="13"/>
    <x v="5"/>
    <x v="4"/>
  </r>
  <r>
    <x v="0"/>
    <x v="84"/>
    <x v="2217"/>
    <x v="114"/>
    <x v="111"/>
    <x v="13"/>
    <x v="5"/>
    <x v="4"/>
  </r>
  <r>
    <x v="0"/>
    <x v="84"/>
    <x v="2218"/>
    <x v="114"/>
    <x v="111"/>
    <x v="13"/>
    <x v="5"/>
    <x v="4"/>
  </r>
  <r>
    <x v="0"/>
    <x v="84"/>
    <x v="2219"/>
    <x v="114"/>
    <x v="111"/>
    <x v="13"/>
    <x v="5"/>
    <x v="4"/>
  </r>
  <r>
    <x v="0"/>
    <x v="84"/>
    <x v="2220"/>
    <x v="114"/>
    <x v="111"/>
    <x v="13"/>
    <x v="5"/>
    <x v="4"/>
  </r>
  <r>
    <x v="0"/>
    <x v="84"/>
    <x v="2221"/>
    <x v="114"/>
    <x v="111"/>
    <x v="13"/>
    <x v="5"/>
    <x v="4"/>
  </r>
  <r>
    <x v="0"/>
    <x v="84"/>
    <x v="2222"/>
    <x v="114"/>
    <x v="111"/>
    <x v="13"/>
    <x v="5"/>
    <x v="4"/>
  </r>
  <r>
    <x v="0"/>
    <x v="84"/>
    <x v="2223"/>
    <x v="114"/>
    <x v="111"/>
    <x v="13"/>
    <x v="5"/>
    <x v="4"/>
  </r>
  <r>
    <x v="0"/>
    <x v="84"/>
    <x v="2224"/>
    <x v="114"/>
    <x v="111"/>
    <x v="13"/>
    <x v="5"/>
    <x v="4"/>
  </r>
  <r>
    <x v="0"/>
    <x v="84"/>
    <x v="2225"/>
    <x v="114"/>
    <x v="111"/>
    <x v="13"/>
    <x v="5"/>
    <x v="4"/>
  </r>
  <r>
    <x v="0"/>
    <x v="84"/>
    <x v="2226"/>
    <x v="114"/>
    <x v="111"/>
    <x v="13"/>
    <x v="5"/>
    <x v="4"/>
  </r>
  <r>
    <x v="4"/>
    <x v="84"/>
    <x v="2260"/>
    <x v="48"/>
    <x v="49"/>
    <x v="15"/>
    <x v="23"/>
    <x v="7"/>
  </r>
  <r>
    <x v="0"/>
    <x v="84"/>
    <x v="2261"/>
    <x v="41"/>
    <x v="162"/>
    <x v="17"/>
    <x v="5"/>
    <x v="2"/>
  </r>
  <r>
    <x v="0"/>
    <x v="84"/>
    <x v="2262"/>
    <x v="41"/>
    <x v="162"/>
    <x v="17"/>
    <x v="5"/>
    <x v="2"/>
  </r>
  <r>
    <x v="3"/>
    <x v="84"/>
    <x v="2263"/>
    <x v="269"/>
    <x v="253"/>
    <x v="0"/>
    <x v="1"/>
    <x v="2"/>
  </r>
  <r>
    <x v="2"/>
    <x v="84"/>
    <x v="2264"/>
    <x v="48"/>
    <x v="49"/>
    <x v="15"/>
    <x v="13"/>
    <x v="59"/>
  </r>
  <r>
    <x v="2"/>
    <x v="84"/>
    <x v="2265"/>
    <x v="270"/>
    <x v="254"/>
    <x v="10"/>
    <x v="11"/>
    <x v="2"/>
  </r>
  <r>
    <x v="2"/>
    <x v="84"/>
    <x v="2266"/>
    <x v="5"/>
    <x v="162"/>
    <x v="6"/>
    <x v="11"/>
    <x v="2"/>
  </r>
  <r>
    <x v="2"/>
    <x v="84"/>
    <x v="2267"/>
    <x v="5"/>
    <x v="162"/>
    <x v="6"/>
    <x v="11"/>
    <x v="2"/>
  </r>
  <r>
    <x v="2"/>
    <x v="84"/>
    <x v="2268"/>
    <x v="5"/>
    <x v="162"/>
    <x v="6"/>
    <x v="11"/>
    <x v="2"/>
  </r>
  <r>
    <x v="2"/>
    <x v="84"/>
    <x v="2269"/>
    <x v="5"/>
    <x v="162"/>
    <x v="6"/>
    <x v="11"/>
    <x v="2"/>
  </r>
  <r>
    <x v="2"/>
    <x v="84"/>
    <x v="2270"/>
    <x v="5"/>
    <x v="162"/>
    <x v="6"/>
    <x v="11"/>
    <x v="2"/>
  </r>
  <r>
    <x v="2"/>
    <x v="84"/>
    <x v="2271"/>
    <x v="5"/>
    <x v="162"/>
    <x v="6"/>
    <x v="11"/>
    <x v="2"/>
  </r>
  <r>
    <x v="2"/>
    <x v="84"/>
    <x v="2271"/>
    <x v="53"/>
    <x v="53"/>
    <x v="17"/>
    <x v="11"/>
    <x v="2"/>
  </r>
  <r>
    <x v="0"/>
    <x v="85"/>
    <x v="2272"/>
    <x v="43"/>
    <x v="43"/>
    <x v="17"/>
    <x v="2"/>
    <x v="54"/>
  </r>
  <r>
    <x v="1"/>
    <x v="85"/>
    <x v="2273"/>
    <x v="198"/>
    <x v="193"/>
    <x v="6"/>
    <x v="23"/>
    <x v="7"/>
  </r>
  <r>
    <x v="0"/>
    <x v="85"/>
    <x v="2274"/>
    <x v="237"/>
    <x v="228"/>
    <x v="16"/>
    <x v="22"/>
    <x v="7"/>
  </r>
  <r>
    <x v="1"/>
    <x v="85"/>
    <x v="2096"/>
    <x v="8"/>
    <x v="8"/>
    <x v="15"/>
    <x v="22"/>
    <x v="7"/>
  </r>
  <r>
    <x v="0"/>
    <x v="85"/>
    <x v="2275"/>
    <x v="26"/>
    <x v="26"/>
    <x v="16"/>
    <x v="10"/>
    <x v="7"/>
  </r>
  <r>
    <x v="5"/>
    <x v="85"/>
    <x v="2276"/>
    <x v="251"/>
    <x v="239"/>
    <x v="6"/>
    <x v="16"/>
    <x v="60"/>
  </r>
  <r>
    <x v="3"/>
    <x v="85"/>
    <x v="2277"/>
    <x v="18"/>
    <x v="18"/>
    <x v="8"/>
    <x v="22"/>
    <x v="43"/>
  </r>
  <r>
    <x v="3"/>
    <x v="85"/>
    <x v="2278"/>
    <x v="48"/>
    <x v="49"/>
    <x v="15"/>
    <x v="23"/>
    <x v="7"/>
  </r>
  <r>
    <x v="5"/>
    <x v="85"/>
    <x v="2279"/>
    <x v="5"/>
    <x v="162"/>
    <x v="6"/>
    <x v="23"/>
    <x v="7"/>
  </r>
  <r>
    <x v="5"/>
    <x v="85"/>
    <x v="2280"/>
    <x v="5"/>
    <x v="162"/>
    <x v="6"/>
    <x v="23"/>
    <x v="7"/>
  </r>
  <r>
    <x v="5"/>
    <x v="85"/>
    <x v="2281"/>
    <x v="5"/>
    <x v="162"/>
    <x v="6"/>
    <x v="23"/>
    <x v="7"/>
  </r>
  <r>
    <x v="5"/>
    <x v="85"/>
    <x v="2282"/>
    <x v="5"/>
    <x v="162"/>
    <x v="6"/>
    <x v="23"/>
    <x v="7"/>
  </r>
  <r>
    <x v="5"/>
    <x v="85"/>
    <x v="2283"/>
    <x v="5"/>
    <x v="162"/>
    <x v="6"/>
    <x v="23"/>
    <x v="7"/>
  </r>
  <r>
    <x v="5"/>
    <x v="85"/>
    <x v="2284"/>
    <x v="14"/>
    <x v="14"/>
    <x v="1"/>
    <x v="23"/>
    <x v="60"/>
  </r>
  <r>
    <x v="1"/>
    <x v="85"/>
    <x v="2285"/>
    <x v="57"/>
    <x v="57"/>
    <x v="1"/>
    <x v="22"/>
    <x v="7"/>
  </r>
  <r>
    <x v="1"/>
    <x v="85"/>
    <x v="2286"/>
    <x v="268"/>
    <x v="252"/>
    <x v="16"/>
    <x v="34"/>
    <x v="60"/>
  </r>
  <r>
    <x v="1"/>
    <x v="85"/>
    <x v="2287"/>
    <x v="13"/>
    <x v="13"/>
    <x v="13"/>
    <x v="18"/>
    <x v="2"/>
  </r>
  <r>
    <x v="0"/>
    <x v="85"/>
    <x v="2288"/>
    <x v="14"/>
    <x v="14"/>
    <x v="1"/>
    <x v="23"/>
    <x v="7"/>
  </r>
  <r>
    <x v="0"/>
    <x v="85"/>
    <x v="2289"/>
    <x v="18"/>
    <x v="18"/>
    <x v="8"/>
    <x v="23"/>
    <x v="7"/>
  </r>
  <r>
    <x v="1"/>
    <x v="85"/>
    <x v="2290"/>
    <x v="18"/>
    <x v="18"/>
    <x v="8"/>
    <x v="23"/>
    <x v="7"/>
  </r>
  <r>
    <x v="0"/>
    <x v="85"/>
    <x v="2213"/>
    <x v="114"/>
    <x v="111"/>
    <x v="13"/>
    <x v="3"/>
    <x v="53"/>
  </r>
  <r>
    <x v="0"/>
    <x v="85"/>
    <x v="2222"/>
    <x v="114"/>
    <x v="111"/>
    <x v="13"/>
    <x v="3"/>
    <x v="53"/>
  </r>
  <r>
    <x v="0"/>
    <x v="85"/>
    <x v="2223"/>
    <x v="114"/>
    <x v="111"/>
    <x v="13"/>
    <x v="3"/>
    <x v="4"/>
  </r>
  <r>
    <x v="0"/>
    <x v="85"/>
    <x v="2218"/>
    <x v="114"/>
    <x v="111"/>
    <x v="13"/>
    <x v="3"/>
    <x v="53"/>
  </r>
  <r>
    <x v="1"/>
    <x v="85"/>
    <x v="2291"/>
    <x v="222"/>
    <x v="162"/>
    <x v="6"/>
    <x v="27"/>
    <x v="2"/>
  </r>
  <r>
    <x v="5"/>
    <x v="85"/>
    <x v="2292"/>
    <x v="18"/>
    <x v="18"/>
    <x v="8"/>
    <x v="23"/>
    <x v="43"/>
  </r>
  <r>
    <x v="0"/>
    <x v="85"/>
    <x v="2293"/>
    <x v="153"/>
    <x v="149"/>
    <x v="4"/>
    <x v="11"/>
    <x v="2"/>
  </r>
  <r>
    <x v="0"/>
    <x v="85"/>
    <x v="2294"/>
    <x v="23"/>
    <x v="23"/>
    <x v="15"/>
    <x v="27"/>
    <x v="2"/>
  </r>
  <r>
    <x v="3"/>
    <x v="85"/>
    <x v="2295"/>
    <x v="14"/>
    <x v="14"/>
    <x v="1"/>
    <x v="23"/>
    <x v="25"/>
  </r>
  <r>
    <x v="0"/>
    <x v="85"/>
    <x v="2296"/>
    <x v="12"/>
    <x v="12"/>
    <x v="13"/>
    <x v="11"/>
    <x v="2"/>
  </r>
  <r>
    <x v="0"/>
    <x v="85"/>
    <x v="2297"/>
    <x v="12"/>
    <x v="12"/>
    <x v="13"/>
    <x v="11"/>
    <x v="2"/>
  </r>
  <r>
    <x v="3"/>
    <x v="85"/>
    <x v="2298"/>
    <x v="180"/>
    <x v="175"/>
    <x v="0"/>
    <x v="3"/>
    <x v="2"/>
  </r>
  <r>
    <x v="5"/>
    <x v="86"/>
    <x v="2299"/>
    <x v="222"/>
    <x v="162"/>
    <x v="5"/>
    <x v="28"/>
    <x v="25"/>
  </r>
  <r>
    <x v="1"/>
    <x v="86"/>
    <x v="2300"/>
    <x v="188"/>
    <x v="183"/>
    <x v="0"/>
    <x v="22"/>
    <x v="7"/>
  </r>
  <r>
    <x v="1"/>
    <x v="86"/>
    <x v="2301"/>
    <x v="147"/>
    <x v="162"/>
    <x v="1"/>
    <x v="8"/>
    <x v="7"/>
  </r>
  <r>
    <x v="1"/>
    <x v="86"/>
    <x v="2302"/>
    <x v="193"/>
    <x v="188"/>
    <x v="0"/>
    <x v="23"/>
    <x v="7"/>
  </r>
  <r>
    <x v="0"/>
    <x v="86"/>
    <x v="2303"/>
    <x v="188"/>
    <x v="183"/>
    <x v="0"/>
    <x v="1"/>
    <x v="10"/>
  </r>
  <r>
    <x v="0"/>
    <x v="86"/>
    <x v="2304"/>
    <x v="188"/>
    <x v="183"/>
    <x v="0"/>
    <x v="23"/>
    <x v="7"/>
  </r>
  <r>
    <x v="2"/>
    <x v="86"/>
    <x v="2305"/>
    <x v="188"/>
    <x v="183"/>
    <x v="13"/>
    <x v="1"/>
    <x v="7"/>
  </r>
  <r>
    <x v="4"/>
    <x v="86"/>
    <x v="2306"/>
    <x v="188"/>
    <x v="183"/>
    <x v="0"/>
    <x v="1"/>
    <x v="7"/>
  </r>
  <r>
    <x v="5"/>
    <x v="86"/>
    <x v="2307"/>
    <x v="188"/>
    <x v="183"/>
    <x v="0"/>
    <x v="1"/>
    <x v="7"/>
  </r>
  <r>
    <x v="5"/>
    <x v="86"/>
    <x v="2308"/>
    <x v="188"/>
    <x v="183"/>
    <x v="0"/>
    <x v="0"/>
    <x v="7"/>
  </r>
  <r>
    <x v="0"/>
    <x v="86"/>
    <x v="2309"/>
    <x v="42"/>
    <x v="42"/>
    <x v="13"/>
    <x v="1"/>
    <x v="7"/>
  </r>
  <r>
    <x v="0"/>
    <x v="86"/>
    <x v="2310"/>
    <x v="210"/>
    <x v="205"/>
    <x v="16"/>
    <x v="10"/>
    <x v="7"/>
  </r>
  <r>
    <x v="0"/>
    <x v="86"/>
    <x v="2311"/>
    <x v="210"/>
    <x v="205"/>
    <x v="16"/>
    <x v="10"/>
    <x v="7"/>
  </r>
  <r>
    <x v="5"/>
    <x v="86"/>
    <x v="2312"/>
    <x v="160"/>
    <x v="162"/>
    <x v="15"/>
    <x v="0"/>
    <x v="60"/>
  </r>
  <r>
    <x v="5"/>
    <x v="86"/>
    <x v="2313"/>
    <x v="150"/>
    <x v="146"/>
    <x v="8"/>
    <x v="23"/>
    <x v="66"/>
  </r>
  <r>
    <x v="5"/>
    <x v="86"/>
    <x v="2314"/>
    <x v="150"/>
    <x v="146"/>
    <x v="8"/>
    <x v="23"/>
    <x v="66"/>
  </r>
  <r>
    <x v="2"/>
    <x v="86"/>
    <x v="2315"/>
    <x v="60"/>
    <x v="60"/>
    <x v="6"/>
    <x v="1"/>
    <x v="7"/>
  </r>
  <r>
    <x v="5"/>
    <x v="86"/>
    <x v="2316"/>
    <x v="151"/>
    <x v="147"/>
    <x v="13"/>
    <x v="22"/>
    <x v="60"/>
  </r>
  <r>
    <x v="4"/>
    <x v="86"/>
    <x v="2317"/>
    <x v="155"/>
    <x v="151"/>
    <x v="10"/>
    <x v="15"/>
    <x v="2"/>
  </r>
  <r>
    <x v="0"/>
    <x v="86"/>
    <x v="2318"/>
    <x v="203"/>
    <x v="198"/>
    <x v="10"/>
    <x v="10"/>
    <x v="12"/>
  </r>
  <r>
    <x v="3"/>
    <x v="86"/>
    <x v="2319"/>
    <x v="22"/>
    <x v="22"/>
    <x v="13"/>
    <x v="3"/>
    <x v="2"/>
  </r>
  <r>
    <x v="4"/>
    <x v="86"/>
    <x v="2320"/>
    <x v="60"/>
    <x v="60"/>
    <x v="17"/>
    <x v="8"/>
    <x v="7"/>
  </r>
  <r>
    <x v="4"/>
    <x v="86"/>
    <x v="2321"/>
    <x v="57"/>
    <x v="57"/>
    <x v="6"/>
    <x v="3"/>
    <x v="2"/>
  </r>
  <r>
    <x v="4"/>
    <x v="86"/>
    <x v="2322"/>
    <x v="188"/>
    <x v="183"/>
    <x v="0"/>
    <x v="11"/>
    <x v="2"/>
  </r>
  <r>
    <x v="2"/>
    <x v="86"/>
    <x v="2323"/>
    <x v="12"/>
    <x v="12"/>
    <x v="13"/>
    <x v="5"/>
    <x v="2"/>
  </r>
  <r>
    <x v="2"/>
    <x v="86"/>
    <x v="2324"/>
    <x v="12"/>
    <x v="12"/>
    <x v="13"/>
    <x v="5"/>
    <x v="2"/>
  </r>
  <r>
    <x v="0"/>
    <x v="87"/>
    <x v="2325"/>
    <x v="7"/>
    <x v="7"/>
    <x v="12"/>
    <x v="10"/>
    <x v="2"/>
  </r>
  <r>
    <x v="0"/>
    <x v="87"/>
    <x v="2326"/>
    <x v="191"/>
    <x v="186"/>
    <x v="4"/>
    <x v="23"/>
    <x v="3"/>
  </r>
  <r>
    <x v="0"/>
    <x v="87"/>
    <x v="2327"/>
    <x v="191"/>
    <x v="186"/>
    <x v="4"/>
    <x v="23"/>
    <x v="3"/>
  </r>
  <r>
    <x v="3"/>
    <x v="87"/>
    <x v="2328"/>
    <x v="1"/>
    <x v="1"/>
    <x v="1"/>
    <x v="26"/>
    <x v="7"/>
  </r>
  <r>
    <x v="3"/>
    <x v="87"/>
    <x v="2329"/>
    <x v="1"/>
    <x v="1"/>
    <x v="1"/>
    <x v="1"/>
    <x v="7"/>
  </r>
  <r>
    <x v="3"/>
    <x v="87"/>
    <x v="2330"/>
    <x v="1"/>
    <x v="1"/>
    <x v="1"/>
    <x v="23"/>
    <x v="7"/>
  </r>
  <r>
    <x v="3"/>
    <x v="87"/>
    <x v="2331"/>
    <x v="1"/>
    <x v="1"/>
    <x v="1"/>
    <x v="1"/>
    <x v="7"/>
  </r>
  <r>
    <x v="3"/>
    <x v="87"/>
    <x v="2332"/>
    <x v="1"/>
    <x v="1"/>
    <x v="1"/>
    <x v="1"/>
    <x v="7"/>
  </r>
  <r>
    <x v="0"/>
    <x v="87"/>
    <x v="2333"/>
    <x v="1"/>
    <x v="1"/>
    <x v="1"/>
    <x v="26"/>
    <x v="7"/>
  </r>
  <r>
    <x v="0"/>
    <x v="87"/>
    <x v="2334"/>
    <x v="1"/>
    <x v="1"/>
    <x v="1"/>
    <x v="1"/>
    <x v="7"/>
  </r>
  <r>
    <x v="0"/>
    <x v="87"/>
    <x v="2335"/>
    <x v="1"/>
    <x v="1"/>
    <x v="1"/>
    <x v="8"/>
    <x v="7"/>
  </r>
  <r>
    <x v="0"/>
    <x v="87"/>
    <x v="2336"/>
    <x v="1"/>
    <x v="1"/>
    <x v="1"/>
    <x v="1"/>
    <x v="7"/>
  </r>
  <r>
    <x v="0"/>
    <x v="87"/>
    <x v="2337"/>
    <x v="1"/>
    <x v="1"/>
    <x v="1"/>
    <x v="23"/>
    <x v="7"/>
  </r>
  <r>
    <x v="3"/>
    <x v="87"/>
    <x v="2338"/>
    <x v="2"/>
    <x v="2"/>
    <x v="1"/>
    <x v="23"/>
    <x v="7"/>
  </r>
  <r>
    <x v="0"/>
    <x v="87"/>
    <x v="2339"/>
    <x v="114"/>
    <x v="111"/>
    <x v="13"/>
    <x v="1"/>
    <x v="7"/>
  </r>
  <r>
    <x v="3"/>
    <x v="87"/>
    <x v="2340"/>
    <x v="191"/>
    <x v="186"/>
    <x v="4"/>
    <x v="1"/>
    <x v="7"/>
  </r>
  <r>
    <x v="4"/>
    <x v="87"/>
    <x v="2341"/>
    <x v="1"/>
    <x v="1"/>
    <x v="1"/>
    <x v="23"/>
    <x v="7"/>
  </r>
  <r>
    <x v="4"/>
    <x v="87"/>
    <x v="2342"/>
    <x v="1"/>
    <x v="1"/>
    <x v="1"/>
    <x v="1"/>
    <x v="7"/>
  </r>
  <r>
    <x v="4"/>
    <x v="87"/>
    <x v="2343"/>
    <x v="1"/>
    <x v="1"/>
    <x v="1"/>
    <x v="1"/>
    <x v="7"/>
  </r>
  <r>
    <x v="4"/>
    <x v="87"/>
    <x v="2344"/>
    <x v="1"/>
    <x v="1"/>
    <x v="1"/>
    <x v="1"/>
    <x v="7"/>
  </r>
  <r>
    <x v="4"/>
    <x v="87"/>
    <x v="2345"/>
    <x v="153"/>
    <x v="149"/>
    <x v="4"/>
    <x v="2"/>
    <x v="70"/>
  </r>
  <r>
    <x v="0"/>
    <x v="87"/>
    <x v="2346"/>
    <x v="1"/>
    <x v="1"/>
    <x v="1"/>
    <x v="13"/>
    <x v="2"/>
  </r>
  <r>
    <x v="0"/>
    <x v="87"/>
    <x v="2347"/>
    <x v="114"/>
    <x v="111"/>
    <x v="13"/>
    <x v="1"/>
    <x v="7"/>
  </r>
  <r>
    <x v="0"/>
    <x v="87"/>
    <x v="2348"/>
    <x v="26"/>
    <x v="26"/>
    <x v="5"/>
    <x v="23"/>
    <x v="7"/>
  </r>
  <r>
    <x v="0"/>
    <x v="87"/>
    <x v="2349"/>
    <x v="39"/>
    <x v="39"/>
    <x v="10"/>
    <x v="10"/>
    <x v="2"/>
  </r>
  <r>
    <x v="0"/>
    <x v="87"/>
    <x v="2350"/>
    <x v="114"/>
    <x v="111"/>
    <x v="13"/>
    <x v="3"/>
    <x v="7"/>
  </r>
  <r>
    <x v="0"/>
    <x v="87"/>
    <x v="2351"/>
    <x v="114"/>
    <x v="111"/>
    <x v="13"/>
    <x v="23"/>
    <x v="7"/>
  </r>
  <r>
    <x v="2"/>
    <x v="87"/>
    <x v="2352"/>
    <x v="270"/>
    <x v="254"/>
    <x v="10"/>
    <x v="11"/>
    <x v="2"/>
  </r>
  <r>
    <x v="2"/>
    <x v="87"/>
    <x v="1188"/>
    <x v="271"/>
    <x v="162"/>
    <x v="5"/>
    <x v="28"/>
    <x v="25"/>
  </r>
  <r>
    <x v="0"/>
    <x v="87"/>
    <x v="2353"/>
    <x v="272"/>
    <x v="255"/>
    <x v="17"/>
    <x v="11"/>
    <x v="2"/>
  </r>
  <r>
    <x v="0"/>
    <x v="87"/>
    <x v="2354"/>
    <x v="272"/>
    <x v="255"/>
    <x v="17"/>
    <x v="11"/>
    <x v="2"/>
  </r>
  <r>
    <x v="0"/>
    <x v="88"/>
    <x v="2355"/>
    <x v="126"/>
    <x v="123"/>
    <x v="13"/>
    <x v="6"/>
    <x v="2"/>
  </r>
  <r>
    <x v="5"/>
    <x v="88"/>
    <x v="2356"/>
    <x v="39"/>
    <x v="39"/>
    <x v="10"/>
    <x v="3"/>
    <x v="2"/>
  </r>
  <r>
    <x v="2"/>
    <x v="88"/>
    <x v="2315"/>
    <x v="60"/>
    <x v="60"/>
    <x v="17"/>
    <x v="1"/>
    <x v="43"/>
  </r>
  <r>
    <x v="5"/>
    <x v="88"/>
    <x v="2357"/>
    <x v="40"/>
    <x v="40"/>
    <x v="17"/>
    <x v="23"/>
    <x v="60"/>
  </r>
  <r>
    <x v="6"/>
    <x v="88"/>
    <x v="2358"/>
    <x v="24"/>
    <x v="24"/>
    <x v="12"/>
    <x v="10"/>
    <x v="2"/>
  </r>
  <r>
    <x v="1"/>
    <x v="88"/>
    <x v="2359"/>
    <x v="191"/>
    <x v="186"/>
    <x v="4"/>
    <x v="1"/>
    <x v="7"/>
  </r>
  <r>
    <x v="0"/>
    <x v="88"/>
    <x v="2360"/>
    <x v="219"/>
    <x v="214"/>
    <x v="17"/>
    <x v="37"/>
    <x v="27"/>
  </r>
  <r>
    <x v="3"/>
    <x v="88"/>
    <x v="2361"/>
    <x v="273"/>
    <x v="256"/>
    <x v="0"/>
    <x v="3"/>
    <x v="2"/>
  </r>
  <r>
    <x v="0"/>
    <x v="88"/>
    <x v="2362"/>
    <x v="85"/>
    <x v="85"/>
    <x v="15"/>
    <x v="23"/>
    <x v="7"/>
  </r>
  <r>
    <x v="0"/>
    <x v="88"/>
    <x v="2363"/>
    <x v="39"/>
    <x v="39"/>
    <x v="10"/>
    <x v="10"/>
    <x v="2"/>
  </r>
  <r>
    <x v="0"/>
    <x v="88"/>
    <x v="2294"/>
    <x v="23"/>
    <x v="23"/>
    <x v="15"/>
    <x v="3"/>
    <x v="59"/>
  </r>
  <r>
    <x v="0"/>
    <x v="88"/>
    <x v="2003"/>
    <x v="259"/>
    <x v="245"/>
    <x v="17"/>
    <x v="31"/>
    <x v="52"/>
  </r>
  <r>
    <x v="3"/>
    <x v="88"/>
    <x v="2364"/>
    <x v="75"/>
    <x v="75"/>
    <x v="17"/>
    <x v="27"/>
    <x v="2"/>
  </r>
  <r>
    <x v="3"/>
    <x v="88"/>
    <x v="2365"/>
    <x v="40"/>
    <x v="40"/>
    <x v="17"/>
    <x v="1"/>
    <x v="25"/>
  </r>
  <r>
    <x v="3"/>
    <x v="88"/>
    <x v="2366"/>
    <x v="229"/>
    <x v="221"/>
    <x v="8"/>
    <x v="10"/>
    <x v="25"/>
  </r>
  <r>
    <x v="3"/>
    <x v="88"/>
    <x v="2367"/>
    <x v="60"/>
    <x v="60"/>
    <x v="17"/>
    <x v="1"/>
    <x v="7"/>
  </r>
  <r>
    <x v="0"/>
    <x v="88"/>
    <x v="2354"/>
    <x v="272"/>
    <x v="255"/>
    <x v="17"/>
    <x v="0"/>
    <x v="7"/>
  </r>
  <r>
    <x v="2"/>
    <x v="88"/>
    <x v="2368"/>
    <x v="191"/>
    <x v="186"/>
    <x v="4"/>
    <x v="1"/>
    <x v="3"/>
  </r>
  <r>
    <x v="5"/>
    <x v="88"/>
    <x v="2369"/>
    <x v="114"/>
    <x v="111"/>
    <x v="13"/>
    <x v="3"/>
    <x v="2"/>
  </r>
  <r>
    <x v="0"/>
    <x v="88"/>
    <x v="2370"/>
    <x v="273"/>
    <x v="256"/>
    <x v="0"/>
    <x v="5"/>
    <x v="2"/>
  </r>
  <r>
    <x v="0"/>
    <x v="88"/>
    <x v="2353"/>
    <x v="272"/>
    <x v="255"/>
    <x v="17"/>
    <x v="5"/>
    <x v="2"/>
  </r>
  <r>
    <x v="4"/>
    <x v="88"/>
    <x v="2371"/>
    <x v="40"/>
    <x v="40"/>
    <x v="6"/>
    <x v="1"/>
    <x v="7"/>
  </r>
  <r>
    <x v="0"/>
    <x v="88"/>
    <x v="2372"/>
    <x v="244"/>
    <x v="233"/>
    <x v="13"/>
    <x v="5"/>
    <x v="2"/>
  </r>
  <r>
    <x v="1"/>
    <x v="89"/>
    <x v="2373"/>
    <x v="48"/>
    <x v="49"/>
    <x v="1"/>
    <x v="23"/>
    <x v="7"/>
  </r>
  <r>
    <x v="0"/>
    <x v="89"/>
    <x v="2374"/>
    <x v="48"/>
    <x v="49"/>
    <x v="1"/>
    <x v="23"/>
    <x v="7"/>
  </r>
  <r>
    <x v="1"/>
    <x v="89"/>
    <x v="2375"/>
    <x v="48"/>
    <x v="49"/>
    <x v="0"/>
    <x v="1"/>
    <x v="7"/>
  </r>
  <r>
    <x v="5"/>
    <x v="89"/>
    <x v="2376"/>
    <x v="191"/>
    <x v="186"/>
    <x v="4"/>
    <x v="23"/>
    <x v="31"/>
  </r>
  <r>
    <x v="1"/>
    <x v="89"/>
    <x v="2377"/>
    <x v="107"/>
    <x v="104"/>
    <x v="1"/>
    <x v="1"/>
    <x v="7"/>
  </r>
  <r>
    <x v="1"/>
    <x v="89"/>
    <x v="2378"/>
    <x v="42"/>
    <x v="42"/>
    <x v="13"/>
    <x v="1"/>
    <x v="7"/>
  </r>
  <r>
    <x v="0"/>
    <x v="89"/>
    <x v="2370"/>
    <x v="273"/>
    <x v="256"/>
    <x v="0"/>
    <x v="3"/>
    <x v="7"/>
  </r>
  <r>
    <x v="0"/>
    <x v="89"/>
    <x v="2379"/>
    <x v="42"/>
    <x v="42"/>
    <x v="13"/>
    <x v="1"/>
    <x v="7"/>
  </r>
  <r>
    <x v="5"/>
    <x v="89"/>
    <x v="2380"/>
    <x v="48"/>
    <x v="49"/>
    <x v="0"/>
    <x v="1"/>
    <x v="7"/>
  </r>
  <r>
    <x v="3"/>
    <x v="89"/>
    <x v="2381"/>
    <x v="48"/>
    <x v="49"/>
    <x v="0"/>
    <x v="1"/>
    <x v="7"/>
  </r>
  <r>
    <x v="3"/>
    <x v="89"/>
    <x v="2382"/>
    <x v="48"/>
    <x v="49"/>
    <x v="1"/>
    <x v="23"/>
    <x v="7"/>
  </r>
  <r>
    <x v="3"/>
    <x v="89"/>
    <x v="2383"/>
    <x v="198"/>
    <x v="193"/>
    <x v="6"/>
    <x v="1"/>
    <x v="7"/>
  </r>
  <r>
    <x v="5"/>
    <x v="89"/>
    <x v="2384"/>
    <x v="1"/>
    <x v="1"/>
    <x v="1"/>
    <x v="23"/>
    <x v="7"/>
  </r>
  <r>
    <x v="2"/>
    <x v="89"/>
    <x v="2385"/>
    <x v="42"/>
    <x v="42"/>
    <x v="13"/>
    <x v="1"/>
    <x v="7"/>
  </r>
  <r>
    <x v="5"/>
    <x v="89"/>
    <x v="2386"/>
    <x v="60"/>
    <x v="60"/>
    <x v="17"/>
    <x v="8"/>
    <x v="71"/>
  </r>
  <r>
    <x v="5"/>
    <x v="89"/>
    <x v="2387"/>
    <x v="1"/>
    <x v="1"/>
    <x v="1"/>
    <x v="1"/>
    <x v="7"/>
  </r>
  <r>
    <x v="5"/>
    <x v="89"/>
    <x v="2388"/>
    <x v="1"/>
    <x v="1"/>
    <x v="1"/>
    <x v="35"/>
    <x v="7"/>
  </r>
  <r>
    <x v="1"/>
    <x v="89"/>
    <x v="2389"/>
    <x v="169"/>
    <x v="164"/>
    <x v="0"/>
    <x v="22"/>
    <x v="7"/>
  </r>
  <r>
    <x v="5"/>
    <x v="89"/>
    <x v="2307"/>
    <x v="188"/>
    <x v="183"/>
    <x v="0"/>
    <x v="0"/>
    <x v="60"/>
  </r>
  <r>
    <x v="5"/>
    <x v="89"/>
    <x v="2308"/>
    <x v="188"/>
    <x v="183"/>
    <x v="0"/>
    <x v="0"/>
    <x v="60"/>
  </r>
  <r>
    <x v="4"/>
    <x v="89"/>
    <x v="2390"/>
    <x v="191"/>
    <x v="186"/>
    <x v="4"/>
    <x v="1"/>
    <x v="7"/>
  </r>
  <r>
    <x v="4"/>
    <x v="89"/>
    <x v="2391"/>
    <x v="42"/>
    <x v="42"/>
    <x v="13"/>
    <x v="1"/>
    <x v="7"/>
  </r>
  <r>
    <x v="4"/>
    <x v="89"/>
    <x v="2392"/>
    <x v="210"/>
    <x v="205"/>
    <x v="16"/>
    <x v="23"/>
    <x v="7"/>
  </r>
  <r>
    <x v="4"/>
    <x v="89"/>
    <x v="2393"/>
    <x v="48"/>
    <x v="49"/>
    <x v="0"/>
    <x v="1"/>
    <x v="7"/>
  </r>
  <r>
    <x v="6"/>
    <x v="89"/>
    <x v="2394"/>
    <x v="184"/>
    <x v="179"/>
    <x v="6"/>
    <x v="23"/>
    <x v="7"/>
  </r>
  <r>
    <x v="0"/>
    <x v="89"/>
    <x v="2395"/>
    <x v="6"/>
    <x v="6"/>
    <x v="13"/>
    <x v="15"/>
    <x v="7"/>
  </r>
  <r>
    <x v="2"/>
    <x v="89"/>
    <x v="2396"/>
    <x v="48"/>
    <x v="49"/>
    <x v="1"/>
    <x v="23"/>
    <x v="7"/>
  </r>
  <r>
    <x v="2"/>
    <x v="89"/>
    <x v="2397"/>
    <x v="48"/>
    <x v="49"/>
    <x v="0"/>
    <x v="1"/>
    <x v="2"/>
  </r>
  <r>
    <x v="2"/>
    <x v="89"/>
    <x v="2398"/>
    <x v="1"/>
    <x v="1"/>
    <x v="1"/>
    <x v="23"/>
    <x v="7"/>
  </r>
  <r>
    <x v="2"/>
    <x v="89"/>
    <x v="2399"/>
    <x v="1"/>
    <x v="1"/>
    <x v="1"/>
    <x v="1"/>
    <x v="7"/>
  </r>
  <r>
    <x v="2"/>
    <x v="89"/>
    <x v="2397"/>
    <x v="1"/>
    <x v="1"/>
    <x v="1"/>
    <x v="1"/>
    <x v="7"/>
  </r>
  <r>
    <x v="2"/>
    <x v="89"/>
    <x v="2400"/>
    <x v="270"/>
    <x v="254"/>
    <x v="10"/>
    <x v="11"/>
    <x v="2"/>
  </r>
  <r>
    <x v="1"/>
    <x v="89"/>
    <x v="1651"/>
    <x v="274"/>
    <x v="257"/>
    <x v="8"/>
    <x v="11"/>
    <x v="2"/>
  </r>
  <r>
    <x v="1"/>
    <x v="89"/>
    <x v="2401"/>
    <x v="34"/>
    <x v="34"/>
    <x v="13"/>
    <x v="11"/>
    <x v="2"/>
  </r>
  <r>
    <x v="1"/>
    <x v="89"/>
    <x v="2402"/>
    <x v="34"/>
    <x v="34"/>
    <x v="13"/>
    <x v="11"/>
    <x v="2"/>
  </r>
  <r>
    <x v="3"/>
    <x v="89"/>
    <x v="2403"/>
    <x v="5"/>
    <x v="162"/>
    <x v="4"/>
    <x v="11"/>
    <x v="2"/>
  </r>
  <r>
    <x v="3"/>
    <x v="89"/>
    <x v="2404"/>
    <x v="5"/>
    <x v="162"/>
    <x v="4"/>
    <x v="11"/>
    <x v="2"/>
  </r>
  <r>
    <x v="3"/>
    <x v="89"/>
    <x v="2405"/>
    <x v="99"/>
    <x v="162"/>
    <x v="1"/>
    <x v="11"/>
    <x v="2"/>
  </r>
  <r>
    <x v="3"/>
    <x v="89"/>
    <x v="2406"/>
    <x v="170"/>
    <x v="165"/>
    <x v="16"/>
    <x v="11"/>
    <x v="2"/>
  </r>
  <r>
    <x v="0"/>
    <x v="90"/>
    <x v="2407"/>
    <x v="198"/>
    <x v="193"/>
    <x v="6"/>
    <x v="1"/>
    <x v="5"/>
  </r>
  <r>
    <x v="0"/>
    <x v="90"/>
    <x v="2408"/>
    <x v="7"/>
    <x v="7"/>
    <x v="12"/>
    <x v="10"/>
    <x v="2"/>
  </r>
  <r>
    <x v="0"/>
    <x v="90"/>
    <x v="2409"/>
    <x v="7"/>
    <x v="7"/>
    <x v="12"/>
    <x v="10"/>
    <x v="2"/>
  </r>
  <r>
    <x v="5"/>
    <x v="90"/>
    <x v="2410"/>
    <x v="144"/>
    <x v="140"/>
    <x v="4"/>
    <x v="23"/>
    <x v="49"/>
  </r>
  <r>
    <x v="5"/>
    <x v="90"/>
    <x v="2411"/>
    <x v="108"/>
    <x v="162"/>
    <x v="10"/>
    <x v="10"/>
    <x v="2"/>
  </r>
  <r>
    <x v="0"/>
    <x v="90"/>
    <x v="2412"/>
    <x v="73"/>
    <x v="73"/>
    <x v="8"/>
    <x v="1"/>
    <x v="43"/>
  </r>
  <r>
    <x v="4"/>
    <x v="90"/>
    <x v="2413"/>
    <x v="275"/>
    <x v="258"/>
    <x v="15"/>
    <x v="4"/>
    <x v="72"/>
  </r>
  <r>
    <x v="0"/>
    <x v="90"/>
    <x v="2414"/>
    <x v="57"/>
    <x v="57"/>
    <x v="4"/>
    <x v="1"/>
    <x v="32"/>
  </r>
  <r>
    <x v="0"/>
    <x v="90"/>
    <x v="2415"/>
    <x v="144"/>
    <x v="140"/>
    <x v="4"/>
    <x v="8"/>
    <x v="32"/>
  </r>
  <r>
    <x v="1"/>
    <x v="90"/>
    <x v="2416"/>
    <x v="90"/>
    <x v="90"/>
    <x v="4"/>
    <x v="4"/>
    <x v="7"/>
  </r>
  <r>
    <x v="1"/>
    <x v="90"/>
    <x v="2417"/>
    <x v="90"/>
    <x v="90"/>
    <x v="4"/>
    <x v="4"/>
    <x v="7"/>
  </r>
  <r>
    <x v="1"/>
    <x v="90"/>
    <x v="2418"/>
    <x v="90"/>
    <x v="90"/>
    <x v="4"/>
    <x v="4"/>
    <x v="7"/>
  </r>
  <r>
    <x v="2"/>
    <x v="90"/>
    <x v="2419"/>
    <x v="198"/>
    <x v="193"/>
    <x v="6"/>
    <x v="5"/>
    <x v="4"/>
  </r>
  <r>
    <x v="2"/>
    <x v="90"/>
    <x v="2420"/>
    <x v="198"/>
    <x v="193"/>
    <x v="6"/>
    <x v="5"/>
    <x v="4"/>
  </r>
  <r>
    <x v="2"/>
    <x v="90"/>
    <x v="2421"/>
    <x v="198"/>
    <x v="193"/>
    <x v="6"/>
    <x v="5"/>
    <x v="4"/>
  </r>
  <r>
    <x v="4"/>
    <x v="90"/>
    <x v="2422"/>
    <x v="13"/>
    <x v="13"/>
    <x v="13"/>
    <x v="23"/>
    <x v="7"/>
  </r>
  <r>
    <x v="3"/>
    <x v="90"/>
    <x v="2423"/>
    <x v="57"/>
    <x v="57"/>
    <x v="4"/>
    <x v="23"/>
    <x v="7"/>
  </r>
  <r>
    <x v="3"/>
    <x v="90"/>
    <x v="2424"/>
    <x v="276"/>
    <x v="259"/>
    <x v="10"/>
    <x v="34"/>
    <x v="7"/>
  </r>
  <r>
    <x v="0"/>
    <x v="90"/>
    <x v="2425"/>
    <x v="55"/>
    <x v="55"/>
    <x v="13"/>
    <x v="5"/>
    <x v="4"/>
  </r>
  <r>
    <x v="0"/>
    <x v="90"/>
    <x v="2426"/>
    <x v="55"/>
    <x v="55"/>
    <x v="13"/>
    <x v="5"/>
    <x v="4"/>
  </r>
  <r>
    <x v="4"/>
    <x v="90"/>
    <x v="2427"/>
    <x v="55"/>
    <x v="55"/>
    <x v="13"/>
    <x v="5"/>
    <x v="7"/>
  </r>
  <r>
    <x v="4"/>
    <x v="90"/>
    <x v="2428"/>
    <x v="55"/>
    <x v="55"/>
    <x v="13"/>
    <x v="5"/>
    <x v="7"/>
  </r>
  <r>
    <x v="5"/>
    <x v="90"/>
    <x v="2429"/>
    <x v="25"/>
    <x v="25"/>
    <x v="6"/>
    <x v="3"/>
    <x v="2"/>
  </r>
  <r>
    <x v="5"/>
    <x v="90"/>
    <x v="2430"/>
    <x v="277"/>
    <x v="260"/>
    <x v="4"/>
    <x v="3"/>
    <x v="2"/>
  </r>
  <r>
    <x v="4"/>
    <x v="91"/>
    <x v="2431"/>
    <x v="13"/>
    <x v="13"/>
    <x v="13"/>
    <x v="23"/>
    <x v="59"/>
  </r>
  <r>
    <x v="0"/>
    <x v="91"/>
    <x v="2432"/>
    <x v="278"/>
    <x v="261"/>
    <x v="10"/>
    <x v="34"/>
    <x v="16"/>
  </r>
  <r>
    <x v="1"/>
    <x v="92"/>
    <x v="2433"/>
    <x v="57"/>
    <x v="57"/>
    <x v="6"/>
    <x v="4"/>
    <x v="10"/>
  </r>
  <r>
    <x v="1"/>
    <x v="92"/>
    <x v="2434"/>
    <x v="57"/>
    <x v="57"/>
    <x v="6"/>
    <x v="4"/>
    <x v="10"/>
  </r>
  <r>
    <x v="1"/>
    <x v="92"/>
    <x v="2435"/>
    <x v="57"/>
    <x v="57"/>
    <x v="6"/>
    <x v="4"/>
    <x v="10"/>
  </r>
  <r>
    <x v="1"/>
    <x v="92"/>
    <x v="2436"/>
    <x v="57"/>
    <x v="57"/>
    <x v="6"/>
    <x v="4"/>
    <x v="10"/>
  </r>
  <r>
    <x v="1"/>
    <x v="92"/>
    <x v="2437"/>
    <x v="57"/>
    <x v="57"/>
    <x v="6"/>
    <x v="4"/>
    <x v="10"/>
  </r>
  <r>
    <x v="1"/>
    <x v="92"/>
    <x v="2438"/>
    <x v="57"/>
    <x v="57"/>
    <x v="6"/>
    <x v="4"/>
    <x v="10"/>
  </r>
  <r>
    <x v="1"/>
    <x v="92"/>
    <x v="2439"/>
    <x v="57"/>
    <x v="57"/>
    <x v="6"/>
    <x v="4"/>
    <x v="10"/>
  </r>
  <r>
    <x v="1"/>
    <x v="92"/>
    <x v="2440"/>
    <x v="57"/>
    <x v="57"/>
    <x v="6"/>
    <x v="4"/>
    <x v="10"/>
  </r>
  <r>
    <x v="1"/>
    <x v="92"/>
    <x v="2441"/>
    <x v="57"/>
    <x v="57"/>
    <x v="6"/>
    <x v="4"/>
    <x v="10"/>
  </r>
  <r>
    <x v="1"/>
    <x v="92"/>
    <x v="2442"/>
    <x v="57"/>
    <x v="57"/>
    <x v="6"/>
    <x v="4"/>
    <x v="10"/>
  </r>
  <r>
    <x v="5"/>
    <x v="92"/>
    <x v="2443"/>
    <x v="8"/>
    <x v="8"/>
    <x v="13"/>
    <x v="4"/>
    <x v="7"/>
  </r>
  <r>
    <x v="1"/>
    <x v="92"/>
    <x v="2444"/>
    <x v="209"/>
    <x v="204"/>
    <x v="4"/>
    <x v="1"/>
    <x v="7"/>
  </r>
  <r>
    <x v="4"/>
    <x v="92"/>
    <x v="2445"/>
    <x v="8"/>
    <x v="8"/>
    <x v="13"/>
    <x v="4"/>
    <x v="7"/>
  </r>
  <r>
    <x v="0"/>
    <x v="92"/>
    <x v="2316"/>
    <x v="151"/>
    <x v="147"/>
    <x v="13"/>
    <x v="4"/>
    <x v="7"/>
  </r>
  <r>
    <x v="0"/>
    <x v="92"/>
    <x v="2446"/>
    <x v="151"/>
    <x v="147"/>
    <x v="13"/>
    <x v="4"/>
    <x v="7"/>
  </r>
  <r>
    <x v="0"/>
    <x v="92"/>
    <x v="2447"/>
    <x v="151"/>
    <x v="147"/>
    <x v="13"/>
    <x v="4"/>
    <x v="7"/>
  </r>
  <r>
    <x v="1"/>
    <x v="92"/>
    <x v="2448"/>
    <x v="279"/>
    <x v="262"/>
    <x v="1"/>
    <x v="4"/>
    <x v="7"/>
  </r>
  <r>
    <x v="1"/>
    <x v="92"/>
    <x v="2449"/>
    <x v="279"/>
    <x v="262"/>
    <x v="1"/>
    <x v="4"/>
    <x v="7"/>
  </r>
  <r>
    <x v="1"/>
    <x v="92"/>
    <x v="2450"/>
    <x v="279"/>
    <x v="262"/>
    <x v="1"/>
    <x v="4"/>
    <x v="7"/>
  </r>
  <r>
    <x v="0"/>
    <x v="92"/>
    <x v="2451"/>
    <x v="60"/>
    <x v="60"/>
    <x v="17"/>
    <x v="23"/>
    <x v="7"/>
  </r>
  <r>
    <x v="0"/>
    <x v="92"/>
    <x v="2452"/>
    <x v="24"/>
    <x v="24"/>
    <x v="12"/>
    <x v="10"/>
    <x v="2"/>
  </r>
  <r>
    <x v="3"/>
    <x v="92"/>
    <x v="2453"/>
    <x v="151"/>
    <x v="147"/>
    <x v="13"/>
    <x v="4"/>
    <x v="7"/>
  </r>
  <r>
    <x v="3"/>
    <x v="92"/>
    <x v="2454"/>
    <x v="151"/>
    <x v="147"/>
    <x v="13"/>
    <x v="4"/>
    <x v="7"/>
  </r>
  <r>
    <x v="5"/>
    <x v="92"/>
    <x v="2455"/>
    <x v="6"/>
    <x v="6"/>
    <x v="16"/>
    <x v="1"/>
    <x v="7"/>
  </r>
  <r>
    <x v="3"/>
    <x v="92"/>
    <x v="2456"/>
    <x v="24"/>
    <x v="24"/>
    <x v="12"/>
    <x v="10"/>
    <x v="2"/>
  </r>
  <r>
    <x v="5"/>
    <x v="92"/>
    <x v="2457"/>
    <x v="13"/>
    <x v="13"/>
    <x v="13"/>
    <x v="18"/>
    <x v="2"/>
  </r>
  <r>
    <x v="4"/>
    <x v="92"/>
    <x v="2458"/>
    <x v="60"/>
    <x v="60"/>
    <x v="17"/>
    <x v="1"/>
    <x v="7"/>
  </r>
  <r>
    <x v="2"/>
    <x v="92"/>
    <x v="2459"/>
    <x v="103"/>
    <x v="101"/>
    <x v="0"/>
    <x v="25"/>
    <x v="2"/>
  </r>
  <r>
    <x v="2"/>
    <x v="92"/>
    <x v="2460"/>
    <x v="60"/>
    <x v="60"/>
    <x v="17"/>
    <x v="1"/>
    <x v="7"/>
  </r>
  <r>
    <x v="2"/>
    <x v="92"/>
    <x v="2461"/>
    <x v="13"/>
    <x v="13"/>
    <x v="13"/>
    <x v="11"/>
    <x v="2"/>
  </r>
  <r>
    <x v="2"/>
    <x v="92"/>
    <x v="2462"/>
    <x v="151"/>
    <x v="147"/>
    <x v="13"/>
    <x v="11"/>
    <x v="2"/>
  </r>
  <r>
    <x v="1"/>
    <x v="93"/>
    <x v="2463"/>
    <x v="182"/>
    <x v="177"/>
    <x v="13"/>
    <x v="4"/>
    <x v="10"/>
  </r>
  <r>
    <x v="5"/>
    <x v="93"/>
    <x v="2464"/>
    <x v="182"/>
    <x v="177"/>
    <x v="13"/>
    <x v="4"/>
    <x v="10"/>
  </r>
  <r>
    <x v="4"/>
    <x v="93"/>
    <x v="2465"/>
    <x v="25"/>
    <x v="25"/>
    <x v="6"/>
    <x v="23"/>
    <x v="7"/>
  </r>
  <r>
    <x v="5"/>
    <x v="93"/>
    <x v="2466"/>
    <x v="39"/>
    <x v="39"/>
    <x v="10"/>
    <x v="10"/>
    <x v="2"/>
  </r>
  <r>
    <x v="0"/>
    <x v="93"/>
    <x v="2467"/>
    <x v="50"/>
    <x v="51"/>
    <x v="10"/>
    <x v="6"/>
    <x v="2"/>
  </r>
  <r>
    <x v="1"/>
    <x v="93"/>
    <x v="2468"/>
    <x v="74"/>
    <x v="74"/>
    <x v="8"/>
    <x v="4"/>
    <x v="43"/>
  </r>
  <r>
    <x v="0"/>
    <x v="93"/>
    <x v="2469"/>
    <x v="39"/>
    <x v="39"/>
    <x v="10"/>
    <x v="10"/>
    <x v="2"/>
  </r>
  <r>
    <x v="1"/>
    <x v="93"/>
    <x v="2437"/>
    <x v="57"/>
    <x v="57"/>
    <x v="6"/>
    <x v="3"/>
    <x v="2"/>
  </r>
  <r>
    <x v="2"/>
    <x v="93"/>
    <x v="2470"/>
    <x v="78"/>
    <x v="78"/>
    <x v="15"/>
    <x v="37"/>
    <x v="7"/>
  </r>
  <r>
    <x v="3"/>
    <x v="93"/>
    <x v="2471"/>
    <x v="280"/>
    <x v="263"/>
    <x v="1"/>
    <x v="4"/>
    <x v="10"/>
  </r>
  <r>
    <x v="0"/>
    <x v="93"/>
    <x v="2003"/>
    <x v="259"/>
    <x v="245"/>
    <x v="4"/>
    <x v="5"/>
    <x v="4"/>
  </r>
  <r>
    <x v="0"/>
    <x v="93"/>
    <x v="2472"/>
    <x v="0"/>
    <x v="0"/>
    <x v="0"/>
    <x v="5"/>
    <x v="4"/>
  </r>
  <r>
    <x v="4"/>
    <x v="93"/>
    <x v="2473"/>
    <x v="39"/>
    <x v="39"/>
    <x v="10"/>
    <x v="10"/>
    <x v="2"/>
  </r>
  <r>
    <x v="4"/>
    <x v="93"/>
    <x v="2474"/>
    <x v="39"/>
    <x v="39"/>
    <x v="10"/>
    <x v="15"/>
    <x v="2"/>
  </r>
  <r>
    <x v="4"/>
    <x v="93"/>
    <x v="2475"/>
    <x v="38"/>
    <x v="38"/>
    <x v="10"/>
    <x v="6"/>
    <x v="2"/>
  </r>
  <r>
    <x v="5"/>
    <x v="94"/>
    <x v="2476"/>
    <x v="137"/>
    <x v="133"/>
    <x v="4"/>
    <x v="4"/>
    <x v="7"/>
  </r>
  <r>
    <x v="0"/>
    <x v="94"/>
    <x v="2477"/>
    <x v="1"/>
    <x v="1"/>
    <x v="1"/>
    <x v="23"/>
    <x v="7"/>
  </r>
  <r>
    <x v="0"/>
    <x v="94"/>
    <x v="2478"/>
    <x v="1"/>
    <x v="1"/>
    <x v="1"/>
    <x v="23"/>
    <x v="7"/>
  </r>
  <r>
    <x v="0"/>
    <x v="94"/>
    <x v="2479"/>
    <x v="1"/>
    <x v="1"/>
    <x v="1"/>
    <x v="1"/>
    <x v="7"/>
  </r>
  <r>
    <x v="1"/>
    <x v="94"/>
    <x v="2480"/>
    <x v="268"/>
    <x v="252"/>
    <x v="13"/>
    <x v="15"/>
    <x v="2"/>
  </r>
  <r>
    <x v="4"/>
    <x v="94"/>
    <x v="2481"/>
    <x v="141"/>
    <x v="137"/>
    <x v="17"/>
    <x v="23"/>
    <x v="7"/>
  </r>
  <r>
    <x v="2"/>
    <x v="94"/>
    <x v="2482"/>
    <x v="25"/>
    <x v="25"/>
    <x v="6"/>
    <x v="23"/>
    <x v="7"/>
  </r>
  <r>
    <x v="4"/>
    <x v="94"/>
    <x v="2483"/>
    <x v="118"/>
    <x v="162"/>
    <x v="1"/>
    <x v="4"/>
    <x v="4"/>
  </r>
  <r>
    <x v="5"/>
    <x v="94"/>
    <x v="2484"/>
    <x v="147"/>
    <x v="162"/>
    <x v="1"/>
    <x v="1"/>
    <x v="7"/>
  </r>
  <r>
    <x v="5"/>
    <x v="94"/>
    <x v="2485"/>
    <x v="251"/>
    <x v="239"/>
    <x v="6"/>
    <x v="13"/>
    <x v="5"/>
  </r>
  <r>
    <x v="5"/>
    <x v="94"/>
    <x v="2486"/>
    <x v="25"/>
    <x v="25"/>
    <x v="6"/>
    <x v="23"/>
    <x v="7"/>
  </r>
  <r>
    <x v="4"/>
    <x v="94"/>
    <x v="2487"/>
    <x v="1"/>
    <x v="1"/>
    <x v="1"/>
    <x v="1"/>
    <x v="7"/>
  </r>
  <r>
    <x v="4"/>
    <x v="94"/>
    <x v="2488"/>
    <x v="1"/>
    <x v="1"/>
    <x v="1"/>
    <x v="1"/>
    <x v="7"/>
  </r>
  <r>
    <x v="4"/>
    <x v="94"/>
    <x v="2489"/>
    <x v="1"/>
    <x v="1"/>
    <x v="1"/>
    <x v="1"/>
    <x v="7"/>
  </r>
  <r>
    <x v="4"/>
    <x v="94"/>
    <x v="2490"/>
    <x v="1"/>
    <x v="1"/>
    <x v="1"/>
    <x v="1"/>
    <x v="7"/>
  </r>
  <r>
    <x v="4"/>
    <x v="94"/>
    <x v="2491"/>
    <x v="50"/>
    <x v="51"/>
    <x v="10"/>
    <x v="6"/>
    <x v="2"/>
  </r>
  <r>
    <x v="4"/>
    <x v="94"/>
    <x v="2492"/>
    <x v="125"/>
    <x v="122"/>
    <x v="13"/>
    <x v="1"/>
    <x v="7"/>
  </r>
  <r>
    <x v="1"/>
    <x v="94"/>
    <x v="2493"/>
    <x v="57"/>
    <x v="57"/>
    <x v="4"/>
    <x v="3"/>
    <x v="2"/>
  </r>
  <r>
    <x v="3"/>
    <x v="94"/>
    <x v="2494"/>
    <x v="1"/>
    <x v="1"/>
    <x v="1"/>
    <x v="1"/>
    <x v="7"/>
  </r>
  <r>
    <x v="3"/>
    <x v="94"/>
    <x v="2495"/>
    <x v="1"/>
    <x v="1"/>
    <x v="1"/>
    <x v="1"/>
    <x v="7"/>
  </r>
  <r>
    <x v="3"/>
    <x v="94"/>
    <x v="2496"/>
    <x v="1"/>
    <x v="1"/>
    <x v="1"/>
    <x v="1"/>
    <x v="7"/>
  </r>
  <r>
    <x v="3"/>
    <x v="94"/>
    <x v="2497"/>
    <x v="117"/>
    <x v="114"/>
    <x v="17"/>
    <x v="37"/>
    <x v="7"/>
  </r>
  <r>
    <x v="5"/>
    <x v="95"/>
    <x v="2498"/>
    <x v="210"/>
    <x v="205"/>
    <x v="16"/>
    <x v="1"/>
    <x v="7"/>
  </r>
  <r>
    <x v="5"/>
    <x v="95"/>
    <x v="2499"/>
    <x v="1"/>
    <x v="1"/>
    <x v="1"/>
    <x v="1"/>
    <x v="7"/>
  </r>
  <r>
    <x v="5"/>
    <x v="95"/>
    <x v="2500"/>
    <x v="1"/>
    <x v="1"/>
    <x v="1"/>
    <x v="1"/>
    <x v="7"/>
  </r>
  <r>
    <x v="1"/>
    <x v="95"/>
    <x v="2501"/>
    <x v="9"/>
    <x v="9"/>
    <x v="13"/>
    <x v="1"/>
    <x v="7"/>
  </r>
  <r>
    <x v="0"/>
    <x v="95"/>
    <x v="2502"/>
    <x v="24"/>
    <x v="24"/>
    <x v="12"/>
    <x v="10"/>
    <x v="2"/>
  </r>
  <r>
    <x v="0"/>
    <x v="95"/>
    <x v="2503"/>
    <x v="90"/>
    <x v="90"/>
    <x v="4"/>
    <x v="1"/>
    <x v="3"/>
  </r>
  <r>
    <x v="2"/>
    <x v="95"/>
    <x v="2504"/>
    <x v="1"/>
    <x v="1"/>
    <x v="1"/>
    <x v="1"/>
    <x v="7"/>
  </r>
  <r>
    <x v="2"/>
    <x v="95"/>
    <x v="2505"/>
    <x v="1"/>
    <x v="1"/>
    <x v="1"/>
    <x v="1"/>
    <x v="7"/>
  </r>
  <r>
    <x v="5"/>
    <x v="95"/>
    <x v="2506"/>
    <x v="251"/>
    <x v="239"/>
    <x v="6"/>
    <x v="13"/>
    <x v="7"/>
  </r>
  <r>
    <x v="5"/>
    <x v="95"/>
    <x v="2507"/>
    <x v="73"/>
    <x v="73"/>
    <x v="15"/>
    <x v="4"/>
    <x v="10"/>
  </r>
  <r>
    <x v="5"/>
    <x v="95"/>
    <x v="2508"/>
    <x v="73"/>
    <x v="73"/>
    <x v="15"/>
    <x v="4"/>
    <x v="10"/>
  </r>
  <r>
    <x v="5"/>
    <x v="95"/>
    <x v="2509"/>
    <x v="73"/>
    <x v="73"/>
    <x v="15"/>
    <x v="4"/>
    <x v="10"/>
  </r>
  <r>
    <x v="5"/>
    <x v="95"/>
    <x v="2510"/>
    <x v="73"/>
    <x v="73"/>
    <x v="15"/>
    <x v="4"/>
    <x v="10"/>
  </r>
  <r>
    <x v="5"/>
    <x v="95"/>
    <x v="2511"/>
    <x v="73"/>
    <x v="73"/>
    <x v="15"/>
    <x v="22"/>
    <x v="7"/>
  </r>
  <r>
    <x v="2"/>
    <x v="95"/>
    <x v="2512"/>
    <x v="87"/>
    <x v="87"/>
    <x v="0"/>
    <x v="23"/>
    <x v="7"/>
  </r>
  <r>
    <x v="3"/>
    <x v="95"/>
    <x v="2513"/>
    <x v="25"/>
    <x v="25"/>
    <x v="4"/>
    <x v="12"/>
    <x v="2"/>
  </r>
  <r>
    <x v="3"/>
    <x v="95"/>
    <x v="2514"/>
    <x v="64"/>
    <x v="64"/>
    <x v="15"/>
    <x v="22"/>
    <x v="7"/>
  </r>
  <r>
    <x v="3"/>
    <x v="95"/>
    <x v="2515"/>
    <x v="222"/>
    <x v="162"/>
    <x v="5"/>
    <x v="4"/>
    <x v="7"/>
  </r>
  <r>
    <x v="4"/>
    <x v="95"/>
    <x v="2516"/>
    <x v="281"/>
    <x v="264"/>
    <x v="10"/>
    <x v="10"/>
    <x v="2"/>
  </r>
  <r>
    <x v="4"/>
    <x v="95"/>
    <x v="2517"/>
    <x v="38"/>
    <x v="38"/>
    <x v="10"/>
    <x v="10"/>
    <x v="2"/>
  </r>
  <r>
    <x v="3"/>
    <x v="95"/>
    <x v="2518"/>
    <x v="7"/>
    <x v="7"/>
    <x v="5"/>
    <x v="10"/>
    <x v="2"/>
  </r>
  <r>
    <x v="3"/>
    <x v="95"/>
    <x v="2519"/>
    <x v="251"/>
    <x v="239"/>
    <x v="6"/>
    <x v="1"/>
    <x v="7"/>
  </r>
  <r>
    <x v="0"/>
    <x v="95"/>
    <x v="2520"/>
    <x v="36"/>
    <x v="36"/>
    <x v="6"/>
    <x v="23"/>
    <x v="7"/>
  </r>
  <r>
    <x v="0"/>
    <x v="95"/>
    <x v="2521"/>
    <x v="6"/>
    <x v="6"/>
    <x v="16"/>
    <x v="11"/>
    <x v="2"/>
  </r>
  <r>
    <x v="0"/>
    <x v="95"/>
    <x v="2522"/>
    <x v="89"/>
    <x v="89"/>
    <x v="6"/>
    <x v="11"/>
    <x v="2"/>
  </r>
  <r>
    <x v="0"/>
    <x v="95"/>
    <x v="2523"/>
    <x v="89"/>
    <x v="89"/>
    <x v="6"/>
    <x v="11"/>
    <x v="2"/>
  </r>
  <r>
    <x v="5"/>
    <x v="95"/>
    <x v="2524"/>
    <x v="262"/>
    <x v="247"/>
    <x v="0"/>
    <x v="11"/>
    <x v="2"/>
  </r>
  <r>
    <x v="1"/>
    <x v="96"/>
    <x v="2525"/>
    <x v="220"/>
    <x v="162"/>
    <x v="4"/>
    <x v="4"/>
    <x v="27"/>
  </r>
  <r>
    <x v="1"/>
    <x v="96"/>
    <x v="2526"/>
    <x v="231"/>
    <x v="162"/>
    <x v="4"/>
    <x v="4"/>
    <x v="27"/>
  </r>
  <r>
    <x v="5"/>
    <x v="96"/>
    <x v="2527"/>
    <x v="222"/>
    <x v="162"/>
    <x v="12"/>
    <x v="6"/>
    <x v="2"/>
  </r>
  <r>
    <x v="0"/>
    <x v="96"/>
    <x v="2528"/>
    <x v="220"/>
    <x v="162"/>
    <x v="4"/>
    <x v="18"/>
    <x v="2"/>
  </r>
  <r>
    <x v="0"/>
    <x v="96"/>
    <x v="2529"/>
    <x v="231"/>
    <x v="162"/>
    <x v="4"/>
    <x v="18"/>
    <x v="2"/>
  </r>
  <r>
    <x v="6"/>
    <x v="96"/>
    <x v="2530"/>
    <x v="222"/>
    <x v="162"/>
    <x v="5"/>
    <x v="28"/>
    <x v="25"/>
  </r>
  <r>
    <x v="6"/>
    <x v="96"/>
    <x v="2531"/>
    <x v="222"/>
    <x v="162"/>
    <x v="5"/>
    <x v="28"/>
    <x v="25"/>
  </r>
  <r>
    <x v="0"/>
    <x v="96"/>
    <x v="2532"/>
    <x v="6"/>
    <x v="6"/>
    <x v="16"/>
    <x v="10"/>
    <x v="7"/>
  </r>
  <r>
    <x v="5"/>
    <x v="96"/>
    <x v="2511"/>
    <x v="73"/>
    <x v="73"/>
    <x v="15"/>
    <x v="23"/>
    <x v="7"/>
  </r>
  <r>
    <x v="0"/>
    <x v="96"/>
    <x v="2533"/>
    <x v="199"/>
    <x v="194"/>
    <x v="16"/>
    <x v="23"/>
    <x v="7"/>
  </r>
  <r>
    <x v="1"/>
    <x v="96"/>
    <x v="2534"/>
    <x v="60"/>
    <x v="60"/>
    <x v="5"/>
    <x v="23"/>
    <x v="2"/>
  </r>
  <r>
    <x v="1"/>
    <x v="96"/>
    <x v="2535"/>
    <x v="251"/>
    <x v="239"/>
    <x v="6"/>
    <x v="1"/>
    <x v="7"/>
  </r>
  <r>
    <x v="1"/>
    <x v="96"/>
    <x v="2536"/>
    <x v="8"/>
    <x v="8"/>
    <x v="13"/>
    <x v="1"/>
    <x v="7"/>
  </r>
  <r>
    <x v="4"/>
    <x v="96"/>
    <x v="2537"/>
    <x v="195"/>
    <x v="190"/>
    <x v="4"/>
    <x v="0"/>
    <x v="45"/>
  </r>
  <r>
    <x v="4"/>
    <x v="96"/>
    <x v="2538"/>
    <x v="121"/>
    <x v="118"/>
    <x v="13"/>
    <x v="15"/>
    <x v="7"/>
  </r>
  <r>
    <x v="4"/>
    <x v="96"/>
    <x v="2539"/>
    <x v="23"/>
    <x v="23"/>
    <x v="0"/>
    <x v="23"/>
    <x v="7"/>
  </r>
  <r>
    <x v="1"/>
    <x v="96"/>
    <x v="2540"/>
    <x v="279"/>
    <x v="262"/>
    <x v="1"/>
    <x v="5"/>
    <x v="4"/>
  </r>
  <r>
    <x v="1"/>
    <x v="96"/>
    <x v="2541"/>
    <x v="279"/>
    <x v="262"/>
    <x v="1"/>
    <x v="5"/>
    <x v="4"/>
  </r>
  <r>
    <x v="1"/>
    <x v="96"/>
    <x v="2542"/>
    <x v="279"/>
    <x v="262"/>
    <x v="1"/>
    <x v="5"/>
    <x v="4"/>
  </r>
  <r>
    <x v="1"/>
    <x v="96"/>
    <x v="2543"/>
    <x v="279"/>
    <x v="262"/>
    <x v="1"/>
    <x v="5"/>
    <x v="4"/>
  </r>
  <r>
    <x v="0"/>
    <x v="96"/>
    <x v="2523"/>
    <x v="89"/>
    <x v="89"/>
    <x v="15"/>
    <x v="5"/>
    <x v="4"/>
  </r>
  <r>
    <x v="0"/>
    <x v="96"/>
    <x v="2544"/>
    <x v="251"/>
    <x v="239"/>
    <x v="6"/>
    <x v="1"/>
    <x v="12"/>
  </r>
  <r>
    <x v="0"/>
    <x v="96"/>
    <x v="2545"/>
    <x v="24"/>
    <x v="24"/>
    <x v="12"/>
    <x v="10"/>
    <x v="2"/>
  </r>
  <r>
    <x v="3"/>
    <x v="96"/>
    <x v="2546"/>
    <x v="23"/>
    <x v="23"/>
    <x v="0"/>
    <x v="22"/>
    <x v="7"/>
  </r>
  <r>
    <x v="3"/>
    <x v="96"/>
    <x v="2547"/>
    <x v="222"/>
    <x v="162"/>
    <x v="4"/>
    <x v="4"/>
    <x v="10"/>
  </r>
  <r>
    <x v="3"/>
    <x v="96"/>
    <x v="2548"/>
    <x v="222"/>
    <x v="162"/>
    <x v="4"/>
    <x v="4"/>
    <x v="10"/>
  </r>
  <r>
    <x v="3"/>
    <x v="96"/>
    <x v="2549"/>
    <x v="24"/>
    <x v="24"/>
    <x v="12"/>
    <x v="10"/>
    <x v="2"/>
  </r>
  <r>
    <x v="3"/>
    <x v="96"/>
    <x v="1188"/>
    <x v="222"/>
    <x v="162"/>
    <x v="5"/>
    <x v="28"/>
    <x v="25"/>
  </r>
  <r>
    <x v="6"/>
    <x v="96"/>
    <x v="1188"/>
    <x v="282"/>
    <x v="265"/>
    <x v="5"/>
    <x v="28"/>
    <x v="25"/>
  </r>
  <r>
    <x v="4"/>
    <x v="96"/>
    <x v="2550"/>
    <x v="8"/>
    <x v="8"/>
    <x v="13"/>
    <x v="21"/>
    <x v="2"/>
  </r>
  <r>
    <x v="4"/>
    <x v="96"/>
    <x v="2551"/>
    <x v="251"/>
    <x v="239"/>
    <x v="6"/>
    <x v="1"/>
    <x v="7"/>
  </r>
  <r>
    <x v="4"/>
    <x v="96"/>
    <x v="2552"/>
    <x v="56"/>
    <x v="162"/>
    <x v="6"/>
    <x v="23"/>
    <x v="7"/>
  </r>
  <r>
    <x v="0"/>
    <x v="96"/>
    <x v="2553"/>
    <x v="283"/>
    <x v="266"/>
    <x v="5"/>
    <x v="11"/>
    <x v="2"/>
  </r>
  <r>
    <x v="2"/>
    <x v="96"/>
    <x v="2554"/>
    <x v="284"/>
    <x v="267"/>
    <x v="4"/>
    <x v="27"/>
    <x v="2"/>
  </r>
  <r>
    <x v="2"/>
    <x v="96"/>
    <x v="2555"/>
    <x v="284"/>
    <x v="267"/>
    <x v="4"/>
    <x v="27"/>
    <x v="2"/>
  </r>
  <r>
    <x v="2"/>
    <x v="96"/>
    <x v="2556"/>
    <x v="24"/>
    <x v="24"/>
    <x v="12"/>
    <x v="10"/>
    <x v="2"/>
  </r>
  <r>
    <x v="2"/>
    <x v="96"/>
    <x v="2557"/>
    <x v="57"/>
    <x v="57"/>
    <x v="4"/>
    <x v="11"/>
    <x v="2"/>
  </r>
  <r>
    <x v="2"/>
    <x v="96"/>
    <x v="2558"/>
    <x v="57"/>
    <x v="57"/>
    <x v="4"/>
    <x v="11"/>
    <x v="2"/>
  </r>
  <r>
    <x v="2"/>
    <x v="96"/>
    <x v="2559"/>
    <x v="57"/>
    <x v="57"/>
    <x v="4"/>
    <x v="11"/>
    <x v="2"/>
  </r>
  <r>
    <x v="2"/>
    <x v="96"/>
    <x v="2560"/>
    <x v="57"/>
    <x v="57"/>
    <x v="4"/>
    <x v="11"/>
    <x v="2"/>
  </r>
  <r>
    <x v="2"/>
    <x v="96"/>
    <x v="2561"/>
    <x v="57"/>
    <x v="57"/>
    <x v="4"/>
    <x v="11"/>
    <x v="2"/>
  </r>
  <r>
    <x v="1"/>
    <x v="97"/>
    <x v="2562"/>
    <x v="38"/>
    <x v="38"/>
    <x v="10"/>
    <x v="10"/>
    <x v="2"/>
  </r>
  <r>
    <x v="0"/>
    <x v="98"/>
    <x v="2563"/>
    <x v="209"/>
    <x v="204"/>
    <x v="4"/>
    <x v="4"/>
    <x v="7"/>
  </r>
  <r>
    <x v="0"/>
    <x v="98"/>
    <x v="2564"/>
    <x v="209"/>
    <x v="204"/>
    <x v="4"/>
    <x v="4"/>
    <x v="7"/>
  </r>
  <r>
    <x v="1"/>
    <x v="98"/>
    <x v="2565"/>
    <x v="60"/>
    <x v="60"/>
    <x v="17"/>
    <x v="23"/>
    <x v="7"/>
  </r>
  <r>
    <x v="1"/>
    <x v="98"/>
    <x v="2566"/>
    <x v="63"/>
    <x v="63"/>
    <x v="16"/>
    <x v="23"/>
    <x v="7"/>
  </r>
  <r>
    <x v="5"/>
    <x v="98"/>
    <x v="2567"/>
    <x v="101"/>
    <x v="99"/>
    <x v="6"/>
    <x v="23"/>
    <x v="7"/>
  </r>
  <r>
    <x v="3"/>
    <x v="98"/>
    <x v="2568"/>
    <x v="58"/>
    <x v="58"/>
    <x v="0"/>
    <x v="23"/>
    <x v="7"/>
  </r>
  <r>
    <x v="3"/>
    <x v="98"/>
    <x v="2569"/>
    <x v="34"/>
    <x v="34"/>
    <x v="13"/>
    <x v="1"/>
    <x v="7"/>
  </r>
  <r>
    <x v="0"/>
    <x v="98"/>
    <x v="2570"/>
    <x v="98"/>
    <x v="97"/>
    <x v="1"/>
    <x v="30"/>
    <x v="73"/>
  </r>
  <r>
    <x v="0"/>
    <x v="98"/>
    <x v="2571"/>
    <x v="98"/>
    <x v="97"/>
    <x v="1"/>
    <x v="30"/>
    <x v="73"/>
  </r>
  <r>
    <x v="5"/>
    <x v="98"/>
    <x v="2572"/>
    <x v="17"/>
    <x v="17"/>
    <x v="17"/>
    <x v="22"/>
    <x v="7"/>
  </r>
  <r>
    <x v="5"/>
    <x v="98"/>
    <x v="2573"/>
    <x v="63"/>
    <x v="63"/>
    <x v="16"/>
    <x v="22"/>
    <x v="7"/>
  </r>
  <r>
    <x v="3"/>
    <x v="98"/>
    <x v="2574"/>
    <x v="42"/>
    <x v="42"/>
    <x v="13"/>
    <x v="1"/>
    <x v="7"/>
  </r>
  <r>
    <x v="3"/>
    <x v="98"/>
    <x v="2575"/>
    <x v="247"/>
    <x v="235"/>
    <x v="10"/>
    <x v="34"/>
    <x v="2"/>
  </r>
  <r>
    <x v="4"/>
    <x v="98"/>
    <x v="2576"/>
    <x v="50"/>
    <x v="51"/>
    <x v="10"/>
    <x v="34"/>
    <x v="2"/>
  </r>
  <r>
    <x v="4"/>
    <x v="98"/>
    <x v="2577"/>
    <x v="42"/>
    <x v="42"/>
    <x v="13"/>
    <x v="1"/>
    <x v="7"/>
  </r>
  <r>
    <x v="4"/>
    <x v="98"/>
    <x v="2578"/>
    <x v="38"/>
    <x v="38"/>
    <x v="10"/>
    <x v="6"/>
    <x v="2"/>
  </r>
  <r>
    <x v="4"/>
    <x v="98"/>
    <x v="2579"/>
    <x v="247"/>
    <x v="235"/>
    <x v="10"/>
    <x v="34"/>
    <x v="2"/>
  </r>
  <r>
    <x v="5"/>
    <x v="98"/>
    <x v="2573"/>
    <x v="63"/>
    <x v="63"/>
    <x v="17"/>
    <x v="22"/>
    <x v="7"/>
  </r>
  <r>
    <x v="0"/>
    <x v="98"/>
    <x v="2580"/>
    <x v="247"/>
    <x v="235"/>
    <x v="10"/>
    <x v="34"/>
    <x v="68"/>
  </r>
  <r>
    <x v="4"/>
    <x v="98"/>
    <x v="2581"/>
    <x v="215"/>
    <x v="210"/>
    <x v="4"/>
    <x v="11"/>
    <x v="2"/>
  </r>
  <r>
    <x v="4"/>
    <x v="98"/>
    <x v="2582"/>
    <x v="107"/>
    <x v="104"/>
    <x v="13"/>
    <x v="11"/>
    <x v="2"/>
  </r>
  <r>
    <x v="5"/>
    <x v="98"/>
    <x v="2583"/>
    <x v="63"/>
    <x v="63"/>
    <x v="16"/>
    <x v="5"/>
    <x v="2"/>
  </r>
  <r>
    <x v="5"/>
    <x v="98"/>
    <x v="2584"/>
    <x v="63"/>
    <x v="63"/>
    <x v="16"/>
    <x v="5"/>
    <x v="2"/>
  </r>
  <r>
    <x v="5"/>
    <x v="98"/>
    <x v="2316"/>
    <x v="151"/>
    <x v="147"/>
    <x v="13"/>
    <x v="11"/>
    <x v="2"/>
  </r>
  <r>
    <x v="2"/>
    <x v="98"/>
    <x v="2585"/>
    <x v="73"/>
    <x v="73"/>
    <x v="15"/>
    <x v="22"/>
    <x v="2"/>
  </r>
  <r>
    <x v="2"/>
    <x v="98"/>
    <x v="2586"/>
    <x v="247"/>
    <x v="235"/>
    <x v="10"/>
    <x v="34"/>
    <x v="2"/>
  </r>
  <r>
    <x v="1"/>
    <x v="99"/>
    <x v="2587"/>
    <x v="2"/>
    <x v="2"/>
    <x v="16"/>
    <x v="23"/>
    <x v="7"/>
  </r>
  <r>
    <x v="0"/>
    <x v="99"/>
    <x v="2588"/>
    <x v="14"/>
    <x v="14"/>
    <x v="1"/>
    <x v="4"/>
    <x v="7"/>
  </r>
  <r>
    <x v="0"/>
    <x v="99"/>
    <x v="2589"/>
    <x v="14"/>
    <x v="14"/>
    <x v="1"/>
    <x v="4"/>
    <x v="7"/>
  </r>
  <r>
    <x v="0"/>
    <x v="99"/>
    <x v="2590"/>
    <x v="237"/>
    <x v="228"/>
    <x v="16"/>
    <x v="10"/>
    <x v="7"/>
  </r>
  <r>
    <x v="2"/>
    <x v="99"/>
    <x v="2591"/>
    <x v="2"/>
    <x v="2"/>
    <x v="16"/>
    <x v="23"/>
    <x v="7"/>
  </r>
  <r>
    <x v="0"/>
    <x v="99"/>
    <x v="2592"/>
    <x v="74"/>
    <x v="74"/>
    <x v="13"/>
    <x v="4"/>
    <x v="7"/>
  </r>
  <r>
    <x v="0"/>
    <x v="99"/>
    <x v="2593"/>
    <x v="24"/>
    <x v="24"/>
    <x v="12"/>
    <x v="10"/>
    <x v="2"/>
  </r>
  <r>
    <x v="0"/>
    <x v="99"/>
    <x v="2594"/>
    <x v="13"/>
    <x v="13"/>
    <x v="13"/>
    <x v="18"/>
    <x v="2"/>
  </r>
  <r>
    <x v="5"/>
    <x v="99"/>
    <x v="2595"/>
    <x v="237"/>
    <x v="228"/>
    <x v="16"/>
    <x v="1"/>
    <x v="7"/>
  </r>
  <r>
    <x v="5"/>
    <x v="99"/>
    <x v="2596"/>
    <x v="237"/>
    <x v="228"/>
    <x v="16"/>
    <x v="1"/>
    <x v="7"/>
  </r>
  <r>
    <x v="3"/>
    <x v="99"/>
    <x v="2597"/>
    <x v="2"/>
    <x v="2"/>
    <x v="0"/>
    <x v="23"/>
    <x v="7"/>
  </r>
  <r>
    <x v="3"/>
    <x v="99"/>
    <x v="2598"/>
    <x v="1"/>
    <x v="1"/>
    <x v="1"/>
    <x v="1"/>
    <x v="7"/>
  </r>
  <r>
    <x v="3"/>
    <x v="99"/>
    <x v="2599"/>
    <x v="1"/>
    <x v="1"/>
    <x v="1"/>
    <x v="8"/>
    <x v="7"/>
  </r>
  <r>
    <x v="3"/>
    <x v="99"/>
    <x v="2600"/>
    <x v="2"/>
    <x v="2"/>
    <x v="0"/>
    <x v="1"/>
    <x v="7"/>
  </r>
  <r>
    <x v="3"/>
    <x v="99"/>
    <x v="2601"/>
    <x v="15"/>
    <x v="15"/>
    <x v="6"/>
    <x v="1"/>
    <x v="7"/>
  </r>
  <r>
    <x v="0"/>
    <x v="99"/>
    <x v="2602"/>
    <x v="38"/>
    <x v="38"/>
    <x v="5"/>
    <x v="34"/>
    <x v="68"/>
  </r>
  <r>
    <x v="0"/>
    <x v="99"/>
    <x v="2570"/>
    <x v="98"/>
    <x v="97"/>
    <x v="1"/>
    <x v="27"/>
    <x v="12"/>
  </r>
  <r>
    <x v="0"/>
    <x v="99"/>
    <x v="2571"/>
    <x v="98"/>
    <x v="97"/>
    <x v="1"/>
    <x v="27"/>
    <x v="12"/>
  </r>
  <r>
    <x v="5"/>
    <x v="99"/>
    <x v="2603"/>
    <x v="114"/>
    <x v="111"/>
    <x v="13"/>
    <x v="28"/>
    <x v="25"/>
  </r>
  <r>
    <x v="0"/>
    <x v="99"/>
    <x v="2604"/>
    <x v="107"/>
    <x v="104"/>
    <x v="13"/>
    <x v="5"/>
    <x v="4"/>
  </r>
  <r>
    <x v="4"/>
    <x v="99"/>
    <x v="2605"/>
    <x v="237"/>
    <x v="228"/>
    <x v="16"/>
    <x v="15"/>
    <x v="7"/>
  </r>
  <r>
    <x v="4"/>
    <x v="99"/>
    <x v="2606"/>
    <x v="1"/>
    <x v="1"/>
    <x v="1"/>
    <x v="13"/>
    <x v="9"/>
  </r>
  <r>
    <x v="4"/>
    <x v="99"/>
    <x v="2607"/>
    <x v="1"/>
    <x v="1"/>
    <x v="1"/>
    <x v="13"/>
    <x v="9"/>
  </r>
  <r>
    <x v="4"/>
    <x v="99"/>
    <x v="2608"/>
    <x v="2"/>
    <x v="2"/>
    <x v="0"/>
    <x v="1"/>
    <x v="74"/>
  </r>
  <r>
    <x v="4"/>
    <x v="99"/>
    <x v="2609"/>
    <x v="2"/>
    <x v="2"/>
    <x v="0"/>
    <x v="23"/>
    <x v="8"/>
  </r>
  <r>
    <x v="4"/>
    <x v="99"/>
    <x v="2610"/>
    <x v="285"/>
    <x v="268"/>
    <x v="10"/>
    <x v="10"/>
    <x v="2"/>
  </r>
  <r>
    <x v="4"/>
    <x v="99"/>
    <x v="2611"/>
    <x v="237"/>
    <x v="228"/>
    <x v="16"/>
    <x v="11"/>
    <x v="2"/>
  </r>
  <r>
    <x v="3"/>
    <x v="99"/>
    <x v="2612"/>
    <x v="60"/>
    <x v="60"/>
    <x v="0"/>
    <x v="23"/>
    <x v="7"/>
  </r>
  <r>
    <x v="0"/>
    <x v="100"/>
    <x v="2613"/>
    <x v="7"/>
    <x v="7"/>
    <x v="13"/>
    <x v="2"/>
    <x v="54"/>
  </r>
  <r>
    <x v="2"/>
    <x v="100"/>
    <x v="2614"/>
    <x v="286"/>
    <x v="162"/>
    <x v="13"/>
    <x v="26"/>
    <x v="7"/>
  </r>
  <r>
    <x v="0"/>
    <x v="100"/>
    <x v="2615"/>
    <x v="48"/>
    <x v="49"/>
    <x v="1"/>
    <x v="23"/>
    <x v="7"/>
  </r>
  <r>
    <x v="0"/>
    <x v="100"/>
    <x v="2616"/>
    <x v="57"/>
    <x v="57"/>
    <x v="4"/>
    <x v="30"/>
    <x v="73"/>
  </r>
  <r>
    <x v="0"/>
    <x v="100"/>
    <x v="2617"/>
    <x v="57"/>
    <x v="57"/>
    <x v="4"/>
    <x v="30"/>
    <x v="73"/>
  </r>
  <r>
    <x v="2"/>
    <x v="100"/>
    <x v="2618"/>
    <x v="57"/>
    <x v="57"/>
    <x v="4"/>
    <x v="1"/>
    <x v="7"/>
  </r>
  <r>
    <x v="2"/>
    <x v="100"/>
    <x v="2619"/>
    <x v="87"/>
    <x v="87"/>
    <x v="0"/>
    <x v="19"/>
    <x v="2"/>
  </r>
  <r>
    <x v="2"/>
    <x v="100"/>
    <x v="2620"/>
    <x v="87"/>
    <x v="87"/>
    <x v="0"/>
    <x v="19"/>
    <x v="2"/>
  </r>
  <r>
    <x v="5"/>
    <x v="100"/>
    <x v="2621"/>
    <x v="12"/>
    <x v="12"/>
    <x v="13"/>
    <x v="1"/>
    <x v="7"/>
  </r>
  <r>
    <x v="1"/>
    <x v="100"/>
    <x v="2622"/>
    <x v="113"/>
    <x v="110"/>
    <x v="4"/>
    <x v="8"/>
    <x v="7"/>
  </r>
  <r>
    <x v="2"/>
    <x v="100"/>
    <x v="2623"/>
    <x v="121"/>
    <x v="118"/>
    <x v="13"/>
    <x v="23"/>
    <x v="7"/>
  </r>
  <r>
    <x v="3"/>
    <x v="100"/>
    <x v="2624"/>
    <x v="167"/>
    <x v="162"/>
    <x v="5"/>
    <x v="15"/>
    <x v="2"/>
  </r>
  <r>
    <x v="0"/>
    <x v="100"/>
    <x v="2625"/>
    <x v="113"/>
    <x v="110"/>
    <x v="6"/>
    <x v="3"/>
    <x v="5"/>
  </r>
  <r>
    <x v="2"/>
    <x v="100"/>
    <x v="2459"/>
    <x v="103"/>
    <x v="101"/>
    <x v="0"/>
    <x v="3"/>
    <x v="8"/>
  </r>
  <r>
    <x v="0"/>
    <x v="100"/>
    <x v="2626"/>
    <x v="102"/>
    <x v="100"/>
    <x v="4"/>
    <x v="11"/>
    <x v="2"/>
  </r>
  <r>
    <x v="2"/>
    <x v="100"/>
    <x v="2555"/>
    <x v="284"/>
    <x v="267"/>
    <x v="4"/>
    <x v="5"/>
    <x v="2"/>
  </r>
  <r>
    <x v="2"/>
    <x v="100"/>
    <x v="2554"/>
    <x v="284"/>
    <x v="267"/>
    <x v="4"/>
    <x v="5"/>
    <x v="2"/>
  </r>
  <r>
    <x v="5"/>
    <x v="100"/>
    <x v="2261"/>
    <x v="287"/>
    <x v="269"/>
    <x v="15"/>
    <x v="28"/>
    <x v="60"/>
  </r>
  <r>
    <x v="5"/>
    <x v="100"/>
    <x v="2627"/>
    <x v="81"/>
    <x v="81"/>
    <x v="4"/>
    <x v="13"/>
    <x v="7"/>
  </r>
  <r>
    <x v="2"/>
    <x v="100"/>
    <x v="2628"/>
    <x v="14"/>
    <x v="14"/>
    <x v="1"/>
    <x v="13"/>
    <x v="2"/>
  </r>
  <r>
    <x v="4"/>
    <x v="100"/>
    <x v="2629"/>
    <x v="26"/>
    <x v="26"/>
    <x v="16"/>
    <x v="13"/>
    <x v="2"/>
  </r>
  <r>
    <x v="1"/>
    <x v="100"/>
    <x v="2630"/>
    <x v="14"/>
    <x v="14"/>
    <x v="1"/>
    <x v="3"/>
    <x v="2"/>
  </r>
  <r>
    <x v="5"/>
    <x v="101"/>
    <x v="2631"/>
    <x v="65"/>
    <x v="65"/>
    <x v="8"/>
    <x v="4"/>
    <x v="66"/>
  </r>
  <r>
    <x v="1"/>
    <x v="101"/>
    <x v="2632"/>
    <x v="73"/>
    <x v="73"/>
    <x v="8"/>
    <x v="4"/>
    <x v="43"/>
  </r>
  <r>
    <x v="1"/>
    <x v="101"/>
    <x v="2633"/>
    <x v="73"/>
    <x v="73"/>
    <x v="15"/>
    <x v="4"/>
    <x v="59"/>
  </r>
  <r>
    <x v="2"/>
    <x v="101"/>
    <x v="2634"/>
    <x v="81"/>
    <x v="81"/>
    <x v="4"/>
    <x v="13"/>
    <x v="7"/>
  </r>
  <r>
    <x v="2"/>
    <x v="101"/>
    <x v="2635"/>
    <x v="288"/>
    <x v="270"/>
    <x v="4"/>
    <x v="27"/>
    <x v="2"/>
  </r>
  <r>
    <x v="5"/>
    <x v="101"/>
    <x v="2636"/>
    <x v="6"/>
    <x v="6"/>
    <x v="13"/>
    <x v="22"/>
    <x v="7"/>
  </r>
  <r>
    <x v="5"/>
    <x v="101"/>
    <x v="2637"/>
    <x v="72"/>
    <x v="72"/>
    <x v="4"/>
    <x v="25"/>
    <x v="7"/>
  </r>
  <r>
    <x v="0"/>
    <x v="101"/>
    <x v="2638"/>
    <x v="34"/>
    <x v="34"/>
    <x v="13"/>
    <x v="1"/>
    <x v="7"/>
  </r>
  <r>
    <x v="5"/>
    <x v="101"/>
    <x v="2639"/>
    <x v="73"/>
    <x v="73"/>
    <x v="15"/>
    <x v="27"/>
    <x v="2"/>
  </r>
  <r>
    <x v="0"/>
    <x v="101"/>
    <x v="2640"/>
    <x v="117"/>
    <x v="114"/>
    <x v="0"/>
    <x v="23"/>
    <x v="7"/>
  </r>
  <r>
    <x v="0"/>
    <x v="101"/>
    <x v="2641"/>
    <x v="117"/>
    <x v="114"/>
    <x v="0"/>
    <x v="23"/>
    <x v="7"/>
  </r>
  <r>
    <x v="0"/>
    <x v="101"/>
    <x v="2642"/>
    <x v="117"/>
    <x v="114"/>
    <x v="15"/>
    <x v="23"/>
    <x v="7"/>
  </r>
  <r>
    <x v="0"/>
    <x v="101"/>
    <x v="2643"/>
    <x v="117"/>
    <x v="114"/>
    <x v="15"/>
    <x v="23"/>
    <x v="7"/>
  </r>
  <r>
    <x v="1"/>
    <x v="101"/>
    <x v="2644"/>
    <x v="25"/>
    <x v="25"/>
    <x v="6"/>
    <x v="23"/>
    <x v="7"/>
  </r>
  <r>
    <x v="2"/>
    <x v="101"/>
    <x v="2645"/>
    <x v="184"/>
    <x v="179"/>
    <x v="4"/>
    <x v="23"/>
    <x v="7"/>
  </r>
  <r>
    <x v="1"/>
    <x v="101"/>
    <x v="2646"/>
    <x v="184"/>
    <x v="179"/>
    <x v="4"/>
    <x v="23"/>
    <x v="7"/>
  </r>
  <r>
    <x v="2"/>
    <x v="101"/>
    <x v="2647"/>
    <x v="38"/>
    <x v="38"/>
    <x v="10"/>
    <x v="3"/>
    <x v="2"/>
  </r>
  <r>
    <x v="4"/>
    <x v="101"/>
    <x v="2648"/>
    <x v="24"/>
    <x v="24"/>
    <x v="12"/>
    <x v="10"/>
    <x v="2"/>
  </r>
  <r>
    <x v="5"/>
    <x v="101"/>
    <x v="2649"/>
    <x v="184"/>
    <x v="179"/>
    <x v="6"/>
    <x v="22"/>
    <x v="7"/>
  </r>
  <r>
    <x v="5"/>
    <x v="101"/>
    <x v="2650"/>
    <x v="98"/>
    <x v="97"/>
    <x v="15"/>
    <x v="22"/>
    <x v="59"/>
  </r>
  <r>
    <x v="5"/>
    <x v="101"/>
    <x v="2651"/>
    <x v="57"/>
    <x v="57"/>
    <x v="4"/>
    <x v="22"/>
    <x v="31"/>
  </r>
  <r>
    <x v="4"/>
    <x v="101"/>
    <x v="2652"/>
    <x v="7"/>
    <x v="7"/>
    <x v="4"/>
    <x v="10"/>
    <x v="2"/>
  </r>
  <r>
    <x v="0"/>
    <x v="101"/>
    <x v="2653"/>
    <x v="6"/>
    <x v="6"/>
    <x v="16"/>
    <x v="10"/>
    <x v="7"/>
  </r>
  <r>
    <x v="5"/>
    <x v="101"/>
    <x v="2654"/>
    <x v="5"/>
    <x v="162"/>
    <x v="4"/>
    <x v="5"/>
    <x v="2"/>
  </r>
  <r>
    <x v="5"/>
    <x v="101"/>
    <x v="2655"/>
    <x v="5"/>
    <x v="162"/>
    <x v="4"/>
    <x v="5"/>
    <x v="2"/>
  </r>
  <r>
    <x v="0"/>
    <x v="101"/>
    <x v="2656"/>
    <x v="34"/>
    <x v="34"/>
    <x v="13"/>
    <x v="23"/>
    <x v="7"/>
  </r>
  <r>
    <x v="2"/>
    <x v="101"/>
    <x v="2657"/>
    <x v="237"/>
    <x v="228"/>
    <x v="16"/>
    <x v="3"/>
    <x v="2"/>
  </r>
  <r>
    <x v="5"/>
    <x v="101"/>
    <x v="2658"/>
    <x v="266"/>
    <x v="162"/>
    <x v="17"/>
    <x v="5"/>
    <x v="2"/>
  </r>
  <r>
    <x v="3"/>
    <x v="101"/>
    <x v="2659"/>
    <x v="184"/>
    <x v="179"/>
    <x v="20"/>
    <x v="23"/>
    <x v="7"/>
  </r>
  <r>
    <x v="3"/>
    <x v="101"/>
    <x v="2660"/>
    <x v="262"/>
    <x v="247"/>
    <x v="0"/>
    <x v="4"/>
    <x v="7"/>
  </r>
  <r>
    <x v="3"/>
    <x v="101"/>
    <x v="2661"/>
    <x v="262"/>
    <x v="247"/>
    <x v="0"/>
    <x v="4"/>
    <x v="7"/>
  </r>
  <r>
    <x v="3"/>
    <x v="101"/>
    <x v="2662"/>
    <x v="262"/>
    <x v="247"/>
    <x v="0"/>
    <x v="4"/>
    <x v="7"/>
  </r>
  <r>
    <x v="3"/>
    <x v="101"/>
    <x v="2663"/>
    <x v="262"/>
    <x v="247"/>
    <x v="0"/>
    <x v="4"/>
    <x v="7"/>
  </r>
  <r>
    <x v="3"/>
    <x v="101"/>
    <x v="2664"/>
    <x v="262"/>
    <x v="247"/>
    <x v="0"/>
    <x v="4"/>
    <x v="7"/>
  </r>
  <r>
    <x v="3"/>
    <x v="101"/>
    <x v="2665"/>
    <x v="117"/>
    <x v="114"/>
    <x v="0"/>
    <x v="23"/>
    <x v="7"/>
  </r>
  <r>
    <x v="3"/>
    <x v="101"/>
    <x v="2666"/>
    <x v="117"/>
    <x v="114"/>
    <x v="0"/>
    <x v="23"/>
    <x v="7"/>
  </r>
  <r>
    <x v="3"/>
    <x v="101"/>
    <x v="2667"/>
    <x v="117"/>
    <x v="114"/>
    <x v="0"/>
    <x v="23"/>
    <x v="7"/>
  </r>
  <r>
    <x v="3"/>
    <x v="101"/>
    <x v="2668"/>
    <x v="117"/>
    <x v="114"/>
    <x v="0"/>
    <x v="23"/>
    <x v="7"/>
  </r>
  <r>
    <x v="4"/>
    <x v="101"/>
    <x v="2669"/>
    <x v="6"/>
    <x v="6"/>
    <x v="13"/>
    <x v="22"/>
    <x v="7"/>
  </r>
  <r>
    <x v="4"/>
    <x v="101"/>
    <x v="2670"/>
    <x v="73"/>
    <x v="73"/>
    <x v="15"/>
    <x v="22"/>
    <x v="7"/>
  </r>
  <r>
    <x v="4"/>
    <x v="101"/>
    <x v="2537"/>
    <x v="195"/>
    <x v="190"/>
    <x v="4"/>
    <x v="1"/>
    <x v="7"/>
  </r>
  <r>
    <x v="5"/>
    <x v="102"/>
    <x v="2671"/>
    <x v="34"/>
    <x v="34"/>
    <x v="5"/>
    <x v="1"/>
    <x v="23"/>
  </r>
  <r>
    <x v="2"/>
    <x v="102"/>
    <x v="2634"/>
    <x v="81"/>
    <x v="81"/>
    <x v="5"/>
    <x v="13"/>
    <x v="23"/>
  </r>
  <r>
    <x v="2"/>
    <x v="102"/>
    <x v="2672"/>
    <x v="6"/>
    <x v="6"/>
    <x v="5"/>
    <x v="15"/>
    <x v="23"/>
  </r>
  <r>
    <x v="5"/>
    <x v="102"/>
    <x v="2637"/>
    <x v="72"/>
    <x v="72"/>
    <x v="5"/>
    <x v="19"/>
    <x v="23"/>
  </r>
  <r>
    <x v="2"/>
    <x v="102"/>
    <x v="2673"/>
    <x v="36"/>
    <x v="36"/>
    <x v="6"/>
    <x v="23"/>
    <x v="23"/>
  </r>
  <r>
    <x v="2"/>
    <x v="102"/>
    <x v="2674"/>
    <x v="34"/>
    <x v="34"/>
    <x v="13"/>
    <x v="1"/>
    <x v="23"/>
  </r>
  <r>
    <x v="2"/>
    <x v="102"/>
    <x v="2675"/>
    <x v="34"/>
    <x v="34"/>
    <x v="13"/>
    <x v="1"/>
    <x v="23"/>
  </r>
  <r>
    <x v="5"/>
    <x v="102"/>
    <x v="2676"/>
    <x v="114"/>
    <x v="111"/>
    <x v="13"/>
    <x v="1"/>
    <x v="23"/>
  </r>
  <r>
    <x v="0"/>
    <x v="102"/>
    <x v="2677"/>
    <x v="90"/>
    <x v="90"/>
    <x v="4"/>
    <x v="3"/>
    <x v="3"/>
  </r>
  <r>
    <x v="5"/>
    <x v="102"/>
    <x v="2637"/>
    <x v="72"/>
    <x v="72"/>
    <x v="4"/>
    <x v="25"/>
    <x v="60"/>
  </r>
  <r>
    <x v="0"/>
    <x v="102"/>
    <x v="2678"/>
    <x v="24"/>
    <x v="24"/>
    <x v="12"/>
    <x v="10"/>
    <x v="2"/>
  </r>
  <r>
    <x v="0"/>
    <x v="102"/>
    <x v="2447"/>
    <x v="151"/>
    <x v="147"/>
    <x v="13"/>
    <x v="19"/>
    <x v="12"/>
  </r>
  <r>
    <x v="3"/>
    <x v="102"/>
    <x v="2679"/>
    <x v="133"/>
    <x v="129"/>
    <x v="13"/>
    <x v="23"/>
    <x v="23"/>
  </r>
  <r>
    <x v="1"/>
    <x v="102"/>
    <x v="2680"/>
    <x v="151"/>
    <x v="147"/>
    <x v="13"/>
    <x v="3"/>
    <x v="2"/>
  </r>
  <r>
    <x v="4"/>
    <x v="102"/>
    <x v="2681"/>
    <x v="12"/>
    <x v="12"/>
    <x v="13"/>
    <x v="3"/>
    <x v="2"/>
  </r>
  <r>
    <x v="4"/>
    <x v="102"/>
    <x v="2682"/>
    <x v="34"/>
    <x v="34"/>
    <x v="13"/>
    <x v="1"/>
    <x v="23"/>
  </r>
  <r>
    <x v="4"/>
    <x v="102"/>
    <x v="2683"/>
    <x v="34"/>
    <x v="34"/>
    <x v="13"/>
    <x v="1"/>
    <x v="23"/>
  </r>
  <r>
    <x v="4"/>
    <x v="102"/>
    <x v="2684"/>
    <x v="6"/>
    <x v="6"/>
    <x v="16"/>
    <x v="23"/>
    <x v="23"/>
  </r>
  <r>
    <x v="4"/>
    <x v="102"/>
    <x v="2685"/>
    <x v="6"/>
    <x v="6"/>
    <x v="16"/>
    <x v="23"/>
    <x v="23"/>
  </r>
  <r>
    <x v="4"/>
    <x v="102"/>
    <x v="2686"/>
    <x v="151"/>
    <x v="147"/>
    <x v="13"/>
    <x v="13"/>
    <x v="23"/>
  </r>
  <r>
    <x v="4"/>
    <x v="102"/>
    <x v="2687"/>
    <x v="24"/>
    <x v="24"/>
    <x v="4"/>
    <x v="10"/>
    <x v="2"/>
  </r>
  <r>
    <x v="4"/>
    <x v="102"/>
    <x v="2688"/>
    <x v="281"/>
    <x v="264"/>
    <x v="10"/>
    <x v="15"/>
    <x v="2"/>
  </r>
  <r>
    <x v="0"/>
    <x v="102"/>
    <x v="2689"/>
    <x v="99"/>
    <x v="162"/>
    <x v="4"/>
    <x v="11"/>
    <x v="2"/>
  </r>
  <r>
    <x v="1"/>
    <x v="102"/>
    <x v="2639"/>
    <x v="73"/>
    <x v="73"/>
    <x v="15"/>
    <x v="12"/>
    <x v="2"/>
  </r>
  <r>
    <x v="1"/>
    <x v="102"/>
    <x v="2633"/>
    <x v="73"/>
    <x v="73"/>
    <x v="15"/>
    <x v="12"/>
    <x v="2"/>
  </r>
  <r>
    <x v="1"/>
    <x v="102"/>
    <x v="2632"/>
    <x v="73"/>
    <x v="73"/>
    <x v="8"/>
    <x v="23"/>
    <x v="2"/>
  </r>
  <r>
    <x v="0"/>
    <x v="102"/>
    <x v="2690"/>
    <x v="25"/>
    <x v="25"/>
    <x v="6"/>
    <x v="11"/>
    <x v="2"/>
  </r>
  <r>
    <x v="0"/>
    <x v="102"/>
    <x v="2691"/>
    <x v="25"/>
    <x v="25"/>
    <x v="6"/>
    <x v="11"/>
    <x v="2"/>
  </r>
  <r>
    <x v="3"/>
    <x v="102"/>
    <x v="2692"/>
    <x v="50"/>
    <x v="51"/>
    <x v="10"/>
    <x v="11"/>
    <x v="2"/>
  </r>
  <r>
    <x v="3"/>
    <x v="102"/>
    <x v="2693"/>
    <x v="114"/>
    <x v="111"/>
    <x v="13"/>
    <x v="21"/>
    <x v="2"/>
  </r>
  <r>
    <x v="3"/>
    <x v="103"/>
    <x v="2694"/>
    <x v="24"/>
    <x v="24"/>
    <x v="12"/>
    <x v="15"/>
    <x v="14"/>
  </r>
  <r>
    <x v="3"/>
    <x v="103"/>
    <x v="2695"/>
    <x v="289"/>
    <x v="271"/>
    <x v="10"/>
    <x v="10"/>
    <x v="14"/>
  </r>
  <r>
    <x v="2"/>
    <x v="104"/>
    <x v="2696"/>
    <x v="262"/>
    <x v="247"/>
    <x v="0"/>
    <x v="4"/>
    <x v="8"/>
  </r>
  <r>
    <x v="2"/>
    <x v="104"/>
    <x v="2697"/>
    <x v="262"/>
    <x v="247"/>
    <x v="0"/>
    <x v="4"/>
    <x v="8"/>
  </r>
  <r>
    <x v="2"/>
    <x v="104"/>
    <x v="2698"/>
    <x v="262"/>
    <x v="247"/>
    <x v="0"/>
    <x v="4"/>
    <x v="8"/>
  </r>
  <r>
    <x v="2"/>
    <x v="104"/>
    <x v="2699"/>
    <x v="262"/>
    <x v="247"/>
    <x v="0"/>
    <x v="4"/>
    <x v="8"/>
  </r>
  <r>
    <x v="2"/>
    <x v="104"/>
    <x v="2700"/>
    <x v="262"/>
    <x v="247"/>
    <x v="0"/>
    <x v="4"/>
    <x v="8"/>
  </r>
  <r>
    <x v="2"/>
    <x v="104"/>
    <x v="2701"/>
    <x v="262"/>
    <x v="247"/>
    <x v="0"/>
    <x v="4"/>
    <x v="8"/>
  </r>
  <r>
    <x v="2"/>
    <x v="104"/>
    <x v="2702"/>
    <x v="67"/>
    <x v="67"/>
    <x v="15"/>
    <x v="4"/>
    <x v="7"/>
  </r>
  <r>
    <x v="2"/>
    <x v="104"/>
    <x v="2703"/>
    <x v="34"/>
    <x v="34"/>
    <x v="13"/>
    <x v="1"/>
    <x v="7"/>
  </r>
  <r>
    <x v="2"/>
    <x v="104"/>
    <x v="2704"/>
    <x v="34"/>
    <x v="34"/>
    <x v="13"/>
    <x v="1"/>
    <x v="7"/>
  </r>
  <r>
    <x v="2"/>
    <x v="104"/>
    <x v="2705"/>
    <x v="67"/>
    <x v="67"/>
    <x v="15"/>
    <x v="4"/>
    <x v="7"/>
  </r>
  <r>
    <x v="3"/>
    <x v="104"/>
    <x v="2706"/>
    <x v="222"/>
    <x v="162"/>
    <x v="6"/>
    <x v="4"/>
    <x v="7"/>
  </r>
  <r>
    <x v="2"/>
    <x v="104"/>
    <x v="2707"/>
    <x v="67"/>
    <x v="67"/>
    <x v="15"/>
    <x v="4"/>
    <x v="7"/>
  </r>
  <r>
    <x v="4"/>
    <x v="104"/>
    <x v="2708"/>
    <x v="114"/>
    <x v="111"/>
    <x v="13"/>
    <x v="4"/>
    <x v="7"/>
  </r>
  <r>
    <x v="4"/>
    <x v="104"/>
    <x v="2709"/>
    <x v="114"/>
    <x v="111"/>
    <x v="13"/>
    <x v="4"/>
    <x v="7"/>
  </r>
  <r>
    <x v="4"/>
    <x v="104"/>
    <x v="2710"/>
    <x v="114"/>
    <x v="111"/>
    <x v="13"/>
    <x v="4"/>
    <x v="7"/>
  </r>
  <r>
    <x v="4"/>
    <x v="104"/>
    <x v="2711"/>
    <x v="114"/>
    <x v="111"/>
    <x v="13"/>
    <x v="4"/>
    <x v="7"/>
  </r>
  <r>
    <x v="4"/>
    <x v="104"/>
    <x v="2712"/>
    <x v="114"/>
    <x v="111"/>
    <x v="13"/>
    <x v="4"/>
    <x v="7"/>
  </r>
  <r>
    <x v="4"/>
    <x v="104"/>
    <x v="2713"/>
    <x v="114"/>
    <x v="111"/>
    <x v="13"/>
    <x v="4"/>
    <x v="7"/>
  </r>
  <r>
    <x v="4"/>
    <x v="104"/>
    <x v="2714"/>
    <x v="114"/>
    <x v="111"/>
    <x v="13"/>
    <x v="4"/>
    <x v="7"/>
  </r>
  <r>
    <x v="4"/>
    <x v="104"/>
    <x v="2715"/>
    <x v="114"/>
    <x v="111"/>
    <x v="13"/>
    <x v="4"/>
    <x v="7"/>
  </r>
  <r>
    <x v="4"/>
    <x v="104"/>
    <x v="2716"/>
    <x v="114"/>
    <x v="111"/>
    <x v="13"/>
    <x v="4"/>
    <x v="7"/>
  </r>
  <r>
    <x v="1"/>
    <x v="104"/>
    <x v="2717"/>
    <x v="142"/>
    <x v="138"/>
    <x v="4"/>
    <x v="1"/>
    <x v="7"/>
  </r>
  <r>
    <x v="4"/>
    <x v="104"/>
    <x v="2718"/>
    <x v="114"/>
    <x v="111"/>
    <x v="13"/>
    <x v="4"/>
    <x v="25"/>
  </r>
  <r>
    <x v="4"/>
    <x v="104"/>
    <x v="2719"/>
    <x v="114"/>
    <x v="111"/>
    <x v="13"/>
    <x v="4"/>
    <x v="25"/>
  </r>
  <r>
    <x v="4"/>
    <x v="104"/>
    <x v="2720"/>
    <x v="114"/>
    <x v="111"/>
    <x v="13"/>
    <x v="4"/>
    <x v="25"/>
  </r>
  <r>
    <x v="4"/>
    <x v="104"/>
    <x v="2721"/>
    <x v="114"/>
    <x v="111"/>
    <x v="13"/>
    <x v="4"/>
    <x v="25"/>
  </r>
  <r>
    <x v="4"/>
    <x v="104"/>
    <x v="2722"/>
    <x v="114"/>
    <x v="111"/>
    <x v="13"/>
    <x v="4"/>
    <x v="25"/>
  </r>
  <r>
    <x v="2"/>
    <x v="104"/>
    <x v="2723"/>
    <x v="199"/>
    <x v="194"/>
    <x v="16"/>
    <x v="10"/>
    <x v="7"/>
  </r>
  <r>
    <x v="3"/>
    <x v="104"/>
    <x v="2662"/>
    <x v="262"/>
    <x v="247"/>
    <x v="5"/>
    <x v="26"/>
    <x v="7"/>
  </r>
  <r>
    <x v="3"/>
    <x v="104"/>
    <x v="2724"/>
    <x v="262"/>
    <x v="247"/>
    <x v="5"/>
    <x v="26"/>
    <x v="7"/>
  </r>
  <r>
    <x v="2"/>
    <x v="104"/>
    <x v="2725"/>
    <x v="67"/>
    <x v="67"/>
    <x v="15"/>
    <x v="4"/>
    <x v="7"/>
  </r>
  <r>
    <x v="2"/>
    <x v="104"/>
    <x v="2726"/>
    <x v="67"/>
    <x v="67"/>
    <x v="15"/>
    <x v="4"/>
    <x v="7"/>
  </r>
  <r>
    <x v="2"/>
    <x v="104"/>
    <x v="2462"/>
    <x v="151"/>
    <x v="147"/>
    <x v="13"/>
    <x v="16"/>
    <x v="2"/>
  </r>
  <r>
    <x v="2"/>
    <x v="104"/>
    <x v="2727"/>
    <x v="39"/>
    <x v="39"/>
    <x v="10"/>
    <x v="10"/>
    <x v="2"/>
  </r>
  <r>
    <x v="1"/>
    <x v="104"/>
    <x v="2728"/>
    <x v="67"/>
    <x v="67"/>
    <x v="15"/>
    <x v="4"/>
    <x v="7"/>
  </r>
  <r>
    <x v="1"/>
    <x v="104"/>
    <x v="2729"/>
    <x v="67"/>
    <x v="67"/>
    <x v="15"/>
    <x v="4"/>
    <x v="7"/>
  </r>
  <r>
    <x v="1"/>
    <x v="104"/>
    <x v="2730"/>
    <x v="67"/>
    <x v="67"/>
    <x v="15"/>
    <x v="4"/>
    <x v="7"/>
  </r>
  <r>
    <x v="1"/>
    <x v="104"/>
    <x v="2731"/>
    <x v="67"/>
    <x v="67"/>
    <x v="15"/>
    <x v="4"/>
    <x v="7"/>
  </r>
  <r>
    <x v="3"/>
    <x v="104"/>
    <x v="2732"/>
    <x v="290"/>
    <x v="272"/>
    <x v="0"/>
    <x v="4"/>
    <x v="7"/>
  </r>
  <r>
    <x v="3"/>
    <x v="104"/>
    <x v="2733"/>
    <x v="67"/>
    <x v="67"/>
    <x v="15"/>
    <x v="4"/>
    <x v="7"/>
  </r>
  <r>
    <x v="3"/>
    <x v="104"/>
    <x v="2734"/>
    <x v="67"/>
    <x v="67"/>
    <x v="15"/>
    <x v="4"/>
    <x v="7"/>
  </r>
  <r>
    <x v="3"/>
    <x v="104"/>
    <x v="2735"/>
    <x v="67"/>
    <x v="67"/>
    <x v="15"/>
    <x v="4"/>
    <x v="7"/>
  </r>
  <r>
    <x v="3"/>
    <x v="104"/>
    <x v="2736"/>
    <x v="67"/>
    <x v="67"/>
    <x v="15"/>
    <x v="4"/>
    <x v="7"/>
  </r>
  <r>
    <x v="0"/>
    <x v="104"/>
    <x v="2737"/>
    <x v="67"/>
    <x v="67"/>
    <x v="15"/>
    <x v="4"/>
    <x v="7"/>
  </r>
  <r>
    <x v="0"/>
    <x v="104"/>
    <x v="2738"/>
    <x v="67"/>
    <x v="67"/>
    <x v="15"/>
    <x v="4"/>
    <x v="7"/>
  </r>
  <r>
    <x v="0"/>
    <x v="104"/>
    <x v="2739"/>
    <x v="67"/>
    <x v="67"/>
    <x v="15"/>
    <x v="4"/>
    <x v="7"/>
  </r>
  <r>
    <x v="0"/>
    <x v="104"/>
    <x v="2740"/>
    <x v="67"/>
    <x v="67"/>
    <x v="15"/>
    <x v="4"/>
    <x v="7"/>
  </r>
  <r>
    <x v="0"/>
    <x v="104"/>
    <x v="2741"/>
    <x v="67"/>
    <x v="67"/>
    <x v="15"/>
    <x v="4"/>
    <x v="7"/>
  </r>
  <r>
    <x v="4"/>
    <x v="104"/>
    <x v="2742"/>
    <x v="34"/>
    <x v="34"/>
    <x v="13"/>
    <x v="1"/>
    <x v="7"/>
  </r>
  <r>
    <x v="5"/>
    <x v="104"/>
    <x v="2743"/>
    <x v="67"/>
    <x v="67"/>
    <x v="15"/>
    <x v="4"/>
    <x v="7"/>
  </r>
  <r>
    <x v="5"/>
    <x v="104"/>
    <x v="2744"/>
    <x v="67"/>
    <x v="67"/>
    <x v="15"/>
    <x v="4"/>
    <x v="7"/>
  </r>
  <r>
    <x v="5"/>
    <x v="104"/>
    <x v="2745"/>
    <x v="67"/>
    <x v="67"/>
    <x v="15"/>
    <x v="4"/>
    <x v="7"/>
  </r>
  <r>
    <x v="5"/>
    <x v="104"/>
    <x v="2746"/>
    <x v="67"/>
    <x v="67"/>
    <x v="15"/>
    <x v="4"/>
    <x v="7"/>
  </r>
  <r>
    <x v="5"/>
    <x v="104"/>
    <x v="2747"/>
    <x v="67"/>
    <x v="67"/>
    <x v="15"/>
    <x v="4"/>
    <x v="7"/>
  </r>
  <r>
    <x v="0"/>
    <x v="104"/>
    <x v="2748"/>
    <x v="57"/>
    <x v="57"/>
    <x v="17"/>
    <x v="3"/>
    <x v="7"/>
  </r>
  <r>
    <x v="4"/>
    <x v="104"/>
    <x v="2749"/>
    <x v="67"/>
    <x v="67"/>
    <x v="15"/>
    <x v="4"/>
    <x v="7"/>
  </r>
  <r>
    <x v="4"/>
    <x v="104"/>
    <x v="2750"/>
    <x v="67"/>
    <x v="67"/>
    <x v="15"/>
    <x v="4"/>
    <x v="7"/>
  </r>
  <r>
    <x v="4"/>
    <x v="104"/>
    <x v="2751"/>
    <x v="67"/>
    <x v="67"/>
    <x v="15"/>
    <x v="4"/>
    <x v="7"/>
  </r>
  <r>
    <x v="4"/>
    <x v="104"/>
    <x v="2752"/>
    <x v="67"/>
    <x v="67"/>
    <x v="15"/>
    <x v="4"/>
    <x v="7"/>
  </r>
  <r>
    <x v="4"/>
    <x v="104"/>
    <x v="2753"/>
    <x v="67"/>
    <x v="67"/>
    <x v="15"/>
    <x v="4"/>
    <x v="7"/>
  </r>
  <r>
    <x v="5"/>
    <x v="104"/>
    <x v="2754"/>
    <x v="38"/>
    <x v="38"/>
    <x v="10"/>
    <x v="34"/>
    <x v="68"/>
  </r>
  <r>
    <x v="5"/>
    <x v="104"/>
    <x v="2755"/>
    <x v="281"/>
    <x v="264"/>
    <x v="10"/>
    <x v="34"/>
    <x v="68"/>
  </r>
  <r>
    <x v="5"/>
    <x v="104"/>
    <x v="2756"/>
    <x v="38"/>
    <x v="38"/>
    <x v="10"/>
    <x v="34"/>
    <x v="68"/>
  </r>
  <r>
    <x v="3"/>
    <x v="104"/>
    <x v="2757"/>
    <x v="72"/>
    <x v="72"/>
    <x v="4"/>
    <x v="25"/>
    <x v="7"/>
  </r>
  <r>
    <x v="4"/>
    <x v="104"/>
    <x v="2758"/>
    <x v="38"/>
    <x v="38"/>
    <x v="10"/>
    <x v="34"/>
    <x v="68"/>
  </r>
  <r>
    <x v="4"/>
    <x v="104"/>
    <x v="2759"/>
    <x v="39"/>
    <x v="39"/>
    <x v="10"/>
    <x v="34"/>
    <x v="68"/>
  </r>
  <r>
    <x v="3"/>
    <x v="104"/>
    <x v="2760"/>
    <x v="38"/>
    <x v="38"/>
    <x v="10"/>
    <x v="34"/>
    <x v="68"/>
  </r>
  <r>
    <x v="3"/>
    <x v="104"/>
    <x v="2761"/>
    <x v="39"/>
    <x v="39"/>
    <x v="10"/>
    <x v="34"/>
    <x v="68"/>
  </r>
  <r>
    <x v="2"/>
    <x v="104"/>
    <x v="2762"/>
    <x v="8"/>
    <x v="8"/>
    <x v="8"/>
    <x v="11"/>
    <x v="2"/>
  </r>
  <r>
    <x v="1"/>
    <x v="105"/>
    <x v="2763"/>
    <x v="89"/>
    <x v="89"/>
    <x v="15"/>
    <x v="22"/>
    <x v="7"/>
  </r>
  <r>
    <x v="5"/>
    <x v="105"/>
    <x v="2764"/>
    <x v="222"/>
    <x v="162"/>
    <x v="10"/>
    <x v="10"/>
    <x v="14"/>
  </r>
  <r>
    <x v="1"/>
    <x v="105"/>
    <x v="2765"/>
    <x v="89"/>
    <x v="89"/>
    <x v="15"/>
    <x v="23"/>
    <x v="7"/>
  </r>
  <r>
    <x v="0"/>
    <x v="105"/>
    <x v="2690"/>
    <x v="25"/>
    <x v="25"/>
    <x v="6"/>
    <x v="23"/>
    <x v="7"/>
  </r>
  <r>
    <x v="1"/>
    <x v="105"/>
    <x v="2766"/>
    <x v="86"/>
    <x v="86"/>
    <x v="15"/>
    <x v="3"/>
    <x v="14"/>
  </r>
  <r>
    <x v="0"/>
    <x v="105"/>
    <x v="2767"/>
    <x v="6"/>
    <x v="6"/>
    <x v="13"/>
    <x v="10"/>
    <x v="7"/>
  </r>
  <r>
    <x v="2"/>
    <x v="105"/>
    <x v="2768"/>
    <x v="40"/>
    <x v="40"/>
    <x v="6"/>
    <x v="13"/>
    <x v="5"/>
  </r>
  <r>
    <x v="5"/>
    <x v="105"/>
    <x v="2769"/>
    <x v="55"/>
    <x v="55"/>
    <x v="13"/>
    <x v="5"/>
    <x v="23"/>
  </r>
  <r>
    <x v="2"/>
    <x v="105"/>
    <x v="2770"/>
    <x v="86"/>
    <x v="86"/>
    <x v="15"/>
    <x v="14"/>
    <x v="25"/>
  </r>
  <r>
    <x v="2"/>
    <x v="105"/>
    <x v="2771"/>
    <x v="86"/>
    <x v="86"/>
    <x v="15"/>
    <x v="14"/>
    <x v="25"/>
  </r>
  <r>
    <x v="2"/>
    <x v="105"/>
    <x v="2772"/>
    <x v="86"/>
    <x v="86"/>
    <x v="15"/>
    <x v="14"/>
    <x v="25"/>
  </r>
  <r>
    <x v="2"/>
    <x v="105"/>
    <x v="2773"/>
    <x v="86"/>
    <x v="86"/>
    <x v="15"/>
    <x v="14"/>
    <x v="25"/>
  </r>
  <r>
    <x v="2"/>
    <x v="105"/>
    <x v="2774"/>
    <x v="86"/>
    <x v="86"/>
    <x v="15"/>
    <x v="14"/>
    <x v="25"/>
  </r>
  <r>
    <x v="2"/>
    <x v="105"/>
    <x v="2775"/>
    <x v="86"/>
    <x v="86"/>
    <x v="15"/>
    <x v="14"/>
    <x v="25"/>
  </r>
  <r>
    <x v="1"/>
    <x v="105"/>
    <x v="2776"/>
    <x v="291"/>
    <x v="273"/>
    <x v="13"/>
    <x v="23"/>
    <x v="23"/>
  </r>
  <r>
    <x v="1"/>
    <x v="105"/>
    <x v="2777"/>
    <x v="32"/>
    <x v="32"/>
    <x v="10"/>
    <x v="12"/>
    <x v="14"/>
  </r>
  <r>
    <x v="3"/>
    <x v="105"/>
    <x v="2778"/>
    <x v="258"/>
    <x v="244"/>
    <x v="13"/>
    <x v="23"/>
    <x v="23"/>
  </r>
  <r>
    <x v="3"/>
    <x v="105"/>
    <x v="2779"/>
    <x v="15"/>
    <x v="15"/>
    <x v="16"/>
    <x v="23"/>
    <x v="23"/>
  </r>
  <r>
    <x v="3"/>
    <x v="105"/>
    <x v="2780"/>
    <x v="15"/>
    <x v="15"/>
    <x v="16"/>
    <x v="1"/>
    <x v="7"/>
  </r>
  <r>
    <x v="3"/>
    <x v="105"/>
    <x v="2781"/>
    <x v="280"/>
    <x v="263"/>
    <x v="1"/>
    <x v="4"/>
    <x v="23"/>
  </r>
  <r>
    <x v="3"/>
    <x v="105"/>
    <x v="2782"/>
    <x v="280"/>
    <x v="263"/>
    <x v="1"/>
    <x v="4"/>
    <x v="23"/>
  </r>
  <r>
    <x v="3"/>
    <x v="105"/>
    <x v="2783"/>
    <x v="280"/>
    <x v="263"/>
    <x v="1"/>
    <x v="4"/>
    <x v="23"/>
  </r>
  <r>
    <x v="3"/>
    <x v="105"/>
    <x v="2784"/>
    <x v="280"/>
    <x v="263"/>
    <x v="1"/>
    <x v="4"/>
    <x v="23"/>
  </r>
  <r>
    <x v="3"/>
    <x v="105"/>
    <x v="2785"/>
    <x v="280"/>
    <x v="263"/>
    <x v="1"/>
    <x v="4"/>
    <x v="23"/>
  </r>
  <r>
    <x v="3"/>
    <x v="105"/>
    <x v="2786"/>
    <x v="280"/>
    <x v="263"/>
    <x v="1"/>
    <x v="4"/>
    <x v="23"/>
  </r>
  <r>
    <x v="4"/>
    <x v="105"/>
    <x v="2708"/>
    <x v="114"/>
    <x v="111"/>
    <x v="13"/>
    <x v="13"/>
    <x v="14"/>
  </r>
  <r>
    <x v="4"/>
    <x v="105"/>
    <x v="2711"/>
    <x v="114"/>
    <x v="111"/>
    <x v="13"/>
    <x v="13"/>
    <x v="14"/>
  </r>
  <r>
    <x v="4"/>
    <x v="105"/>
    <x v="2715"/>
    <x v="114"/>
    <x v="111"/>
    <x v="13"/>
    <x v="21"/>
    <x v="14"/>
  </r>
  <r>
    <x v="4"/>
    <x v="105"/>
    <x v="2787"/>
    <x v="114"/>
    <x v="111"/>
    <x v="13"/>
    <x v="21"/>
    <x v="14"/>
  </r>
  <r>
    <x v="3"/>
    <x v="105"/>
    <x v="2788"/>
    <x v="177"/>
    <x v="162"/>
    <x v="6"/>
    <x v="4"/>
    <x v="23"/>
  </r>
  <r>
    <x v="3"/>
    <x v="105"/>
    <x v="2789"/>
    <x v="177"/>
    <x v="162"/>
    <x v="6"/>
    <x v="4"/>
    <x v="23"/>
  </r>
  <r>
    <x v="3"/>
    <x v="105"/>
    <x v="2789"/>
    <x v="177"/>
    <x v="162"/>
    <x v="6"/>
    <x v="4"/>
    <x v="23"/>
  </r>
  <r>
    <x v="3"/>
    <x v="105"/>
    <x v="2790"/>
    <x v="177"/>
    <x v="162"/>
    <x v="6"/>
    <x v="4"/>
    <x v="23"/>
  </r>
  <r>
    <x v="3"/>
    <x v="105"/>
    <x v="2791"/>
    <x v="177"/>
    <x v="162"/>
    <x v="6"/>
    <x v="4"/>
    <x v="23"/>
  </r>
  <r>
    <x v="3"/>
    <x v="105"/>
    <x v="2792"/>
    <x v="177"/>
    <x v="162"/>
    <x v="6"/>
    <x v="4"/>
    <x v="23"/>
  </r>
  <r>
    <x v="0"/>
    <x v="105"/>
    <x v="2793"/>
    <x v="237"/>
    <x v="228"/>
    <x v="16"/>
    <x v="11"/>
    <x v="14"/>
  </r>
  <r>
    <x v="0"/>
    <x v="105"/>
    <x v="2691"/>
    <x v="25"/>
    <x v="25"/>
    <x v="6"/>
    <x v="23"/>
    <x v="7"/>
  </r>
  <r>
    <x v="2"/>
    <x v="106"/>
    <x v="2794"/>
    <x v="40"/>
    <x v="40"/>
    <x v="6"/>
    <x v="3"/>
    <x v="14"/>
  </r>
  <r>
    <x v="3"/>
    <x v="106"/>
    <x v="2795"/>
    <x v="13"/>
    <x v="13"/>
    <x v="13"/>
    <x v="23"/>
    <x v="7"/>
  </r>
  <r>
    <x v="5"/>
    <x v="107"/>
    <x v="2796"/>
    <x v="40"/>
    <x v="40"/>
    <x v="6"/>
    <x v="1"/>
    <x v="57"/>
  </r>
  <r>
    <x v="5"/>
    <x v="107"/>
    <x v="2797"/>
    <x v="76"/>
    <x v="76"/>
    <x v="13"/>
    <x v="21"/>
    <x v="14"/>
  </r>
  <r>
    <x v="4"/>
    <x v="107"/>
    <x v="2798"/>
    <x v="25"/>
    <x v="25"/>
    <x v="6"/>
    <x v="23"/>
    <x v="57"/>
  </r>
  <r>
    <x v="0"/>
    <x v="107"/>
    <x v="2799"/>
    <x v="195"/>
    <x v="190"/>
    <x v="4"/>
    <x v="0"/>
    <x v="7"/>
  </r>
  <r>
    <x v="4"/>
    <x v="107"/>
    <x v="2800"/>
    <x v="121"/>
    <x v="118"/>
    <x v="13"/>
    <x v="23"/>
    <x v="7"/>
  </r>
  <r>
    <x v="3"/>
    <x v="107"/>
    <x v="2801"/>
    <x v="7"/>
    <x v="7"/>
    <x v="5"/>
    <x v="10"/>
    <x v="14"/>
  </r>
  <r>
    <x v="0"/>
    <x v="107"/>
    <x v="2802"/>
    <x v="76"/>
    <x v="76"/>
    <x v="13"/>
    <x v="21"/>
    <x v="14"/>
  </r>
  <r>
    <x v="1"/>
    <x v="106"/>
    <x v="2803"/>
    <x v="13"/>
    <x v="13"/>
    <x v="13"/>
    <x v="2"/>
    <x v="1"/>
  </r>
  <r>
    <x v="0"/>
    <x v="107"/>
    <x v="2804"/>
    <x v="24"/>
    <x v="24"/>
    <x v="12"/>
    <x v="10"/>
    <x v="14"/>
  </r>
  <r>
    <x v="1"/>
    <x v="106"/>
    <x v="2805"/>
    <x v="195"/>
    <x v="190"/>
    <x v="4"/>
    <x v="3"/>
    <x v="7"/>
  </r>
  <r>
    <x v="1"/>
    <x v="106"/>
    <x v="2806"/>
    <x v="195"/>
    <x v="190"/>
    <x v="4"/>
    <x v="3"/>
    <x v="7"/>
  </r>
  <r>
    <x v="1"/>
    <x v="106"/>
    <x v="2807"/>
    <x v="60"/>
    <x v="60"/>
    <x v="6"/>
    <x v="30"/>
    <x v="44"/>
  </r>
  <r>
    <x v="1"/>
    <x v="106"/>
    <x v="2808"/>
    <x v="60"/>
    <x v="60"/>
    <x v="6"/>
    <x v="30"/>
    <x v="44"/>
  </r>
  <r>
    <x v="1"/>
    <x v="106"/>
    <x v="2809"/>
    <x v="60"/>
    <x v="60"/>
    <x v="6"/>
    <x v="30"/>
    <x v="44"/>
  </r>
  <r>
    <x v="0"/>
    <x v="106"/>
    <x v="2810"/>
    <x v="26"/>
    <x v="26"/>
    <x v="16"/>
    <x v="10"/>
    <x v="7"/>
  </r>
  <r>
    <x v="3"/>
    <x v="106"/>
    <x v="2811"/>
    <x v="76"/>
    <x v="76"/>
    <x v="13"/>
    <x v="13"/>
    <x v="14"/>
  </r>
  <r>
    <x v="3"/>
    <x v="106"/>
    <x v="2812"/>
    <x v="33"/>
    <x v="33"/>
    <x v="4"/>
    <x v="5"/>
    <x v="4"/>
  </r>
  <r>
    <x v="4"/>
    <x v="106"/>
    <x v="2813"/>
    <x v="227"/>
    <x v="219"/>
    <x v="17"/>
    <x v="11"/>
    <x v="14"/>
  </r>
  <r>
    <x v="3"/>
    <x v="106"/>
    <x v="2814"/>
    <x v="26"/>
    <x v="26"/>
    <x v="16"/>
    <x v="11"/>
    <x v="14"/>
  </r>
  <r>
    <x v="3"/>
    <x v="106"/>
    <x v="2815"/>
    <x v="36"/>
    <x v="36"/>
    <x v="6"/>
    <x v="11"/>
    <x v="14"/>
  </r>
  <r>
    <x v="3"/>
    <x v="106"/>
    <x v="2816"/>
    <x v="36"/>
    <x v="36"/>
    <x v="6"/>
    <x v="11"/>
    <x v="14"/>
  </r>
  <r>
    <x v="3"/>
    <x v="106"/>
    <x v="2817"/>
    <x v="36"/>
    <x v="36"/>
    <x v="6"/>
    <x v="11"/>
    <x v="14"/>
  </r>
  <r>
    <x v="3"/>
    <x v="106"/>
    <x v="2818"/>
    <x v="121"/>
    <x v="118"/>
    <x v="13"/>
    <x v="11"/>
    <x v="14"/>
  </r>
  <r>
    <x v="1"/>
    <x v="108"/>
    <x v="2819"/>
    <x v="101"/>
    <x v="99"/>
    <x v="0"/>
    <x v="16"/>
    <x v="1"/>
  </r>
  <r>
    <x v="3"/>
    <x v="108"/>
    <x v="2820"/>
    <x v="209"/>
    <x v="204"/>
    <x v="4"/>
    <x v="2"/>
    <x v="7"/>
  </r>
  <r>
    <x v="3"/>
    <x v="108"/>
    <x v="2821"/>
    <x v="209"/>
    <x v="204"/>
    <x v="4"/>
    <x v="2"/>
    <x v="7"/>
  </r>
  <r>
    <x v="0"/>
    <x v="108"/>
    <x v="2822"/>
    <x v="181"/>
    <x v="176"/>
    <x v="10"/>
    <x v="34"/>
    <x v="68"/>
  </r>
  <r>
    <x v="2"/>
    <x v="109"/>
    <x v="2762"/>
    <x v="8"/>
    <x v="8"/>
    <x v="8"/>
    <x v="16"/>
    <x v="43"/>
  </r>
  <r>
    <x v="2"/>
    <x v="109"/>
    <x v="2823"/>
    <x v="12"/>
    <x v="12"/>
    <x v="13"/>
    <x v="3"/>
    <x v="14"/>
  </r>
  <r>
    <x v="1"/>
    <x v="109"/>
    <x v="2824"/>
    <x v="60"/>
    <x v="60"/>
    <x v="6"/>
    <x v="3"/>
    <x v="14"/>
  </r>
  <r>
    <x v="2"/>
    <x v="109"/>
    <x v="2825"/>
    <x v="60"/>
    <x v="60"/>
    <x v="6"/>
    <x v="1"/>
    <x v="75"/>
  </r>
  <r>
    <x v="3"/>
    <x v="109"/>
    <x v="2826"/>
    <x v="8"/>
    <x v="8"/>
    <x v="13"/>
    <x v="1"/>
    <x v="7"/>
  </r>
  <r>
    <x v="3"/>
    <x v="109"/>
    <x v="2827"/>
    <x v="87"/>
    <x v="87"/>
    <x v="0"/>
    <x v="23"/>
    <x v="7"/>
  </r>
  <r>
    <x v="3"/>
    <x v="109"/>
    <x v="2820"/>
    <x v="209"/>
    <x v="204"/>
    <x v="4"/>
    <x v="4"/>
    <x v="7"/>
  </r>
  <r>
    <x v="3"/>
    <x v="109"/>
    <x v="2821"/>
    <x v="209"/>
    <x v="204"/>
    <x v="4"/>
    <x v="4"/>
    <x v="7"/>
  </r>
  <r>
    <x v="0"/>
    <x v="109"/>
    <x v="2828"/>
    <x v="57"/>
    <x v="57"/>
    <x v="4"/>
    <x v="23"/>
    <x v="31"/>
  </r>
  <r>
    <x v="0"/>
    <x v="109"/>
    <x v="2829"/>
    <x v="87"/>
    <x v="87"/>
    <x v="0"/>
    <x v="23"/>
    <x v="7"/>
  </r>
  <r>
    <x v="0"/>
    <x v="109"/>
    <x v="2830"/>
    <x v="87"/>
    <x v="87"/>
    <x v="0"/>
    <x v="23"/>
    <x v="7"/>
  </r>
  <r>
    <x v="2"/>
    <x v="109"/>
    <x v="2831"/>
    <x v="160"/>
    <x v="162"/>
    <x v="15"/>
    <x v="4"/>
    <x v="59"/>
  </r>
  <r>
    <x v="1"/>
    <x v="109"/>
    <x v="2832"/>
    <x v="87"/>
    <x v="87"/>
    <x v="0"/>
    <x v="23"/>
    <x v="7"/>
  </r>
  <r>
    <x v="1"/>
    <x v="109"/>
    <x v="2833"/>
    <x v="87"/>
    <x v="87"/>
    <x v="0"/>
    <x v="23"/>
    <x v="7"/>
  </r>
  <r>
    <x v="2"/>
    <x v="109"/>
    <x v="2834"/>
    <x v="24"/>
    <x v="24"/>
    <x v="12"/>
    <x v="10"/>
    <x v="14"/>
  </r>
  <r>
    <x v="1"/>
    <x v="109"/>
    <x v="2835"/>
    <x v="126"/>
    <x v="123"/>
    <x v="13"/>
    <x v="4"/>
    <x v="7"/>
  </r>
  <r>
    <x v="1"/>
    <x v="109"/>
    <x v="2836"/>
    <x v="160"/>
    <x v="162"/>
    <x v="0"/>
    <x v="4"/>
    <x v="7"/>
  </r>
  <r>
    <x v="0"/>
    <x v="109"/>
    <x v="2837"/>
    <x v="160"/>
    <x v="162"/>
    <x v="0"/>
    <x v="4"/>
    <x v="7"/>
  </r>
  <r>
    <x v="1"/>
    <x v="109"/>
    <x v="2838"/>
    <x v="254"/>
    <x v="162"/>
    <x v="4"/>
    <x v="5"/>
    <x v="4"/>
  </r>
  <r>
    <x v="3"/>
    <x v="109"/>
    <x v="2839"/>
    <x v="87"/>
    <x v="87"/>
    <x v="0"/>
    <x v="23"/>
    <x v="7"/>
  </r>
  <r>
    <x v="0"/>
    <x v="109"/>
    <x v="2840"/>
    <x v="254"/>
    <x v="162"/>
    <x v="4"/>
    <x v="5"/>
    <x v="4"/>
  </r>
  <r>
    <x v="2"/>
    <x v="109"/>
    <x v="2841"/>
    <x v="39"/>
    <x v="39"/>
    <x v="10"/>
    <x v="10"/>
    <x v="14"/>
  </r>
  <r>
    <x v="3"/>
    <x v="109"/>
    <x v="2842"/>
    <x v="60"/>
    <x v="60"/>
    <x v="6"/>
    <x v="1"/>
    <x v="7"/>
  </r>
  <r>
    <x v="3"/>
    <x v="109"/>
    <x v="2843"/>
    <x v="254"/>
    <x v="162"/>
    <x v="4"/>
    <x v="4"/>
    <x v="4"/>
  </r>
  <r>
    <x v="3"/>
    <x v="109"/>
    <x v="2844"/>
    <x v="254"/>
    <x v="162"/>
    <x v="4"/>
    <x v="4"/>
    <x v="4"/>
  </r>
  <r>
    <x v="0"/>
    <x v="109"/>
    <x v="2845"/>
    <x v="60"/>
    <x v="60"/>
    <x v="4"/>
    <x v="21"/>
    <x v="14"/>
  </r>
  <r>
    <x v="4"/>
    <x v="109"/>
    <x v="2846"/>
    <x v="8"/>
    <x v="8"/>
    <x v="13"/>
    <x v="23"/>
    <x v="7"/>
  </r>
  <r>
    <x v="4"/>
    <x v="109"/>
    <x v="2847"/>
    <x v="160"/>
    <x v="162"/>
    <x v="15"/>
    <x v="23"/>
    <x v="7"/>
  </r>
  <r>
    <x v="4"/>
    <x v="109"/>
    <x v="2848"/>
    <x v="87"/>
    <x v="87"/>
    <x v="1"/>
    <x v="3"/>
    <x v="14"/>
  </r>
  <r>
    <x v="4"/>
    <x v="109"/>
    <x v="2849"/>
    <x v="87"/>
    <x v="87"/>
    <x v="0"/>
    <x v="23"/>
    <x v="7"/>
  </r>
  <r>
    <x v="0"/>
    <x v="109"/>
    <x v="2850"/>
    <x v="39"/>
    <x v="39"/>
    <x v="10"/>
    <x v="10"/>
    <x v="14"/>
  </r>
  <r>
    <x v="4"/>
    <x v="109"/>
    <x v="2851"/>
    <x v="87"/>
    <x v="87"/>
    <x v="0"/>
    <x v="3"/>
    <x v="14"/>
  </r>
  <r>
    <x v="4"/>
    <x v="109"/>
    <x v="2852"/>
    <x v="87"/>
    <x v="87"/>
    <x v="0"/>
    <x v="3"/>
    <x v="14"/>
  </r>
  <r>
    <x v="4"/>
    <x v="109"/>
    <x v="2853"/>
    <x v="87"/>
    <x v="87"/>
    <x v="0"/>
    <x v="22"/>
    <x v="8"/>
  </r>
  <r>
    <x v="4"/>
    <x v="109"/>
    <x v="2854"/>
    <x v="60"/>
    <x v="60"/>
    <x v="4"/>
    <x v="21"/>
    <x v="14"/>
  </r>
  <r>
    <x v="1"/>
    <x v="109"/>
    <x v="2855"/>
    <x v="8"/>
    <x v="8"/>
    <x v="13"/>
    <x v="3"/>
    <x v="14"/>
  </r>
  <r>
    <x v="1"/>
    <x v="109"/>
    <x v="2856"/>
    <x v="151"/>
    <x v="147"/>
    <x v="13"/>
    <x v="3"/>
    <x v="14"/>
  </r>
  <r>
    <x v="1"/>
    <x v="110"/>
    <x v="2857"/>
    <x v="35"/>
    <x v="35"/>
    <x v="15"/>
    <x v="2"/>
    <x v="76"/>
  </r>
  <r>
    <x v="5"/>
    <x v="110"/>
    <x v="2858"/>
    <x v="229"/>
    <x v="221"/>
    <x v="8"/>
    <x v="2"/>
    <x v="1"/>
  </r>
  <r>
    <x v="0"/>
    <x v="111"/>
    <x v="2859"/>
    <x v="78"/>
    <x v="78"/>
    <x v="0"/>
    <x v="4"/>
    <x v="7"/>
  </r>
  <r>
    <x v="0"/>
    <x v="111"/>
    <x v="2860"/>
    <x v="152"/>
    <x v="148"/>
    <x v="8"/>
    <x v="4"/>
    <x v="43"/>
  </r>
  <r>
    <x v="5"/>
    <x v="111"/>
    <x v="2861"/>
    <x v="42"/>
    <x v="42"/>
    <x v="13"/>
    <x v="2"/>
    <x v="77"/>
  </r>
  <r>
    <x v="2"/>
    <x v="111"/>
    <x v="2862"/>
    <x v="63"/>
    <x v="63"/>
    <x v="16"/>
    <x v="13"/>
    <x v="7"/>
  </r>
  <r>
    <x v="2"/>
    <x v="111"/>
    <x v="2863"/>
    <x v="259"/>
    <x v="245"/>
    <x v="17"/>
    <x v="4"/>
    <x v="7"/>
  </r>
  <r>
    <x v="2"/>
    <x v="111"/>
    <x v="2864"/>
    <x v="34"/>
    <x v="34"/>
    <x v="13"/>
    <x v="1"/>
    <x v="7"/>
  </r>
  <r>
    <x v="2"/>
    <x v="111"/>
    <x v="2865"/>
    <x v="42"/>
    <x v="42"/>
    <x v="13"/>
    <x v="2"/>
    <x v="1"/>
  </r>
  <r>
    <x v="2"/>
    <x v="111"/>
    <x v="2866"/>
    <x v="98"/>
    <x v="97"/>
    <x v="15"/>
    <x v="23"/>
    <x v="78"/>
  </r>
  <r>
    <x v="5"/>
    <x v="111"/>
    <x v="2867"/>
    <x v="34"/>
    <x v="34"/>
    <x v="13"/>
    <x v="1"/>
    <x v="7"/>
  </r>
  <r>
    <x v="5"/>
    <x v="111"/>
    <x v="2868"/>
    <x v="39"/>
    <x v="39"/>
    <x v="10"/>
    <x v="10"/>
    <x v="14"/>
  </r>
  <r>
    <x v="3"/>
    <x v="111"/>
    <x v="2869"/>
    <x v="292"/>
    <x v="162"/>
    <x v="17"/>
    <x v="0"/>
    <x v="14"/>
  </r>
  <r>
    <x v="3"/>
    <x v="111"/>
    <x v="2870"/>
    <x v="42"/>
    <x v="42"/>
    <x v="13"/>
    <x v="2"/>
    <x v="1"/>
  </r>
  <r>
    <x v="3"/>
    <x v="111"/>
    <x v="2871"/>
    <x v="293"/>
    <x v="274"/>
    <x v="0"/>
    <x v="4"/>
    <x v="8"/>
  </r>
  <r>
    <x v="1"/>
    <x v="111"/>
    <x v="2872"/>
    <x v="293"/>
    <x v="274"/>
    <x v="0"/>
    <x v="4"/>
    <x v="8"/>
  </r>
  <r>
    <x v="5"/>
    <x v="111"/>
    <x v="2873"/>
    <x v="293"/>
    <x v="274"/>
    <x v="0"/>
    <x v="4"/>
    <x v="8"/>
  </r>
  <r>
    <x v="2"/>
    <x v="111"/>
    <x v="2874"/>
    <x v="293"/>
    <x v="274"/>
    <x v="0"/>
    <x v="4"/>
    <x v="8"/>
  </r>
  <r>
    <x v="4"/>
    <x v="111"/>
    <x v="2875"/>
    <x v="293"/>
    <x v="274"/>
    <x v="0"/>
    <x v="4"/>
    <x v="8"/>
  </r>
  <r>
    <x v="0"/>
    <x v="111"/>
    <x v="2876"/>
    <x v="293"/>
    <x v="274"/>
    <x v="0"/>
    <x v="4"/>
    <x v="8"/>
  </r>
  <r>
    <x v="0"/>
    <x v="111"/>
    <x v="2877"/>
    <x v="42"/>
    <x v="42"/>
    <x v="13"/>
    <x v="2"/>
    <x v="1"/>
  </r>
  <r>
    <x v="3"/>
    <x v="111"/>
    <x v="2878"/>
    <x v="292"/>
    <x v="162"/>
    <x v="17"/>
    <x v="0"/>
    <x v="14"/>
  </r>
  <r>
    <x v="0"/>
    <x v="111"/>
    <x v="2879"/>
    <x v="39"/>
    <x v="39"/>
    <x v="10"/>
    <x v="10"/>
    <x v="14"/>
  </r>
  <r>
    <x v="4"/>
    <x v="111"/>
    <x v="2880"/>
    <x v="152"/>
    <x v="148"/>
    <x v="8"/>
    <x v="4"/>
    <x v="7"/>
  </r>
  <r>
    <x v="4"/>
    <x v="111"/>
    <x v="2881"/>
    <x v="78"/>
    <x v="78"/>
    <x v="0"/>
    <x v="4"/>
    <x v="7"/>
  </r>
  <r>
    <x v="4"/>
    <x v="111"/>
    <x v="2882"/>
    <x v="42"/>
    <x v="42"/>
    <x v="13"/>
    <x v="2"/>
    <x v="1"/>
  </r>
  <r>
    <x v="4"/>
    <x v="111"/>
    <x v="2883"/>
    <x v="262"/>
    <x v="247"/>
    <x v="0"/>
    <x v="4"/>
    <x v="8"/>
  </r>
  <r>
    <x v="4"/>
    <x v="111"/>
    <x v="2884"/>
    <x v="262"/>
    <x v="247"/>
    <x v="0"/>
    <x v="4"/>
    <x v="8"/>
  </r>
  <r>
    <x v="4"/>
    <x v="111"/>
    <x v="2885"/>
    <x v="262"/>
    <x v="247"/>
    <x v="0"/>
    <x v="4"/>
    <x v="8"/>
  </r>
  <r>
    <x v="4"/>
    <x v="111"/>
    <x v="2886"/>
    <x v="262"/>
    <x v="247"/>
    <x v="0"/>
    <x v="4"/>
    <x v="8"/>
  </r>
  <r>
    <x v="0"/>
    <x v="111"/>
    <x v="2887"/>
    <x v="259"/>
    <x v="245"/>
    <x v="17"/>
    <x v="31"/>
    <x v="7"/>
  </r>
  <r>
    <x v="3"/>
    <x v="111"/>
    <x v="2888"/>
    <x v="173"/>
    <x v="168"/>
    <x v="15"/>
    <x v="3"/>
    <x v="14"/>
  </r>
  <r>
    <x v="2"/>
    <x v="111"/>
    <x v="2889"/>
    <x v="259"/>
    <x v="245"/>
    <x v="17"/>
    <x v="4"/>
    <x v="14"/>
  </r>
  <r>
    <x v="1"/>
    <x v="111"/>
    <x v="2890"/>
    <x v="63"/>
    <x v="63"/>
    <x v="16"/>
    <x v="13"/>
    <x v="7"/>
  </r>
  <r>
    <x v="5"/>
    <x v="111"/>
    <x v="2891"/>
    <x v="245"/>
    <x v="162"/>
    <x v="10"/>
    <x v="10"/>
    <x v="14"/>
  </r>
  <r>
    <x v="4"/>
    <x v="111"/>
    <x v="2892"/>
    <x v="294"/>
    <x v="162"/>
    <x v="10"/>
    <x v="10"/>
    <x v="14"/>
  </r>
  <r>
    <x v="4"/>
    <x v="111"/>
    <x v="2893"/>
    <x v="259"/>
    <x v="245"/>
    <x v="17"/>
    <x v="25"/>
    <x v="7"/>
  </r>
  <r>
    <x v="4"/>
    <x v="111"/>
    <x v="2894"/>
    <x v="259"/>
    <x v="245"/>
    <x v="17"/>
    <x v="25"/>
    <x v="7"/>
  </r>
  <r>
    <x v="4"/>
    <x v="111"/>
    <x v="2895"/>
    <x v="10"/>
    <x v="10"/>
    <x v="13"/>
    <x v="23"/>
    <x v="7"/>
  </r>
  <r>
    <x v="1"/>
    <x v="111"/>
    <x v="2896"/>
    <x v="109"/>
    <x v="106"/>
    <x v="10"/>
    <x v="6"/>
    <x v="14"/>
  </r>
  <r>
    <x v="0"/>
    <x v="111"/>
    <x v="2897"/>
    <x v="295"/>
    <x v="275"/>
    <x v="15"/>
    <x v="11"/>
    <x v="14"/>
  </r>
  <r>
    <x v="0"/>
    <x v="111"/>
    <x v="2898"/>
    <x v="259"/>
    <x v="245"/>
    <x v="17"/>
    <x v="11"/>
    <x v="14"/>
  </r>
  <r>
    <x v="2"/>
    <x v="111"/>
    <x v="2899"/>
    <x v="32"/>
    <x v="32"/>
    <x v="10"/>
    <x v="11"/>
    <x v="14"/>
  </r>
  <r>
    <x v="2"/>
    <x v="112"/>
    <x v="2900"/>
    <x v="209"/>
    <x v="204"/>
    <x v="4"/>
    <x v="4"/>
    <x v="3"/>
  </r>
  <r>
    <x v="2"/>
    <x v="112"/>
    <x v="2901"/>
    <x v="209"/>
    <x v="204"/>
    <x v="4"/>
    <x v="4"/>
    <x v="3"/>
  </r>
  <r>
    <x v="2"/>
    <x v="112"/>
    <x v="2902"/>
    <x v="209"/>
    <x v="204"/>
    <x v="4"/>
    <x v="4"/>
    <x v="3"/>
  </r>
  <r>
    <x v="2"/>
    <x v="112"/>
    <x v="2903"/>
    <x v="209"/>
    <x v="204"/>
    <x v="4"/>
    <x v="4"/>
    <x v="3"/>
  </r>
  <r>
    <x v="2"/>
    <x v="112"/>
    <x v="2904"/>
    <x v="87"/>
    <x v="87"/>
    <x v="0"/>
    <x v="22"/>
    <x v="8"/>
  </r>
  <r>
    <x v="2"/>
    <x v="112"/>
    <x v="2905"/>
    <x v="87"/>
    <x v="87"/>
    <x v="0"/>
    <x v="22"/>
    <x v="8"/>
  </r>
  <r>
    <x v="2"/>
    <x v="112"/>
    <x v="2906"/>
    <x v="87"/>
    <x v="87"/>
    <x v="0"/>
    <x v="22"/>
    <x v="8"/>
  </r>
  <r>
    <x v="2"/>
    <x v="112"/>
    <x v="2907"/>
    <x v="87"/>
    <x v="87"/>
    <x v="0"/>
    <x v="14"/>
    <x v="2"/>
  </r>
  <r>
    <x v="2"/>
    <x v="112"/>
    <x v="2908"/>
    <x v="237"/>
    <x v="228"/>
    <x v="16"/>
    <x v="1"/>
    <x v="2"/>
  </r>
  <r>
    <x v="2"/>
    <x v="112"/>
    <x v="2909"/>
    <x v="55"/>
    <x v="55"/>
    <x v="13"/>
    <x v="5"/>
    <x v="2"/>
  </r>
  <r>
    <x v="0"/>
    <x v="112"/>
    <x v="2910"/>
    <x v="219"/>
    <x v="214"/>
    <x v="17"/>
    <x v="23"/>
    <x v="52"/>
  </r>
  <r>
    <x v="3"/>
    <x v="112"/>
    <x v="2911"/>
    <x v="296"/>
    <x v="276"/>
    <x v="17"/>
    <x v="0"/>
    <x v="7"/>
  </r>
  <r>
    <x v="0"/>
    <x v="112"/>
    <x v="2912"/>
    <x v="296"/>
    <x v="276"/>
    <x v="17"/>
    <x v="0"/>
    <x v="7"/>
  </r>
  <r>
    <x v="0"/>
    <x v="112"/>
    <x v="2913"/>
    <x v="237"/>
    <x v="228"/>
    <x v="16"/>
    <x v="23"/>
    <x v="7"/>
  </r>
  <r>
    <x v="5"/>
    <x v="112"/>
    <x v="2914"/>
    <x v="281"/>
    <x v="264"/>
    <x v="10"/>
    <x v="34"/>
    <x v="2"/>
  </r>
  <r>
    <x v="5"/>
    <x v="112"/>
    <x v="2915"/>
    <x v="57"/>
    <x v="57"/>
    <x v="4"/>
    <x v="1"/>
    <x v="7"/>
  </r>
  <r>
    <x v="5"/>
    <x v="112"/>
    <x v="2916"/>
    <x v="34"/>
    <x v="34"/>
    <x v="13"/>
    <x v="1"/>
    <x v="53"/>
  </r>
  <r>
    <x v="5"/>
    <x v="112"/>
    <x v="2917"/>
    <x v="77"/>
    <x v="77"/>
    <x v="13"/>
    <x v="18"/>
    <x v="2"/>
  </r>
  <r>
    <x v="5"/>
    <x v="112"/>
    <x v="2918"/>
    <x v="181"/>
    <x v="176"/>
    <x v="10"/>
    <x v="10"/>
    <x v="2"/>
  </r>
  <r>
    <x v="5"/>
    <x v="112"/>
    <x v="2919"/>
    <x v="254"/>
    <x v="162"/>
    <x v="4"/>
    <x v="4"/>
    <x v="10"/>
  </r>
  <r>
    <x v="5"/>
    <x v="112"/>
    <x v="2920"/>
    <x v="254"/>
    <x v="162"/>
    <x v="4"/>
    <x v="4"/>
    <x v="10"/>
  </r>
  <r>
    <x v="5"/>
    <x v="112"/>
    <x v="2921"/>
    <x v="147"/>
    <x v="162"/>
    <x v="1"/>
    <x v="22"/>
    <x v="7"/>
  </r>
  <r>
    <x v="0"/>
    <x v="112"/>
    <x v="2922"/>
    <x v="297"/>
    <x v="162"/>
    <x v="10"/>
    <x v="34"/>
    <x v="68"/>
  </r>
  <r>
    <x v="0"/>
    <x v="112"/>
    <x v="2923"/>
    <x v="6"/>
    <x v="6"/>
    <x v="16"/>
    <x v="15"/>
    <x v="2"/>
  </r>
  <r>
    <x v="5"/>
    <x v="112"/>
    <x v="2924"/>
    <x v="48"/>
    <x v="49"/>
    <x v="17"/>
    <x v="22"/>
    <x v="7"/>
  </r>
  <r>
    <x v="0"/>
    <x v="112"/>
    <x v="2925"/>
    <x v="281"/>
    <x v="264"/>
    <x v="10"/>
    <x v="34"/>
    <x v="68"/>
  </r>
  <r>
    <x v="4"/>
    <x v="112"/>
    <x v="2926"/>
    <x v="109"/>
    <x v="106"/>
    <x v="10"/>
    <x v="10"/>
    <x v="2"/>
  </r>
  <r>
    <x v="4"/>
    <x v="112"/>
    <x v="2927"/>
    <x v="48"/>
    <x v="49"/>
    <x v="17"/>
    <x v="22"/>
    <x v="7"/>
  </r>
  <r>
    <x v="4"/>
    <x v="112"/>
    <x v="2928"/>
    <x v="281"/>
    <x v="264"/>
    <x v="10"/>
    <x v="34"/>
    <x v="60"/>
  </r>
  <r>
    <x v="4"/>
    <x v="112"/>
    <x v="2929"/>
    <x v="77"/>
    <x v="77"/>
    <x v="13"/>
    <x v="1"/>
    <x v="7"/>
  </r>
  <r>
    <x v="0"/>
    <x v="112"/>
    <x v="2930"/>
    <x v="48"/>
    <x v="49"/>
    <x v="17"/>
    <x v="8"/>
    <x v="52"/>
  </r>
  <r>
    <x v="0"/>
    <x v="112"/>
    <x v="2931"/>
    <x v="48"/>
    <x v="49"/>
    <x v="17"/>
    <x v="8"/>
    <x v="52"/>
  </r>
  <r>
    <x v="3"/>
    <x v="112"/>
    <x v="2932"/>
    <x v="48"/>
    <x v="49"/>
    <x v="17"/>
    <x v="8"/>
    <x v="52"/>
  </r>
  <r>
    <x v="3"/>
    <x v="112"/>
    <x v="2933"/>
    <x v="48"/>
    <x v="49"/>
    <x v="17"/>
    <x v="8"/>
    <x v="5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165C2-0D59-4D1E-B0F1-0173D55FD812}" name="Tabela dinâmica1" cacheId="0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createdVersion="8" indent="0" compact="0" compactData="0" multipleFieldFilters="0">
  <location ref="B3:I37" firstHeaderRow="1" firstDataRow="1" firstDataCol="8"/>
  <pivotFields count="8">
    <pivotField axis="axisRow" compact="0" outline="0" showAll="0" defaultSubtotal="0">
      <items count="7">
        <item x="2"/>
        <item x="4"/>
        <item x="3"/>
        <item x="1"/>
        <item x="0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25">
        <item h="1" m="1" x="116"/>
        <item h="1" m="1" x="114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m="1" x="123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m="1" x="122"/>
        <item h="1" m="1" x="121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m="1" x="118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m="1" x="124"/>
        <item h="1" m="1" x="117"/>
        <item h="1" x="99"/>
        <item h="1" m="1" x="119"/>
        <item h="1" x="100"/>
        <item h="1" x="101"/>
        <item h="1" m="1" x="115"/>
        <item h="1" m="1" x="120"/>
        <item h="1" x="102"/>
        <item h="1" x="103"/>
        <item h="1" x="104"/>
        <item h="1" x="105"/>
        <item h="1" x="106"/>
        <item h="1" x="107"/>
        <item h="1" m="1" x="113"/>
        <item h="1" x="108"/>
        <item h="1" x="109"/>
        <item h="1" x="110"/>
        <item h="1" x="111"/>
        <item x="1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944">
        <item x="172"/>
        <item x="297"/>
        <item x="296"/>
        <item x="295"/>
        <item x="232"/>
        <item x="236"/>
        <item x="237"/>
        <item x="154"/>
        <item x="156"/>
        <item x="155"/>
        <item x="9"/>
        <item x="10"/>
        <item x="11"/>
        <item x="12"/>
        <item x="13"/>
        <item x="14"/>
        <item x="197"/>
        <item x="264"/>
        <item x="253"/>
        <item x="241"/>
        <item x="276"/>
        <item x="279"/>
        <item x="275"/>
        <item x="285"/>
        <item x="277"/>
        <item x="226"/>
        <item x="8"/>
        <item x="225"/>
        <item x="7"/>
        <item x="146"/>
        <item x="147"/>
        <item x="250"/>
        <item x="282"/>
        <item x="267"/>
        <item x="266"/>
        <item x="130"/>
        <item x="121"/>
        <item x="122"/>
        <item x="184"/>
        <item x="182"/>
        <item x="183"/>
        <item x="185"/>
        <item x="180"/>
        <item x="181"/>
        <item x="219"/>
        <item x="220"/>
        <item x="221"/>
        <item x="159"/>
        <item x="99"/>
        <item x="175"/>
        <item x="161"/>
        <item x="283"/>
        <item x="207"/>
        <item x="208"/>
        <item x="209"/>
        <item x="210"/>
        <item x="211"/>
        <item x="212"/>
        <item x="148"/>
        <item x="149"/>
        <item x="150"/>
        <item x="167"/>
        <item x="202"/>
        <item x="203"/>
        <item x="204"/>
        <item x="205"/>
        <item x="206"/>
        <item x="1"/>
        <item x="128"/>
        <item x="129"/>
        <item x="217"/>
        <item x="213"/>
        <item x="218"/>
        <item x="143"/>
        <item x="144"/>
        <item x="177"/>
        <item x="153"/>
        <item x="222"/>
        <item x="265"/>
        <item x="113"/>
        <item x="269"/>
        <item x="298"/>
        <item x="247"/>
        <item x="249"/>
        <item x="227"/>
        <item x="272"/>
        <item x="138"/>
        <item x="198"/>
        <item x="111"/>
        <item x="224"/>
        <item x="171"/>
        <item x="151"/>
        <item x="135"/>
        <item x="176"/>
        <item x="160"/>
        <item x="162"/>
        <item x="246"/>
        <item x="214"/>
        <item x="114"/>
        <item x="280"/>
        <item x="281"/>
        <item x="0"/>
        <item x="132"/>
        <item x="131"/>
        <item x="231"/>
        <item x="163"/>
        <item x="164"/>
        <item x="165"/>
        <item x="166"/>
        <item x="200"/>
        <item x="201"/>
        <item x="254"/>
        <item x="234"/>
        <item x="120"/>
        <item x="239"/>
        <item x="124"/>
        <item x="100"/>
        <item x="174"/>
        <item x="179"/>
        <item x="223"/>
        <item x="268"/>
        <item x="158"/>
        <item x="157"/>
        <item x="230"/>
        <item x="229"/>
        <item x="252"/>
        <item x="139"/>
        <item x="169"/>
        <item x="142"/>
        <item x="134"/>
        <item x="119"/>
        <item x="294"/>
        <item x="257"/>
        <item x="233"/>
        <item x="260"/>
        <item x="261"/>
        <item x="112"/>
        <item x="228"/>
        <item x="286"/>
        <item x="290"/>
        <item x="136"/>
        <item x="137"/>
        <item x="196"/>
        <item x="195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102"/>
        <item x="103"/>
        <item x="3"/>
        <item x="101"/>
        <item x="108"/>
        <item x="106"/>
        <item x="107"/>
        <item x="2"/>
        <item x="110"/>
        <item x="4"/>
        <item x="140"/>
        <item x="141"/>
        <item x="133"/>
        <item x="152"/>
        <item x="170"/>
        <item x="173"/>
        <item x="258"/>
        <item x="287"/>
        <item x="293"/>
        <item x="289"/>
        <item x="243"/>
        <item x="244"/>
        <item x="245"/>
        <item x="242"/>
        <item x="262"/>
        <item x="235"/>
        <item x="104"/>
        <item x="105"/>
        <item x="194"/>
        <item x="190"/>
        <item x="189"/>
        <item x="188"/>
        <item x="191"/>
        <item x="192"/>
        <item x="193"/>
        <item x="215"/>
        <item x="292"/>
        <item x="291"/>
        <item x="273"/>
        <item x="6"/>
        <item x="109"/>
        <item x="5"/>
        <item x="263"/>
        <item x="118"/>
        <item x="123"/>
        <item x="288"/>
        <item x="199"/>
        <item x="186"/>
        <item x="278"/>
        <item x="274"/>
        <item x="256"/>
        <item x="248"/>
        <item x="168"/>
        <item x="115"/>
        <item x="117"/>
        <item x="116"/>
        <item x="127"/>
        <item x="126"/>
        <item x="125"/>
        <item x="255"/>
        <item x="271"/>
        <item x="270"/>
        <item x="216"/>
        <item x="187"/>
        <item x="145"/>
        <item x="238"/>
        <item x="178"/>
        <item x="259"/>
        <item x="240"/>
        <item x="251"/>
        <item x="284"/>
        <item x="329"/>
        <item x="340"/>
        <item x="330"/>
        <item x="331"/>
        <item x="341"/>
        <item x="332"/>
        <item x="342"/>
        <item m="1" x="2939"/>
        <item m="1" x="2940"/>
        <item m="1" x="2941"/>
        <item x="324"/>
        <item x="300"/>
        <item x="333"/>
        <item x="350"/>
        <item x="343"/>
        <item x="325"/>
        <item x="336"/>
        <item x="334"/>
        <item x="335"/>
        <item x="301"/>
        <item x="302"/>
        <item x="351"/>
        <item x="303"/>
        <item x="304"/>
        <item x="305"/>
        <item x="306"/>
        <item x="307"/>
        <item x="308"/>
        <item x="326"/>
        <item x="319"/>
        <item x="327"/>
        <item x="309"/>
        <item x="320"/>
        <item x="321"/>
        <item x="344"/>
        <item x="345"/>
        <item x="346"/>
        <item x="347"/>
        <item x="348"/>
        <item x="299"/>
        <item x="314"/>
        <item x="337"/>
        <item x="338"/>
        <item x="315"/>
        <item x="316"/>
        <item x="317"/>
        <item x="318"/>
        <item x="328"/>
        <item x="322"/>
        <item x="349"/>
        <item x="310"/>
        <item x="311"/>
        <item x="323"/>
        <item x="339"/>
        <item x="312"/>
        <item x="313"/>
        <item x="374"/>
        <item x="364"/>
        <item x="365"/>
        <item x="366"/>
        <item x="367"/>
        <item x="368"/>
        <item x="369"/>
        <item x="371"/>
        <item x="352"/>
        <item x="353"/>
        <item x="375"/>
        <item x="370"/>
        <item x="355"/>
        <item x="357"/>
        <item x="373"/>
        <item x="376"/>
        <item x="372"/>
        <item x="356"/>
        <item x="377"/>
        <item x="358"/>
        <item x="359"/>
        <item x="360"/>
        <item x="361"/>
        <item x="362"/>
        <item x="378"/>
        <item x="354"/>
        <item x="363"/>
        <item x="379"/>
        <item x="380"/>
        <item x="381"/>
        <item x="382"/>
        <item x="426"/>
        <item x="427"/>
        <item x="397"/>
        <item x="398"/>
        <item x="399"/>
        <item x="400"/>
        <item x="420"/>
        <item x="421"/>
        <item x="383"/>
        <item x="384"/>
        <item x="385"/>
        <item x="386"/>
        <item x="422"/>
        <item x="423"/>
        <item x="401"/>
        <item x="402"/>
        <item x="403"/>
        <item x="404"/>
        <item x="405"/>
        <item x="406"/>
        <item x="407"/>
        <item x="387"/>
        <item x="388"/>
        <item x="389"/>
        <item x="408"/>
        <item x="409"/>
        <item x="390"/>
        <item x="391"/>
        <item x="392"/>
        <item x="410"/>
        <item x="419"/>
        <item x="429"/>
        <item x="411"/>
        <item x="412"/>
        <item x="413"/>
        <item x="414"/>
        <item x="415"/>
        <item x="416"/>
        <item x="417"/>
        <item x="418"/>
        <item x="428"/>
        <item x="424"/>
        <item x="425"/>
        <item x="395"/>
        <item x="393"/>
        <item x="394"/>
        <item x="396"/>
        <item x="450"/>
        <item x="451"/>
        <item x="452"/>
        <item x="431"/>
        <item x="460"/>
        <item x="439"/>
        <item x="440"/>
        <item x="441"/>
        <item x="442"/>
        <item x="456"/>
        <item x="449"/>
        <item x="443"/>
        <item x="444"/>
        <item x="445"/>
        <item x="446"/>
        <item x="447"/>
        <item x="448"/>
        <item x="438"/>
        <item x="432"/>
        <item x="433"/>
        <item x="434"/>
        <item x="435"/>
        <item x="436"/>
        <item x="461"/>
        <item x="455"/>
        <item x="462"/>
        <item x="457"/>
        <item x="458"/>
        <item x="463"/>
        <item x="437"/>
        <item x="430"/>
        <item x="453"/>
        <item x="454"/>
        <item x="464"/>
        <item x="459"/>
        <item x="479"/>
        <item x="480"/>
        <item x="481"/>
        <item x="465"/>
        <item x="466"/>
        <item x="467"/>
        <item x="472"/>
        <item x="473"/>
        <item x="474"/>
        <item x="487"/>
        <item x="482"/>
        <item x="483"/>
        <item x="495"/>
        <item x="475"/>
        <item x="496"/>
        <item x="494"/>
        <item x="498"/>
        <item x="476"/>
        <item x="484"/>
        <item x="485"/>
        <item x="486"/>
        <item x="499"/>
        <item x="490"/>
        <item x="491"/>
        <item x="477"/>
        <item x="500"/>
        <item x="468"/>
        <item x="469"/>
        <item x="470"/>
        <item x="497"/>
        <item x="478"/>
        <item x="489"/>
        <item x="488"/>
        <item x="471"/>
        <item x="492"/>
        <item x="493"/>
        <item x="530"/>
        <item x="531"/>
        <item x="527"/>
        <item x="524"/>
        <item x="529"/>
        <item x="525"/>
        <item x="519"/>
        <item x="501"/>
        <item x="532"/>
        <item x="533"/>
        <item x="518"/>
        <item x="534"/>
        <item x="528"/>
        <item x="523"/>
        <item x="536"/>
        <item x="535"/>
        <item x="537"/>
        <item x="521"/>
        <item x="522"/>
        <item x="502"/>
        <item x="538"/>
        <item x="520"/>
        <item x="503"/>
        <item x="504"/>
        <item x="505"/>
        <item x="526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49"/>
        <item x="550"/>
        <item x="551"/>
        <item x="546"/>
        <item x="541"/>
        <item x="547"/>
        <item x="548"/>
        <item x="542"/>
        <item x="543"/>
        <item x="544"/>
        <item x="545"/>
        <item x="539"/>
        <item x="540"/>
        <item x="552"/>
        <item x="553"/>
        <item x="554"/>
        <item x="556"/>
        <item x="557"/>
        <item x="581"/>
        <item x="579"/>
        <item x="558"/>
        <item x="559"/>
        <item x="560"/>
        <item x="582"/>
        <item x="583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55"/>
        <item x="573"/>
        <item x="580"/>
        <item x="584"/>
        <item x="574"/>
        <item x="577"/>
        <item x="576"/>
        <item x="575"/>
        <item x="578"/>
        <item x="597"/>
        <item x="598"/>
        <item x="585"/>
        <item x="599"/>
        <item x="586"/>
        <item x="600"/>
        <item x="609"/>
        <item x="595"/>
        <item x="593"/>
        <item x="594"/>
        <item x="596"/>
        <item x="601"/>
        <item x="602"/>
        <item x="606"/>
        <item x="591"/>
        <item x="592"/>
        <item x="587"/>
        <item x="588"/>
        <item x="589"/>
        <item x="590"/>
        <item x="607"/>
        <item x="603"/>
        <item x="604"/>
        <item x="608"/>
        <item x="605"/>
        <item x="635"/>
        <item x="631"/>
        <item x="632"/>
        <item x="610"/>
        <item x="611"/>
        <item x="622"/>
        <item x="617"/>
        <item x="634"/>
        <item x="636"/>
        <item x="633"/>
        <item x="616"/>
        <item x="614"/>
        <item x="615"/>
        <item x="612"/>
        <item x="613"/>
        <item x="630"/>
        <item x="621"/>
        <item x="629"/>
        <item x="623"/>
        <item x="618"/>
        <item x="624"/>
        <item x="625"/>
        <item x="626"/>
        <item x="619"/>
        <item x="620"/>
        <item x="627"/>
        <item x="628"/>
        <item x="688"/>
        <item x="647"/>
        <item x="641"/>
        <item x="648"/>
        <item x="649"/>
        <item x="659"/>
        <item x="650"/>
        <item x="668"/>
        <item x="669"/>
        <item x="670"/>
        <item x="671"/>
        <item x="672"/>
        <item x="673"/>
        <item x="674"/>
        <item x="667"/>
        <item x="675"/>
        <item x="686"/>
        <item x="642"/>
        <item x="651"/>
        <item x="652"/>
        <item x="653"/>
        <item x="654"/>
        <item x="655"/>
        <item x="656"/>
        <item x="689"/>
        <item x="640"/>
        <item x="681"/>
        <item x="663"/>
        <item x="664"/>
        <item x="676"/>
        <item x="677"/>
        <item x="678"/>
        <item m="1" x="2942"/>
        <item m="1" x="2943"/>
        <item x="682"/>
        <item x="690"/>
        <item x="643"/>
        <item x="660"/>
        <item x="661"/>
        <item x="662"/>
        <item x="644"/>
        <item x="645"/>
        <item x="646"/>
        <item x="679"/>
        <item x="637"/>
        <item x="638"/>
        <item x="683"/>
        <item x="687"/>
        <item x="684"/>
        <item x="639"/>
        <item x="657"/>
        <item x="680"/>
        <item x="685"/>
        <item x="658"/>
        <item x="665"/>
        <item x="666"/>
        <item x="704"/>
        <item x="693"/>
        <item x="713"/>
        <item x="708"/>
        <item x="709"/>
        <item x="705"/>
        <item x="710"/>
        <item x="714"/>
        <item x="712"/>
        <item x="711"/>
        <item x="706"/>
        <item x="707"/>
        <item x="694"/>
        <item x="702"/>
        <item x="703"/>
        <item x="691"/>
        <item x="695"/>
        <item x="696"/>
        <item x="697"/>
        <item x="698"/>
        <item x="699"/>
        <item x="700"/>
        <item x="701"/>
        <item x="692"/>
        <item x="715"/>
        <item x="716"/>
        <item x="750"/>
        <item x="745"/>
        <item x="732"/>
        <item x="733"/>
        <item x="734"/>
        <item x="723"/>
        <item x="753"/>
        <item x="724"/>
        <item x="735"/>
        <item x="725"/>
        <item x="726"/>
        <item x="727"/>
        <item x="728"/>
        <item x="729"/>
        <item x="717"/>
        <item x="718"/>
        <item x="754"/>
        <item x="746"/>
        <item x="747"/>
        <item x="751"/>
        <item x="736"/>
        <item x="748"/>
        <item x="721"/>
        <item x="737"/>
        <item x="755"/>
        <item x="749"/>
        <item x="752"/>
        <item x="730"/>
        <item x="731"/>
        <item x="722"/>
        <item x="744"/>
        <item x="738"/>
        <item x="739"/>
        <item x="719"/>
        <item x="720"/>
        <item x="740"/>
        <item x="741"/>
        <item x="742"/>
        <item x="743"/>
        <item x="778"/>
        <item x="779"/>
        <item x="777"/>
        <item x="785"/>
        <item x="769"/>
        <item x="780"/>
        <item x="794"/>
        <item x="766"/>
        <item x="786"/>
        <item x="781"/>
        <item x="782"/>
        <item x="776"/>
        <item x="771"/>
        <item x="763"/>
        <item x="787"/>
        <item x="788"/>
        <item x="764"/>
        <item x="789"/>
        <item x="790"/>
        <item x="791"/>
        <item x="792"/>
        <item x="775"/>
        <item x="793"/>
        <item x="783"/>
        <item x="765"/>
        <item x="767"/>
        <item x="768"/>
        <item x="756"/>
        <item x="757"/>
        <item x="758"/>
        <item x="770"/>
        <item x="772"/>
        <item x="773"/>
        <item x="759"/>
        <item x="760"/>
        <item x="761"/>
        <item x="762"/>
        <item x="774"/>
        <item x="784"/>
        <item x="807"/>
        <item x="808"/>
        <item x="809"/>
        <item x="810"/>
        <item x="811"/>
        <item x="798"/>
        <item x="815"/>
        <item x="814"/>
        <item x="812"/>
        <item x="813"/>
        <item x="805"/>
        <item x="816"/>
        <item x="802"/>
        <item x="806"/>
        <item x="817"/>
        <item x="801"/>
        <item x="795"/>
        <item x="796"/>
        <item x="797"/>
        <item x="800"/>
        <item x="803"/>
        <item x="804"/>
        <item x="799"/>
        <item x="826"/>
        <item x="827"/>
        <item x="830"/>
        <item x="824"/>
        <item x="828"/>
        <item x="832"/>
        <item x="833"/>
        <item x="846"/>
        <item x="834"/>
        <item x="835"/>
        <item x="836"/>
        <item x="837"/>
        <item x="843"/>
        <item x="838"/>
        <item x="839"/>
        <item x="840"/>
        <item x="841"/>
        <item x="831"/>
        <item x="844"/>
        <item x="829"/>
        <item x="845"/>
        <item x="818"/>
        <item x="819"/>
        <item x="820"/>
        <item x="821"/>
        <item x="822"/>
        <item x="825"/>
        <item x="842"/>
        <item x="823"/>
        <item x="879"/>
        <item x="862"/>
        <item x="875"/>
        <item x="866"/>
        <item x="864"/>
        <item x="865"/>
        <item x="861"/>
        <item x="874"/>
        <item x="876"/>
        <item x="867"/>
        <item x="859"/>
        <item x="847"/>
        <item x="878"/>
        <item x="880"/>
        <item x="877"/>
        <item x="858"/>
        <item x="881"/>
        <item x="860"/>
        <item x="848"/>
        <item x="863"/>
        <item x="849"/>
        <item x="850"/>
        <item x="851"/>
        <item x="852"/>
        <item x="868"/>
        <item x="869"/>
        <item x="870"/>
        <item x="871"/>
        <item x="872"/>
        <item x="873"/>
        <item x="882"/>
        <item x="883"/>
        <item x="894"/>
        <item x="884"/>
        <item x="896"/>
        <item x="897"/>
        <item x="895"/>
        <item x="886"/>
        <item x="887"/>
        <item x="893"/>
        <item x="885"/>
        <item x="888"/>
        <item x="889"/>
        <item x="890"/>
        <item x="891"/>
        <item x="892"/>
        <item x="905"/>
        <item x="906"/>
        <item x="907"/>
        <item x="908"/>
        <item x="921"/>
        <item x="920"/>
        <item x="902"/>
        <item x="903"/>
        <item x="901"/>
        <item x="917"/>
        <item x="898"/>
        <item x="899"/>
        <item x="909"/>
        <item x="910"/>
        <item x="918"/>
        <item x="919"/>
        <item x="915"/>
        <item x="916"/>
        <item x="912"/>
        <item x="914"/>
        <item x="922"/>
        <item x="900"/>
        <item x="913"/>
        <item x="853"/>
        <item x="854"/>
        <item x="855"/>
        <item x="856"/>
        <item x="857"/>
        <item x="911"/>
        <item x="904"/>
        <item x="948"/>
        <item x="940"/>
        <item x="935"/>
        <item x="947"/>
        <item x="931"/>
        <item x="949"/>
        <item x="941"/>
        <item x="942"/>
        <item x="950"/>
        <item x="943"/>
        <item x="944"/>
        <item x="937"/>
        <item x="928"/>
        <item x="938"/>
        <item x="926"/>
        <item x="927"/>
        <item x="936"/>
        <item x="939"/>
        <item x="929"/>
        <item x="932"/>
        <item x="933"/>
        <item x="945"/>
        <item x="923"/>
        <item x="924"/>
        <item x="930"/>
        <item x="934"/>
        <item x="925"/>
        <item x="946"/>
        <item x="951"/>
        <item x="955"/>
        <item x="954"/>
        <item x="956"/>
        <item x="952"/>
        <item x="953"/>
        <item x="970"/>
        <item x="964"/>
        <item x="971"/>
        <item x="965"/>
        <item x="972"/>
        <item x="963"/>
        <item x="966"/>
        <item x="969"/>
        <item x="974"/>
        <item x="967"/>
        <item x="968"/>
        <item x="957"/>
        <item x="958"/>
        <item x="959"/>
        <item x="960"/>
        <item x="961"/>
        <item x="962"/>
        <item x="973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m="1" x="2936"/>
        <item x="1327"/>
        <item x="1328"/>
        <item m="1" x="2934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m="1" x="2938"/>
        <item m="1" x="2937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m="1" x="293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98">
        <item x="34"/>
        <item x="63"/>
        <item x="13"/>
        <item x="40"/>
        <item x="39"/>
        <item x="33"/>
        <item x="11"/>
        <item x="18"/>
        <item x="54"/>
        <item x="44"/>
        <item x="25"/>
        <item x="7"/>
        <item x="15"/>
        <item x="28"/>
        <item x="16"/>
        <item x="50"/>
        <item x="12"/>
        <item x="2"/>
        <item x="57"/>
        <item x="51"/>
        <item x="65"/>
        <item x="14"/>
        <item x="52"/>
        <item x="67"/>
        <item x="8"/>
        <item x="43"/>
        <item x="48"/>
        <item x="45"/>
        <item x="3"/>
        <item x="42"/>
        <item x="58"/>
        <item x="35"/>
        <item x="9"/>
        <item x="46"/>
        <item x="21"/>
        <item x="17"/>
        <item x="22"/>
        <item x="64"/>
        <item x="36"/>
        <item x="1"/>
        <item x="38"/>
        <item x="6"/>
        <item x="19"/>
        <item x="32"/>
        <item x="24"/>
        <item x="29"/>
        <item x="59"/>
        <item x="30"/>
        <item x="61"/>
        <item x="62"/>
        <item x="0"/>
        <item x="60"/>
        <item x="66"/>
        <item x="53"/>
        <item x="26"/>
        <item x="10"/>
        <item x="23"/>
        <item x="49"/>
        <item x="4"/>
        <item x="27"/>
        <item x="55"/>
        <item x="68"/>
        <item x="47"/>
        <item x="31"/>
        <item x="20"/>
        <item x="37"/>
        <item x="5"/>
        <item x="41"/>
        <item x="56"/>
        <item x="74"/>
        <item x="81"/>
        <item x="72"/>
        <item x="75"/>
        <item x="77"/>
        <item x="69"/>
        <item x="78"/>
        <item x="70"/>
        <item x="73"/>
        <item x="71"/>
        <item x="79"/>
        <item x="80"/>
        <item x="76"/>
        <item x="89"/>
        <item x="87"/>
        <item x="88"/>
        <item x="82"/>
        <item x="85"/>
        <item x="84"/>
        <item x="86"/>
        <item x="90"/>
        <item x="83"/>
        <item x="91"/>
        <item x="92"/>
        <item x="93"/>
        <item x="98"/>
        <item x="97"/>
        <item x="100"/>
        <item x="94"/>
        <item x="95"/>
        <item x="99"/>
        <item x="96"/>
        <item x="101"/>
        <item x="108"/>
        <item x="105"/>
        <item x="106"/>
        <item x="104"/>
        <item x="102"/>
        <item x="103"/>
        <item x="107"/>
        <item x="109"/>
        <item x="111"/>
        <item x="113"/>
        <item x="114"/>
        <item x="115"/>
        <item x="112"/>
        <item x="116"/>
        <item x="110"/>
        <item x="120"/>
        <item x="118"/>
        <item x="121"/>
        <item x="122"/>
        <item x="123"/>
        <item x="119"/>
        <item x="117"/>
        <item x="128"/>
        <item x="127"/>
        <item x="126"/>
        <item x="124"/>
        <item x="125"/>
        <item x="130"/>
        <item x="133"/>
        <item x="131"/>
        <item x="129"/>
        <item x="132"/>
        <item x="135"/>
        <item x="134"/>
        <item x="139"/>
        <item x="136"/>
        <item x="138"/>
        <item x="140"/>
        <item x="137"/>
        <item x="141"/>
        <item x="145"/>
        <item x="146"/>
        <item x="144"/>
        <item x="142"/>
        <item x="143"/>
        <item x="149"/>
        <item x="148"/>
        <item x="150"/>
        <item x="147"/>
        <item x="153"/>
        <item x="152"/>
        <item x="155"/>
        <item x="151"/>
        <item x="156"/>
        <item x="157"/>
        <item x="154"/>
        <item x="159"/>
        <item x="158"/>
        <item x="160"/>
        <item x="162"/>
        <item x="161"/>
        <item x="166"/>
        <item x="164"/>
        <item x="165"/>
        <item x="167"/>
        <item x="163"/>
        <item x="170"/>
        <item x="171"/>
        <item x="168"/>
        <item x="169"/>
        <item x="177"/>
        <item x="172"/>
        <item x="176"/>
        <item x="175"/>
        <item x="174"/>
        <item x="173"/>
        <item x="181"/>
        <item x="178"/>
        <item x="180"/>
        <item x="179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7">
        <item x="62"/>
        <item x="40"/>
        <item x="6"/>
        <item x="32"/>
        <item x="31"/>
        <item x="15"/>
        <item x="55"/>
        <item x="43"/>
        <item x="19"/>
        <item x="9"/>
        <item x="50"/>
        <item x="35"/>
        <item x="59"/>
        <item x="64"/>
        <item x="27"/>
        <item x="0"/>
        <item x="29"/>
        <item x="1"/>
        <item x="34"/>
        <item x="45"/>
        <item x="36"/>
        <item x="22"/>
        <item x="66"/>
        <item x="56"/>
        <item x="61"/>
        <item x="21"/>
        <item x="4"/>
        <item x="3"/>
        <item x="7"/>
        <item x="10"/>
        <item x="54"/>
        <item x="38"/>
        <item x="51"/>
        <item x="2"/>
        <item x="17"/>
        <item x="46"/>
        <item x="8"/>
        <item x="11"/>
        <item x="24"/>
        <item x="57"/>
        <item x="37"/>
        <item x="23"/>
        <item x="68"/>
        <item x="39"/>
        <item x="48"/>
        <item x="53"/>
        <item x="18"/>
        <item x="67"/>
        <item x="60"/>
        <item x="16"/>
        <item x="52"/>
        <item x="20"/>
        <item x="26"/>
        <item x="58"/>
        <item x="44"/>
        <item x="5"/>
        <item x="47"/>
        <item x="65"/>
        <item x="49"/>
        <item x="14"/>
        <item x="41"/>
        <item x="25"/>
        <item x="42"/>
        <item x="28"/>
        <item x="13"/>
        <item x="63"/>
        <item x="30"/>
        <item x="12"/>
        <item x="33"/>
        <item x="206"/>
        <item x="74"/>
        <item x="81"/>
        <item x="72"/>
        <item x="75"/>
        <item x="77"/>
        <item x="69"/>
        <item x="78"/>
        <item x="70"/>
        <item x="73"/>
        <item x="71"/>
        <item x="79"/>
        <item x="80"/>
        <item x="76"/>
        <item x="89"/>
        <item x="87"/>
        <item x="88"/>
        <item x="82"/>
        <item x="85"/>
        <item x="84"/>
        <item x="86"/>
        <item x="90"/>
        <item x="83"/>
        <item x="91"/>
        <item x="92"/>
        <item x="93"/>
        <item x="97"/>
        <item x="96"/>
        <item x="98"/>
        <item x="94"/>
        <item x="95"/>
        <item x="99"/>
        <item x="105"/>
        <item x="103"/>
        <item x="102"/>
        <item x="100"/>
        <item x="101"/>
        <item x="104"/>
        <item x="106"/>
        <item x="108"/>
        <item x="110"/>
        <item x="111"/>
        <item x="112"/>
        <item x="109"/>
        <item x="113"/>
        <item x="107"/>
        <item x="117"/>
        <item x="115"/>
        <item x="118"/>
        <item x="119"/>
        <item x="120"/>
        <item x="116"/>
        <item x="114"/>
        <item x="124"/>
        <item x="123"/>
        <item x="121"/>
        <item x="122"/>
        <item x="126"/>
        <item x="129"/>
        <item x="127"/>
        <item x="125"/>
        <item x="128"/>
        <item x="131"/>
        <item x="130"/>
        <item x="135"/>
        <item x="132"/>
        <item x="134"/>
        <item x="136"/>
        <item x="133"/>
        <item x="137"/>
        <item x="141"/>
        <item x="142"/>
        <item x="140"/>
        <item x="138"/>
        <item x="139"/>
        <item x="145"/>
        <item x="144"/>
        <item x="146"/>
        <item x="143"/>
        <item x="149"/>
        <item x="148"/>
        <item x="151"/>
        <item x="147"/>
        <item x="162"/>
        <item x="152"/>
        <item x="150"/>
        <item x="154"/>
        <item x="153"/>
        <item x="155"/>
        <item x="157"/>
        <item x="156"/>
        <item x="161"/>
        <item x="159"/>
        <item x="160"/>
        <item x="158"/>
        <item x="165"/>
        <item x="166"/>
        <item x="163"/>
        <item x="164"/>
        <item x="172"/>
        <item x="167"/>
        <item x="171"/>
        <item x="170"/>
        <item x="169"/>
        <item x="168"/>
        <item x="176"/>
        <item x="173"/>
        <item x="175"/>
        <item x="174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10"/>
        <item x="2"/>
        <item x="6"/>
        <item x="9"/>
        <item x="8"/>
        <item x="3"/>
        <item x="7"/>
        <item x="0"/>
        <item x="4"/>
        <item x="5"/>
        <item x="1"/>
        <item x="2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x="0"/>
        <item x="16"/>
        <item x="11"/>
        <item x="1"/>
        <item x="2"/>
        <item x="3"/>
        <item x="4"/>
        <item x="5"/>
        <item x="6"/>
        <item x="12"/>
        <item x="13"/>
        <item x="7"/>
        <item x="8"/>
        <item x="17"/>
        <item x="18"/>
        <item x="9"/>
        <item x="14"/>
        <item x="15"/>
        <item x="10"/>
        <item m="1" x="38"/>
        <item x="19"/>
        <item x="20"/>
        <item x="23"/>
        <item x="22"/>
        <item x="21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1">
        <item x="18"/>
        <item x="19"/>
        <item x="21"/>
        <item x="4"/>
        <item x="13"/>
        <item x="16"/>
        <item x="7"/>
        <item x="5"/>
        <item x="20"/>
        <item x="1"/>
        <item x="11"/>
        <item x="17"/>
        <item x="6"/>
        <item x="0"/>
        <item x="8"/>
        <item x="3"/>
        <item x="25"/>
        <item x="2"/>
        <item x="14"/>
        <item x="15"/>
        <item x="10"/>
        <item x="12"/>
        <item x="9"/>
        <item m="1" x="79"/>
        <item x="22"/>
        <item x="23"/>
        <item x="24"/>
        <item x="26"/>
        <item x="27"/>
        <item x="29"/>
        <item x="28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m="1" x="80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0"/>
    <field x="1"/>
    <field x="2"/>
    <field x="3"/>
    <field x="4"/>
    <field x="5"/>
    <field x="6"/>
    <field x="7"/>
  </rowFields>
  <rowItems count="34">
    <i>
      <x/>
      <x v="124"/>
      <x v="2910"/>
      <x v="209"/>
      <x v="205"/>
      <x v="8"/>
      <x v="6"/>
      <x v="15"/>
    </i>
    <i r="2">
      <x v="2911"/>
      <x v="209"/>
      <x v="205"/>
      <x v="8"/>
      <x v="6"/>
      <x v="15"/>
    </i>
    <i r="2">
      <x v="2912"/>
      <x v="209"/>
      <x v="205"/>
      <x v="8"/>
      <x v="6"/>
      <x v="15"/>
    </i>
    <i r="2">
      <x v="2913"/>
      <x v="209"/>
      <x v="205"/>
      <x v="8"/>
      <x v="6"/>
      <x v="15"/>
    </i>
    <i r="2">
      <x v="2914"/>
      <x v="83"/>
      <x v="84"/>
      <x v="7"/>
      <x v="23"/>
      <x v="14"/>
    </i>
    <i r="2">
      <x v="2915"/>
      <x v="83"/>
      <x v="84"/>
      <x v="7"/>
      <x v="23"/>
      <x v="14"/>
    </i>
    <i r="2">
      <x v="2916"/>
      <x v="83"/>
      <x v="84"/>
      <x v="7"/>
      <x v="23"/>
      <x v="14"/>
    </i>
    <i r="2">
      <x v="2917"/>
      <x v="83"/>
      <x v="84"/>
      <x v="7"/>
      <x v="16"/>
      <x v="17"/>
    </i>
    <i r="2">
      <x v="2918"/>
      <x v="237"/>
      <x v="228"/>
      <x v="17"/>
      <x v="3"/>
      <x v="17"/>
    </i>
    <i r="2">
      <x v="2919"/>
      <x v="60"/>
      <x v="6"/>
      <x v="14"/>
      <x v="7"/>
      <x v="17"/>
    </i>
    <i>
      <x v="1"/>
      <x v="124"/>
      <x v="2936"/>
      <x v="109"/>
      <x v="107"/>
      <x/>
      <x v="18"/>
      <x v="17"/>
    </i>
    <i r="2">
      <x v="2937"/>
      <x v="26"/>
      <x v="58"/>
      <x v="18"/>
      <x v="23"/>
      <x v="6"/>
    </i>
    <i r="2">
      <x v="2938"/>
      <x v="281"/>
      <x v="264"/>
      <x/>
      <x v="35"/>
      <x v="61"/>
    </i>
    <i r="2">
      <x v="2939"/>
      <x v="73"/>
      <x v="74"/>
      <x v="14"/>
      <x v="3"/>
      <x v="6"/>
    </i>
    <i>
      <x v="2"/>
      <x v="124"/>
      <x v="2921"/>
      <x v="296"/>
      <x v="276"/>
      <x v="18"/>
      <x/>
      <x v="6"/>
    </i>
    <i r="2">
      <x v="2942"/>
      <x v="26"/>
      <x v="58"/>
      <x v="18"/>
      <x v="12"/>
      <x v="53"/>
    </i>
    <i r="2">
      <x v="2943"/>
      <x v="26"/>
      <x v="58"/>
      <x v="18"/>
      <x v="12"/>
      <x v="53"/>
    </i>
    <i>
      <x v="4"/>
      <x v="124"/>
      <x v="2920"/>
      <x v="219"/>
      <x v="214"/>
      <x v="18"/>
      <x v="22"/>
      <x v="53"/>
    </i>
    <i r="2">
      <x v="2922"/>
      <x v="296"/>
      <x v="276"/>
      <x v="18"/>
      <x/>
      <x v="6"/>
    </i>
    <i r="2">
      <x v="2923"/>
      <x v="237"/>
      <x v="228"/>
      <x v="17"/>
      <x v="22"/>
      <x v="6"/>
    </i>
    <i r="2">
      <x v="2932"/>
      <x v="297"/>
      <x v="152"/>
      <x/>
      <x v="35"/>
      <x v="70"/>
    </i>
    <i r="2">
      <x v="2933"/>
      <x v="41"/>
      <x v="2"/>
      <x v="17"/>
      <x v="17"/>
      <x v="17"/>
    </i>
    <i r="2">
      <x v="2935"/>
      <x v="281"/>
      <x v="264"/>
      <x/>
      <x v="35"/>
      <x v="70"/>
    </i>
    <i r="2">
      <x v="2940"/>
      <x v="26"/>
      <x v="58"/>
      <x v="18"/>
      <x v="12"/>
      <x v="53"/>
    </i>
    <i r="2">
      <x v="2941"/>
      <x v="26"/>
      <x v="58"/>
      <x v="18"/>
      <x v="12"/>
      <x v="53"/>
    </i>
    <i>
      <x v="5"/>
      <x v="124"/>
      <x v="2924"/>
      <x v="281"/>
      <x v="264"/>
      <x/>
      <x v="35"/>
      <x v="17"/>
    </i>
    <i r="2">
      <x v="2925"/>
      <x v="18"/>
      <x v="39"/>
      <x v="8"/>
      <x v="3"/>
      <x v="6"/>
    </i>
    <i r="2">
      <x v="2926"/>
      <x/>
      <x v="18"/>
      <x v="14"/>
      <x v="3"/>
      <x v="54"/>
    </i>
    <i r="2">
      <x v="2927"/>
      <x v="73"/>
      <x v="74"/>
      <x v="14"/>
      <x v="14"/>
      <x v="17"/>
    </i>
    <i r="2">
      <x v="2928"/>
      <x v="178"/>
      <x v="174"/>
      <x/>
      <x v="18"/>
      <x v="17"/>
    </i>
    <i r="2">
      <x v="2929"/>
      <x v="254"/>
      <x v="152"/>
      <x v="8"/>
      <x v="6"/>
      <x v="20"/>
    </i>
    <i r="2">
      <x v="2930"/>
      <x v="254"/>
      <x v="152"/>
      <x v="8"/>
      <x v="6"/>
      <x v="20"/>
    </i>
    <i r="2">
      <x v="2931"/>
      <x v="150"/>
      <x v="152"/>
      <x v="10"/>
      <x v="23"/>
      <x v="6"/>
    </i>
    <i r="2">
      <x v="2934"/>
      <x v="26"/>
      <x v="58"/>
      <x v="18"/>
      <x v="23"/>
      <x v="6"/>
    </i>
  </rowItems>
  <colItems count="1">
    <i/>
  </colItems>
  <formats count="401">
    <format dxfId="409">
      <pivotArea type="all" dataOnly="0" outline="0" fieldPosition="0"/>
    </format>
    <format dxfId="408">
      <pivotArea field="0" type="button" dataOnly="0" labelOnly="1" outline="0" axis="axisRow" fieldPosition="0"/>
    </format>
    <format dxfId="407">
      <pivotArea field="1" type="button" dataOnly="0" labelOnly="1" outline="0" axis="axisRow" fieldPosition="1"/>
    </format>
    <format dxfId="406">
      <pivotArea field="2" type="button" dataOnly="0" labelOnly="1" outline="0" axis="axisRow" fieldPosition="2"/>
    </format>
    <format dxfId="405">
      <pivotArea field="3" type="button" dataOnly="0" labelOnly="1" outline="0" axis="axisRow" fieldPosition="3"/>
    </format>
    <format dxfId="404">
      <pivotArea field="4" type="button" dataOnly="0" labelOnly="1" outline="0" axis="axisRow" fieldPosition="4"/>
    </format>
    <format dxfId="403">
      <pivotArea field="5" type="button" dataOnly="0" labelOnly="1" outline="0" axis="axisRow" fieldPosition="5"/>
    </format>
    <format dxfId="402">
      <pivotArea field="6" type="button" dataOnly="0" labelOnly="1" outline="0" axis="axisRow" fieldPosition="6"/>
    </format>
    <format dxfId="401">
      <pivotArea field="7" type="button" dataOnly="0" labelOnly="1" outline="0" axis="axisRow" fieldPosition="7"/>
    </format>
    <format dxfId="400">
      <pivotArea dataOnly="0" labelOnly="1" outline="0" fieldPosition="0">
        <references count="1">
          <reference field="0" count="0"/>
        </references>
      </pivotArea>
    </format>
    <format dxfId="399">
      <pivotArea type="all" dataOnly="0" outline="0" fieldPosition="0"/>
    </format>
    <format dxfId="398">
      <pivotArea field="0" type="button" dataOnly="0" labelOnly="1" outline="0" axis="axisRow" fieldPosition="0"/>
    </format>
    <format dxfId="397">
      <pivotArea field="1" type="button" dataOnly="0" labelOnly="1" outline="0" axis="axisRow" fieldPosition="1"/>
    </format>
    <format dxfId="396">
      <pivotArea field="2" type="button" dataOnly="0" labelOnly="1" outline="0" axis="axisRow" fieldPosition="2"/>
    </format>
    <format dxfId="395">
      <pivotArea field="3" type="button" dataOnly="0" labelOnly="1" outline="0" axis="axisRow" fieldPosition="3"/>
    </format>
    <format dxfId="394">
      <pivotArea field="4" type="button" dataOnly="0" labelOnly="1" outline="0" axis="axisRow" fieldPosition="4"/>
    </format>
    <format dxfId="393">
      <pivotArea field="5" type="button" dataOnly="0" labelOnly="1" outline="0" axis="axisRow" fieldPosition="5"/>
    </format>
    <format dxfId="392">
      <pivotArea field="6" type="button" dataOnly="0" labelOnly="1" outline="0" axis="axisRow" fieldPosition="6"/>
    </format>
    <format dxfId="391">
      <pivotArea field="7" type="button" dataOnly="0" labelOnly="1" outline="0" axis="axisRow" fieldPosition="7"/>
    </format>
    <format dxfId="390">
      <pivotArea dataOnly="0" labelOnly="1" outline="0" fieldPosition="0">
        <references count="1">
          <reference field="0" count="0"/>
        </references>
      </pivotArea>
    </format>
    <format dxfId="389">
      <pivotArea field="0" type="button" dataOnly="0" labelOnly="1" outline="0" axis="axisRow" fieldPosition="0"/>
    </format>
    <format dxfId="388">
      <pivotArea field="1" type="button" dataOnly="0" labelOnly="1" outline="0" axis="axisRow" fieldPosition="1"/>
    </format>
    <format dxfId="387">
      <pivotArea field="2" type="button" dataOnly="0" labelOnly="1" outline="0" axis="axisRow" fieldPosition="2"/>
    </format>
    <format dxfId="386">
      <pivotArea field="3" type="button" dataOnly="0" labelOnly="1" outline="0" axis="axisRow" fieldPosition="3"/>
    </format>
    <format dxfId="385">
      <pivotArea field="4" type="button" dataOnly="0" labelOnly="1" outline="0" axis="axisRow" fieldPosition="4"/>
    </format>
    <format dxfId="384">
      <pivotArea field="5" type="button" dataOnly="0" labelOnly="1" outline="0" axis="axisRow" fieldPosition="5"/>
    </format>
    <format dxfId="383">
      <pivotArea field="6" type="button" dataOnly="0" labelOnly="1" outline="0" axis="axisRow" fieldPosition="6"/>
    </format>
    <format dxfId="382">
      <pivotArea field="7" type="button" dataOnly="0" labelOnly="1" outline="0" axis="axisRow" fieldPosition="7"/>
    </format>
    <format dxfId="381">
      <pivotArea type="all" dataOnly="0" outline="0" fieldPosition="0"/>
    </format>
    <format dxfId="380">
      <pivotArea field="0" type="button" dataOnly="0" labelOnly="1" outline="0" axis="axisRow" fieldPosition="0"/>
    </format>
    <format dxfId="379">
      <pivotArea field="1" type="button" dataOnly="0" labelOnly="1" outline="0" axis="axisRow" fieldPosition="1"/>
    </format>
    <format dxfId="378">
      <pivotArea field="2" type="button" dataOnly="0" labelOnly="1" outline="0" axis="axisRow" fieldPosition="2"/>
    </format>
    <format dxfId="377">
      <pivotArea field="3" type="button" dataOnly="0" labelOnly="1" outline="0" axis="axisRow" fieldPosition="3"/>
    </format>
    <format dxfId="376">
      <pivotArea field="4" type="button" dataOnly="0" labelOnly="1" outline="0" axis="axisRow" fieldPosition="4"/>
    </format>
    <format dxfId="375">
      <pivotArea field="5" type="button" dataOnly="0" labelOnly="1" outline="0" axis="axisRow" fieldPosition="5"/>
    </format>
    <format dxfId="374">
      <pivotArea field="6" type="button" dataOnly="0" labelOnly="1" outline="0" axis="axisRow" fieldPosition="6"/>
    </format>
    <format dxfId="373">
      <pivotArea field="7" type="button" dataOnly="0" labelOnly="1" outline="0" axis="axisRow" fieldPosition="7"/>
    </format>
    <format dxfId="372">
      <pivotArea field="0" type="button" dataOnly="0" labelOnly="1" outline="0" axis="axisRow" fieldPosition="0"/>
    </format>
    <format dxfId="371">
      <pivotArea field="1" type="button" dataOnly="0" labelOnly="1" outline="0" axis="axisRow" fieldPosition="1"/>
    </format>
    <format dxfId="370">
      <pivotArea field="2" type="button" dataOnly="0" labelOnly="1" outline="0" axis="axisRow" fieldPosition="2"/>
    </format>
    <format dxfId="369">
      <pivotArea field="3" type="button" dataOnly="0" labelOnly="1" outline="0" axis="axisRow" fieldPosition="3"/>
    </format>
    <format dxfId="368">
      <pivotArea field="4" type="button" dataOnly="0" labelOnly="1" outline="0" axis="axisRow" fieldPosition="4"/>
    </format>
    <format dxfId="367">
      <pivotArea field="5" type="button" dataOnly="0" labelOnly="1" outline="0" axis="axisRow" fieldPosition="5"/>
    </format>
    <format dxfId="366">
      <pivotArea field="6" type="button" dataOnly="0" labelOnly="1" outline="0" axis="axisRow" fieldPosition="6"/>
    </format>
    <format dxfId="365">
      <pivotArea field="7" type="button" dataOnly="0" labelOnly="1" outline="0" axis="axisRow" fieldPosition="7"/>
    </format>
    <format dxfId="364">
      <pivotArea field="0" type="button" dataOnly="0" labelOnly="1" outline="0" axis="axisRow" fieldPosition="0"/>
    </format>
    <format dxfId="363">
      <pivotArea field="1" type="button" dataOnly="0" labelOnly="1" outline="0" axis="axisRow" fieldPosition="1"/>
    </format>
    <format dxfId="362">
      <pivotArea field="2" type="button" dataOnly="0" labelOnly="1" outline="0" axis="axisRow" fieldPosition="2"/>
    </format>
    <format dxfId="361">
      <pivotArea field="3" type="button" dataOnly="0" labelOnly="1" outline="0" axis="axisRow" fieldPosition="3"/>
    </format>
    <format dxfId="360">
      <pivotArea field="4" type="button" dataOnly="0" labelOnly="1" outline="0" axis="axisRow" fieldPosition="4"/>
    </format>
    <format dxfId="359">
      <pivotArea field="5" type="button" dataOnly="0" labelOnly="1" outline="0" axis="axisRow" fieldPosition="5"/>
    </format>
    <format dxfId="358">
      <pivotArea field="6" type="button" dataOnly="0" labelOnly="1" outline="0" axis="axisRow" fieldPosition="6"/>
    </format>
    <format dxfId="357">
      <pivotArea field="7" type="button" dataOnly="0" labelOnly="1" outline="0" axis="axisRow" fieldPosition="7"/>
    </format>
    <format dxfId="356">
      <pivotArea dataOnly="0" labelOnly="1" outline="0" fieldPosition="0">
        <references count="1">
          <reference field="0" count="0"/>
        </references>
      </pivotArea>
    </format>
    <format dxfId="355">
      <pivotArea dataOnly="0" labelOnly="1" outline="0" fieldPosition="0">
        <references count="3">
          <reference field="0" count="1" selected="0">
            <x v="0"/>
          </reference>
          <reference field="1" count="0" selected="0"/>
          <reference field="2" count="23">
            <x v="1057"/>
            <x v="1058"/>
            <x v="1059"/>
            <x v="1060"/>
            <x v="1061"/>
            <x v="1065"/>
            <x v="1066"/>
            <x v="1067"/>
            <x v="1068"/>
            <x v="1069"/>
            <x v="1071"/>
            <x v="107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</reference>
        </references>
      </pivotArea>
    </format>
    <format dxfId="354">
      <pivotArea dataOnly="0" labelOnly="1" outline="0" fieldPosition="0">
        <references count="3">
          <reference field="0" count="1" selected="0">
            <x v="1"/>
          </reference>
          <reference field="1" count="0" selected="0"/>
          <reference field="2" count="3">
            <x v="1051"/>
            <x v="1054"/>
            <x v="1055"/>
          </reference>
        </references>
      </pivotArea>
    </format>
    <format dxfId="353">
      <pivotArea dataOnly="0" labelOnly="1" outline="0" fieldPosition="0">
        <references count="3">
          <reference field="0" count="1" selected="0">
            <x v="2"/>
          </reference>
          <reference field="1" count="0" selected="0"/>
          <reference field="2" count="10">
            <x v="792"/>
            <x v="793"/>
            <x v="1043"/>
            <x v="1075"/>
            <x v="1076"/>
            <x v="1077"/>
            <x v="1078"/>
            <x v="1079"/>
            <x v="1080"/>
            <x v="1104"/>
          </reference>
        </references>
      </pivotArea>
    </format>
    <format dxfId="352">
      <pivotArea dataOnly="0" labelOnly="1" outline="0" fieldPosition="0">
        <references count="3">
          <reference field="0" count="1" selected="0">
            <x v="3"/>
          </reference>
          <reference field="1" count="0" selected="0"/>
          <reference field="2" count="8">
            <x v="1056"/>
            <x v="1063"/>
            <x v="1073"/>
            <x v="1092"/>
            <x v="1109"/>
            <x v="1110"/>
            <x v="1111"/>
            <x v="1112"/>
          </reference>
        </references>
      </pivotArea>
    </format>
    <format dxfId="351">
      <pivotArea dataOnly="0" labelOnly="1" outline="0" fieldPosition="0">
        <references count="3">
          <reference field="0" count="1" selected="0">
            <x v="4"/>
          </reference>
          <reference field="1" count="0" selected="0"/>
          <reference field="2" count="9">
            <x v="1052"/>
            <x v="1053"/>
            <x v="1064"/>
            <x v="1074"/>
            <x v="1105"/>
            <x v="1106"/>
            <x v="1107"/>
            <x v="1108"/>
            <x v="1113"/>
          </reference>
        </references>
      </pivotArea>
    </format>
    <format dxfId="350">
      <pivotArea dataOnly="0" labelOnly="1" outline="0" fieldPosition="0">
        <references count="3">
          <reference field="0" count="1" selected="0">
            <x v="5"/>
          </reference>
          <reference field="1" count="0" selected="0"/>
          <reference field="2" count="13">
            <x v="1062"/>
            <x v="107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</reference>
        </references>
      </pivotArea>
    </format>
    <format dxfId="349">
      <pivotArea dataOnly="0" labelOnly="1" outline="0" fieldPosition="0">
        <references count="4">
          <reference field="0" count="1" selected="0">
            <x v="0"/>
          </reference>
          <reference field="1" count="0" selected="0"/>
          <reference field="2" count="1" selected="0">
            <x v="1057"/>
          </reference>
          <reference field="3" count="1">
            <x v="129"/>
          </reference>
        </references>
      </pivotArea>
    </format>
    <format dxfId="348">
      <pivotArea dataOnly="0" labelOnly="1" outline="0" fieldPosition="0">
        <references count="4">
          <reference field="0" count="1" selected="0">
            <x v="0"/>
          </reference>
          <reference field="1" count="0" selected="0"/>
          <reference field="2" count="1" selected="0">
            <x v="1065"/>
          </reference>
          <reference field="3" count="1">
            <x v="66"/>
          </reference>
        </references>
      </pivotArea>
    </format>
    <format dxfId="347">
      <pivotArea dataOnly="0" labelOnly="1" outline="0" fieldPosition="0">
        <references count="4">
          <reference field="0" count="1" selected="0">
            <x v="0"/>
          </reference>
          <reference field="1" count="0" selected="0"/>
          <reference field="2" count="1" selected="0">
            <x v="1071"/>
          </reference>
          <reference field="3" count="1">
            <x v="92"/>
          </reference>
        </references>
      </pivotArea>
    </format>
    <format dxfId="346">
      <pivotArea dataOnly="0" labelOnly="1" outline="0" fieldPosition="0">
        <references count="4">
          <reference field="0" count="1" selected="0">
            <x v="0"/>
          </reference>
          <reference field="1" count="0" selected="0"/>
          <reference field="2" count="1" selected="0">
            <x v="1093"/>
          </reference>
          <reference field="3" count="1">
            <x v="17"/>
          </reference>
        </references>
      </pivotArea>
    </format>
    <format dxfId="345">
      <pivotArea dataOnly="0" labelOnly="1" outline="0" fieldPosition="0">
        <references count="4">
          <reference field="0" count="1" selected="0">
            <x v="1"/>
          </reference>
          <reference field="1" count="0" selected="0"/>
          <reference field="2" count="1" selected="0">
            <x v="1051"/>
          </reference>
          <reference field="3" count="1">
            <x v="24"/>
          </reference>
        </references>
      </pivotArea>
    </format>
    <format dxfId="344">
      <pivotArea dataOnly="0" labelOnly="1" outline="0" fieldPosition="0">
        <references count="4">
          <reference field="0" count="1" selected="0">
            <x v="1"/>
          </reference>
          <reference field="1" count="0" selected="0"/>
          <reference field="2" count="1" selected="0">
            <x v="1054"/>
          </reference>
          <reference field="3" count="1">
            <x v="0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2"/>
          </reference>
          <reference field="1" count="0" selected="0"/>
          <reference field="2" count="1" selected="0">
            <x v="792"/>
          </reference>
          <reference field="3" count="1">
            <x v="131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2"/>
          </reference>
          <reference field="1" count="0" selected="0"/>
          <reference field="2" count="1" selected="0">
            <x v="1043"/>
          </reference>
          <reference field="3" count="1">
            <x v="24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2"/>
          </reference>
          <reference field="1" count="0" selected="0"/>
          <reference field="2" count="1" selected="0">
            <x v="1080"/>
          </reference>
          <reference field="3" count="1">
            <x v="184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2"/>
          </reference>
          <reference field="1" count="0" selected="0"/>
          <reference field="2" count="1" selected="0">
            <x v="1104"/>
          </reference>
          <reference field="3" count="1">
            <x v="192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3"/>
          </reference>
          <reference field="1" count="0" selected="0"/>
          <reference field="2" count="1" selected="0">
            <x v="1056"/>
          </reference>
          <reference field="3" count="1">
            <x v="130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3"/>
          </reference>
          <reference field="1" count="0" selected="0"/>
          <reference field="2" count="1" selected="0">
            <x v="1063"/>
          </reference>
          <reference field="3" count="1">
            <x v="184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3"/>
          </reference>
          <reference field="1" count="0" selected="0"/>
          <reference field="2" count="1" selected="0">
            <x v="1073"/>
          </reference>
          <reference field="3" count="1">
            <x v="17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3"/>
          </reference>
          <reference field="1" count="0" selected="0"/>
          <reference field="2" count="1" selected="0">
            <x v="1109"/>
          </reference>
          <reference field="3" count="1">
            <x v="93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3"/>
          </reference>
          <reference field="1" count="0" selected="0"/>
          <reference field="2" count="1" selected="0">
            <x v="1110"/>
          </reference>
          <reference field="3" count="1">
            <x v="193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3"/>
          </reference>
          <reference field="1" count="0" selected="0"/>
          <reference field="2" count="1" selected="0">
            <x v="1111"/>
          </reference>
          <reference field="3" count="1">
            <x v="92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4"/>
          </reference>
          <reference field="1" count="0" selected="0"/>
          <reference field="2" count="1" selected="0">
            <x v="1052"/>
          </reference>
          <reference field="3" count="1">
            <x v="171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4"/>
          </reference>
          <reference field="1" count="0" selected="0"/>
          <reference field="2" count="1" selected="0">
            <x v="1064"/>
          </reference>
          <reference field="3" count="1">
            <x v="66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4"/>
          </reference>
          <reference field="1" count="0" selected="0"/>
          <reference field="2" count="1" selected="0">
            <x v="1074"/>
          </reference>
          <reference field="3" count="1">
            <x v="17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4"/>
          </reference>
          <reference field="1" count="0" selected="0"/>
          <reference field="2" count="1" selected="0">
            <x v="1105"/>
          </reference>
          <reference field="3" count="1">
            <x v="18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4"/>
          </reference>
          <reference field="1" count="0" selected="0"/>
          <reference field="2" count="1" selected="0">
            <x v="1113"/>
          </reference>
          <reference field="3" count="1">
            <x v="17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5"/>
          </reference>
          <reference field="1" count="0" selected="0"/>
          <reference field="2" count="1" selected="0">
            <x v="1062"/>
          </reference>
          <reference field="3" count="1">
            <x v="184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5"/>
          </reference>
          <reference field="1" count="0" selected="0"/>
          <reference field="2" count="1" selected="0">
            <x v="1070"/>
          </reference>
          <reference field="3" count="1">
            <x v="17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5"/>
          </reference>
          <reference field="1" count="0" selected="0"/>
          <reference field="2" count="1" selected="0">
            <x v="1081"/>
          </reference>
          <reference field="3" count="1">
            <x v="24"/>
          </reference>
        </references>
      </pivotArea>
    </format>
    <format dxfId="325">
      <pivotArea dataOnly="0" labelOnly="1" outline="0" fieldPosition="0">
        <references count="5">
          <reference field="0" count="1" selected="0">
            <x v="0"/>
          </reference>
          <reference field="1" count="0" selected="0"/>
          <reference field="2" count="1" selected="0">
            <x v="1057"/>
          </reference>
          <reference field="3" count="1" selected="0">
            <x v="129"/>
          </reference>
          <reference field="4" count="1">
            <x v="126"/>
          </reference>
        </references>
      </pivotArea>
    </format>
    <format dxfId="324">
      <pivotArea dataOnly="0" labelOnly="1" outline="0" fieldPosition="0">
        <references count="5">
          <reference field="0" count="1" selected="0">
            <x v="0"/>
          </reference>
          <reference field="1" count="0" selected="0"/>
          <reference field="2" count="1" selected="0">
            <x v="1065"/>
          </reference>
          <reference field="3" count="1" selected="0">
            <x v="66"/>
          </reference>
          <reference field="4" count="1">
            <x v="54"/>
          </reference>
        </references>
      </pivotArea>
    </format>
    <format dxfId="323">
      <pivotArea dataOnly="0" labelOnly="1" outline="0" fieldPosition="0">
        <references count="5">
          <reference field="0" count="1" selected="0">
            <x v="0"/>
          </reference>
          <reference field="1" count="0" selected="0"/>
          <reference field="2" count="1" selected="0">
            <x v="1071"/>
          </reference>
          <reference field="3" count="1" selected="0">
            <x v="92"/>
          </reference>
          <reference field="4" count="1">
            <x v="93"/>
          </reference>
        </references>
      </pivotArea>
    </format>
    <format dxfId="322">
      <pivotArea dataOnly="0" labelOnly="1" outline="0" fieldPosition="0">
        <references count="5">
          <reference field="0" count="1" selected="0">
            <x v="0"/>
          </reference>
          <reference field="1" count="0" selected="0"/>
          <reference field="2" count="1" selected="0">
            <x v="1093"/>
          </reference>
          <reference field="3" count="1" selected="0">
            <x v="17"/>
          </reference>
          <reference field="4" count="1">
            <x v="33"/>
          </reference>
        </references>
      </pivotArea>
    </format>
    <format dxfId="321">
      <pivotArea dataOnly="0" labelOnly="1" outline="0" fieldPosition="0">
        <references count="5">
          <reference field="0" count="1" selected="0">
            <x v="1"/>
          </reference>
          <reference field="1" count="0" selected="0"/>
          <reference field="2" count="1" selected="0">
            <x v="1051"/>
          </reference>
          <reference field="3" count="1" selected="0">
            <x v="24"/>
          </reference>
          <reference field="4" count="1">
            <x v="36"/>
          </reference>
        </references>
      </pivotArea>
    </format>
    <format dxfId="320">
      <pivotArea dataOnly="0" labelOnly="1" outline="0" fieldPosition="0">
        <references count="5">
          <reference field="0" count="1" selected="0">
            <x v="1"/>
          </reference>
          <reference field="1" count="0" selected="0"/>
          <reference field="2" count="1" selected="0">
            <x v="1054"/>
          </reference>
          <reference field="3" count="1" selected="0">
            <x v="0"/>
          </reference>
          <reference field="4" count="1">
            <x v="18"/>
          </reference>
        </references>
      </pivotArea>
    </format>
    <format dxfId="319">
      <pivotArea dataOnly="0" labelOnly="1" outline="0" fieldPosition="0">
        <references count="5">
          <reference field="0" count="1" selected="0">
            <x v="2"/>
          </reference>
          <reference field="1" count="0" selected="0"/>
          <reference field="2" count="1" selected="0">
            <x v="792"/>
          </reference>
          <reference field="3" count="1" selected="0">
            <x v="131"/>
          </reference>
          <reference field="4" count="1">
            <x v="128"/>
          </reference>
        </references>
      </pivotArea>
    </format>
    <format dxfId="318">
      <pivotArea dataOnly="0" labelOnly="1" outline="0" fieldPosition="0">
        <references count="5">
          <reference field="0" count="1" selected="0">
            <x v="2"/>
          </reference>
          <reference field="1" count="0" selected="0"/>
          <reference field="2" count="1" selected="0">
            <x v="1043"/>
          </reference>
          <reference field="3" count="1" selected="0">
            <x v="24"/>
          </reference>
          <reference field="4" count="1">
            <x v="36"/>
          </reference>
        </references>
      </pivotArea>
    </format>
    <format dxfId="317">
      <pivotArea dataOnly="0" labelOnly="1" outline="0" fieldPosition="0">
        <references count="5">
          <reference field="0" count="1" selected="0">
            <x v="2"/>
          </reference>
          <reference field="1" count="0" selected="0"/>
          <reference field="2" count="1" selected="0">
            <x v="1080"/>
          </reference>
          <reference field="3" count="1" selected="0">
            <x v="184"/>
          </reference>
          <reference field="4" count="1">
            <x v="180"/>
          </reference>
        </references>
      </pivotArea>
    </format>
    <format dxfId="316">
      <pivotArea dataOnly="0" labelOnly="1" outline="0" fieldPosition="0">
        <references count="5">
          <reference field="0" count="1" selected="0">
            <x v="2"/>
          </reference>
          <reference field="1" count="0" selected="0"/>
          <reference field="2" count="1" selected="0">
            <x v="1104"/>
          </reference>
          <reference field="3" count="1" selected="0">
            <x v="192"/>
          </reference>
          <reference field="4" count="1">
            <x v="188"/>
          </reference>
        </references>
      </pivotArea>
    </format>
    <format dxfId="315">
      <pivotArea dataOnly="0" labelOnly="1" outline="0" fieldPosition="0">
        <references count="5">
          <reference field="0" count="1" selected="0">
            <x v="3"/>
          </reference>
          <reference field="1" count="0" selected="0"/>
          <reference field="2" count="1" selected="0">
            <x v="1056"/>
          </reference>
          <reference field="3" count="1" selected="0">
            <x v="130"/>
          </reference>
          <reference field="4" count="1">
            <x v="127"/>
          </reference>
        </references>
      </pivotArea>
    </format>
    <format dxfId="314">
      <pivotArea dataOnly="0" labelOnly="1" outline="0" fieldPosition="0">
        <references count="5">
          <reference field="0" count="1" selected="0">
            <x v="3"/>
          </reference>
          <reference field="1" count="0" selected="0"/>
          <reference field="2" count="1" selected="0">
            <x v="1063"/>
          </reference>
          <reference field="3" count="1" selected="0">
            <x v="184"/>
          </reference>
          <reference field="4" count="1">
            <x v="180"/>
          </reference>
        </references>
      </pivotArea>
    </format>
    <format dxfId="313">
      <pivotArea dataOnly="0" labelOnly="1" outline="0" fieldPosition="0">
        <references count="5">
          <reference field="0" count="1" selected="0">
            <x v="3"/>
          </reference>
          <reference field="1" count="0" selected="0"/>
          <reference field="2" count="1" selected="0">
            <x v="1073"/>
          </reference>
          <reference field="3" count="1" selected="0">
            <x v="17"/>
          </reference>
          <reference field="4" count="1">
            <x v="33"/>
          </reference>
        </references>
      </pivotArea>
    </format>
    <format dxfId="312">
      <pivotArea dataOnly="0" labelOnly="1" outline="0" fieldPosition="0">
        <references count="5">
          <reference field="0" count="1" selected="0">
            <x v="3"/>
          </reference>
          <reference field="1" count="0" selected="0"/>
          <reference field="2" count="1" selected="0">
            <x v="1109"/>
          </reference>
          <reference field="3" count="1" selected="0">
            <x v="93"/>
          </reference>
          <reference field="4" count="1">
            <x v="94"/>
          </reference>
        </references>
      </pivotArea>
    </format>
    <format dxfId="311">
      <pivotArea dataOnly="0" labelOnly="1" outline="0" fieldPosition="0">
        <references count="5">
          <reference field="0" count="1" selected="0">
            <x v="3"/>
          </reference>
          <reference field="1" count="0" selected="0"/>
          <reference field="2" count="1" selected="0">
            <x v="1110"/>
          </reference>
          <reference field="3" count="1" selected="0">
            <x v="193"/>
          </reference>
          <reference field="4" count="1">
            <x v="189"/>
          </reference>
        </references>
      </pivotArea>
    </format>
    <format dxfId="310">
      <pivotArea dataOnly="0" labelOnly="1" outline="0" fieldPosition="0">
        <references count="5">
          <reference field="0" count="1" selected="0">
            <x v="3"/>
          </reference>
          <reference field="1" count="0" selected="0"/>
          <reference field="2" count="1" selected="0">
            <x v="1111"/>
          </reference>
          <reference field="3" count="1" selected="0">
            <x v="92"/>
          </reference>
          <reference field="4" count="1">
            <x v="93"/>
          </reference>
        </references>
      </pivotArea>
    </format>
    <format dxfId="309">
      <pivotArea dataOnly="0" labelOnly="1" outline="0" fieldPosition="0">
        <references count="5">
          <reference field="0" count="1" selected="0">
            <x v="4"/>
          </reference>
          <reference field="1" count="0" selected="0"/>
          <reference field="2" count="1" selected="0">
            <x v="1052"/>
          </reference>
          <reference field="3" count="1" selected="0">
            <x v="171"/>
          </reference>
          <reference field="4" count="1">
            <x v="167"/>
          </reference>
        </references>
      </pivotArea>
    </format>
    <format dxfId="308">
      <pivotArea dataOnly="0" labelOnly="1" outline="0" fieldPosition="0">
        <references count="5">
          <reference field="0" count="1" selected="0">
            <x v="4"/>
          </reference>
          <reference field="1" count="0" selected="0"/>
          <reference field="2" count="1" selected="0">
            <x v="1064"/>
          </reference>
          <reference field="3" count="1" selected="0">
            <x v="66"/>
          </reference>
          <reference field="4" count="1">
            <x v="54"/>
          </reference>
        </references>
      </pivotArea>
    </format>
    <format dxfId="307">
      <pivotArea dataOnly="0" labelOnly="1" outline="0" fieldPosition="0">
        <references count="5">
          <reference field="0" count="1" selected="0">
            <x v="4"/>
          </reference>
          <reference field="1" count="0" selected="0"/>
          <reference field="2" count="1" selected="0">
            <x v="1074"/>
          </reference>
          <reference field="3" count="1" selected="0">
            <x v="17"/>
          </reference>
          <reference field="4" count="1">
            <x v="33"/>
          </reference>
        </references>
      </pivotArea>
    </format>
    <format dxfId="306">
      <pivotArea dataOnly="0" labelOnly="1" outline="0" fieldPosition="0">
        <references count="5">
          <reference field="0" count="1" selected="0">
            <x v="4"/>
          </reference>
          <reference field="1" count="0" selected="0"/>
          <reference field="2" count="1" selected="0">
            <x v="1105"/>
          </reference>
          <reference field="3" count="1" selected="0">
            <x v="18"/>
          </reference>
          <reference field="4" count="1">
            <x v="39"/>
          </reference>
        </references>
      </pivotArea>
    </format>
    <format dxfId="305">
      <pivotArea dataOnly="0" labelOnly="1" outline="0" fieldPosition="0">
        <references count="5">
          <reference field="0" count="1" selected="0">
            <x v="4"/>
          </reference>
          <reference field="1" count="0" selected="0"/>
          <reference field="2" count="1" selected="0">
            <x v="1113"/>
          </reference>
          <reference field="3" count="1" selected="0">
            <x v="17"/>
          </reference>
          <reference field="4" count="1">
            <x v="33"/>
          </reference>
        </references>
      </pivotArea>
    </format>
    <format dxfId="304">
      <pivotArea dataOnly="0" labelOnly="1" outline="0" fieldPosition="0">
        <references count="5">
          <reference field="0" count="1" selected="0">
            <x v="5"/>
          </reference>
          <reference field="1" count="0" selected="0"/>
          <reference field="2" count="1" selected="0">
            <x v="1062"/>
          </reference>
          <reference field="3" count="1" selected="0">
            <x v="184"/>
          </reference>
          <reference field="4" count="1">
            <x v="180"/>
          </reference>
        </references>
      </pivotArea>
    </format>
    <format dxfId="303">
      <pivotArea dataOnly="0" labelOnly="1" outline="0" fieldPosition="0">
        <references count="5">
          <reference field="0" count="1" selected="0">
            <x v="5"/>
          </reference>
          <reference field="1" count="0" selected="0"/>
          <reference field="2" count="1" selected="0">
            <x v="1070"/>
          </reference>
          <reference field="3" count="1" selected="0">
            <x v="17"/>
          </reference>
          <reference field="4" count="1">
            <x v="33"/>
          </reference>
        </references>
      </pivotArea>
    </format>
    <format dxfId="302">
      <pivotArea dataOnly="0" labelOnly="1" outline="0" fieldPosition="0">
        <references count="5">
          <reference field="0" count="1" selected="0">
            <x v="5"/>
          </reference>
          <reference field="1" count="0" selected="0"/>
          <reference field="2" count="1" selected="0">
            <x v="1081"/>
          </reference>
          <reference field="3" count="1" selected="0">
            <x v="24"/>
          </reference>
          <reference field="4" count="1">
            <x v="36"/>
          </reference>
        </references>
      </pivotArea>
    </format>
    <format dxfId="301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2" count="1" selected="0">
            <x v="1057"/>
          </reference>
          <reference field="3" count="1" selected="0">
            <x v="129"/>
          </reference>
          <reference field="4" count="1" selected="0">
            <x v="126"/>
          </reference>
          <reference field="5" count="1">
            <x v="8"/>
          </reference>
        </references>
      </pivotArea>
    </format>
    <format dxfId="300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2" count="1" selected="0">
            <x v="1065"/>
          </reference>
          <reference field="3" count="1" selected="0">
            <x v="66"/>
          </reference>
          <reference field="4" count="1" selected="0">
            <x v="54"/>
          </reference>
          <reference field="5" count="1">
            <x v="2"/>
          </reference>
        </references>
      </pivotArea>
    </format>
    <format dxfId="299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2" count="1" selected="0">
            <x v="1071"/>
          </reference>
          <reference field="3" count="1" selected="0">
            <x v="92"/>
          </reference>
          <reference field="4" count="1" selected="0">
            <x v="93"/>
          </reference>
          <reference field="5" count="1">
            <x v="7"/>
          </reference>
        </references>
      </pivotArea>
    </format>
    <format dxfId="298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2" count="1" selected="0">
            <x v="1051"/>
          </reference>
          <reference field="3" count="1" selected="0">
            <x v="24"/>
          </reference>
          <reference field="4" count="1" selected="0">
            <x v="36"/>
          </reference>
          <reference field="5" count="1">
            <x v="10"/>
          </reference>
        </references>
      </pivotArea>
    </format>
    <format dxfId="297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2" count="1" selected="0">
            <x v="792"/>
          </reference>
          <reference field="3" count="1" selected="0">
            <x v="131"/>
          </reference>
          <reference field="4" count="1" selected="0">
            <x v="128"/>
          </reference>
          <reference field="5" count="1">
            <x v="7"/>
          </reference>
        </references>
      </pivotArea>
    </format>
    <format dxfId="296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2" count="1" selected="0">
            <x v="1043"/>
          </reference>
          <reference field="3" count="1" selected="0">
            <x v="24"/>
          </reference>
          <reference field="4" count="1" selected="0">
            <x v="36"/>
          </reference>
          <reference field="5" count="1">
            <x v="10"/>
          </reference>
        </references>
      </pivotArea>
    </format>
    <format dxfId="295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2" count="1" selected="0">
            <x v="1080"/>
          </reference>
          <reference field="3" count="1" selected="0">
            <x v="184"/>
          </reference>
          <reference field="4" count="1" selected="0">
            <x v="180"/>
          </reference>
          <reference field="5" count="1">
            <x v="7"/>
          </reference>
        </references>
      </pivotArea>
    </format>
    <format dxfId="294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2" count="1" selected="0">
            <x v="1104"/>
          </reference>
          <reference field="3" count="1" selected="0">
            <x v="192"/>
          </reference>
          <reference field="4" count="1" selected="0">
            <x v="188"/>
          </reference>
          <reference field="5" count="1">
            <x v="8"/>
          </reference>
        </references>
      </pivotArea>
    </format>
    <format dxfId="293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2" count="1" selected="0">
            <x v="1056"/>
          </reference>
          <reference field="3" count="1" selected="0">
            <x v="130"/>
          </reference>
          <reference field="4" count="1" selected="0">
            <x v="127"/>
          </reference>
          <reference field="5" count="1">
            <x v="10"/>
          </reference>
        </references>
      </pivotArea>
    </format>
    <format dxfId="292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2" count="1" selected="0">
            <x v="1063"/>
          </reference>
          <reference field="3" count="1" selected="0">
            <x v="184"/>
          </reference>
          <reference field="4" count="1" selected="0">
            <x v="180"/>
          </reference>
          <reference field="5" count="1">
            <x v="2"/>
          </reference>
        </references>
      </pivotArea>
    </format>
    <format dxfId="291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2" count="1" selected="0">
            <x v="1073"/>
          </reference>
          <reference field="3" count="1" selected="0">
            <x v="17"/>
          </reference>
          <reference field="4" count="1" selected="0">
            <x v="33"/>
          </reference>
          <reference field="5" count="1">
            <x v="5"/>
          </reference>
        </references>
      </pivotArea>
    </format>
    <format dxfId="290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2" count="1" selected="0">
            <x v="1092"/>
          </reference>
          <reference field="3" count="1" selected="0">
            <x v="17"/>
          </reference>
          <reference field="4" count="1" selected="0">
            <x v="33"/>
          </reference>
          <reference field="5" count="1">
            <x v="7"/>
          </reference>
        </references>
      </pivotArea>
    </format>
    <format dxfId="289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2" count="1" selected="0">
            <x v="1064"/>
          </reference>
          <reference field="3" count="1" selected="0">
            <x v="66"/>
          </reference>
          <reference field="4" count="1" selected="0">
            <x v="54"/>
          </reference>
          <reference field="5" count="1">
            <x v="2"/>
          </reference>
        </references>
      </pivotArea>
    </format>
    <format dxfId="288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2" count="1" selected="0">
            <x v="1074"/>
          </reference>
          <reference field="3" count="1" selected="0">
            <x v="17"/>
          </reference>
          <reference field="4" count="1" selected="0">
            <x v="33"/>
          </reference>
          <reference field="5" count="1">
            <x v="5"/>
          </reference>
        </references>
      </pivotArea>
    </format>
    <format dxfId="287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2" count="1" selected="0">
            <x v="1105"/>
          </reference>
          <reference field="3" count="1" selected="0">
            <x v="18"/>
          </reference>
          <reference field="4" count="1" selected="0">
            <x v="39"/>
          </reference>
          <reference field="5" count="1">
            <x v="7"/>
          </reference>
        </references>
      </pivotArea>
    </format>
    <format dxfId="286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2" count="1" selected="0">
            <x v="1106"/>
          </reference>
          <reference field="3" count="1" selected="0">
            <x v="18"/>
          </reference>
          <reference field="4" count="1" selected="0">
            <x v="39"/>
          </reference>
          <reference field="5" count="1">
            <x v="5"/>
          </reference>
        </references>
      </pivotArea>
    </format>
    <format dxfId="285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2" count="1" selected="0">
            <x v="1062"/>
          </reference>
          <reference field="3" count="1" selected="0">
            <x v="184"/>
          </reference>
          <reference field="4" count="1" selected="0">
            <x v="180"/>
          </reference>
          <reference field="5" count="1">
            <x v="2"/>
          </reference>
        </references>
      </pivotArea>
    </format>
    <format dxfId="284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2" count="1" selected="0">
            <x v="1070"/>
          </reference>
          <reference field="3" count="1" selected="0">
            <x v="17"/>
          </reference>
          <reference field="4" count="1" selected="0">
            <x v="33"/>
          </reference>
          <reference field="5" count="1">
            <x v="7"/>
          </reference>
        </references>
      </pivotArea>
    </format>
    <format dxfId="283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2" count="1" selected="0">
            <x v="1081"/>
          </reference>
          <reference field="3" count="1" selected="0">
            <x v="24"/>
          </reference>
          <reference field="4" count="1" selected="0">
            <x v="36"/>
          </reference>
          <reference field="5" count="1">
            <x v="10"/>
          </reference>
        </references>
      </pivotArea>
    </format>
    <format dxfId="282">
      <pivotArea dataOnly="0" labelOnly="1" outline="0" fieldPosition="0">
        <references count="7">
          <reference field="0" count="1" selected="0">
            <x v="0"/>
          </reference>
          <reference field="1" count="0" selected="0"/>
          <reference field="2" count="1" selected="0">
            <x v="1057"/>
          </reference>
          <reference field="3" count="1" selected="0">
            <x v="129"/>
          </reference>
          <reference field="4" count="1" selected="0">
            <x v="126"/>
          </reference>
          <reference field="5" count="1" selected="0">
            <x v="8"/>
          </reference>
          <reference field="6" count="1">
            <x v="6"/>
          </reference>
        </references>
      </pivotArea>
    </format>
    <format dxfId="281">
      <pivotArea dataOnly="0" labelOnly="1" outline="0" fieldPosition="0">
        <references count="7">
          <reference field="0" count="1" selected="0">
            <x v="0"/>
          </reference>
          <reference field="1" count="0" selected="0"/>
          <reference field="2" count="1" selected="0">
            <x v="1071"/>
          </reference>
          <reference field="3" count="1" selected="0">
            <x v="92"/>
          </reference>
          <reference field="4" count="1" selected="0">
            <x v="93"/>
          </reference>
          <reference field="5" count="1" selected="0">
            <x v="7"/>
          </reference>
          <reference field="6" count="1">
            <x v="25"/>
          </reference>
        </references>
      </pivotArea>
    </format>
    <format dxfId="280">
      <pivotArea dataOnly="0" labelOnly="1" outline="0" fieldPosition="0">
        <references count="7">
          <reference field="0" count="1" selected="0">
            <x v="0"/>
          </reference>
          <reference field="1" count="0" selected="0"/>
          <reference field="2" count="1" selected="0">
            <x v="1093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7"/>
          </reference>
          <reference field="6" count="1">
            <x v="7"/>
          </reference>
        </references>
      </pivotArea>
    </format>
    <format dxfId="279">
      <pivotArea dataOnly="0" labelOnly="1" outline="0" fieldPosition="0">
        <references count="7">
          <reference field="0" count="1" selected="0">
            <x v="1"/>
          </reference>
          <reference field="1" count="0" selected="0"/>
          <reference field="2" count="1" selected="0">
            <x v="1051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>
            <x v="5"/>
          </reference>
        </references>
      </pivotArea>
    </format>
    <format dxfId="278">
      <pivotArea dataOnly="0" labelOnly="1" outline="0" fieldPosition="0">
        <references count="7">
          <reference field="0" count="1" selected="0">
            <x v="1"/>
          </reference>
          <reference field="1" count="0" selected="0"/>
          <reference field="2" count="1" selected="0">
            <x v="1054"/>
          </reference>
          <reference field="3" count="1" selected="0">
            <x v="0"/>
          </reference>
          <reference field="4" count="1" selected="0">
            <x v="18"/>
          </reference>
          <reference field="5" count="1" selected="0">
            <x v="10"/>
          </reference>
          <reference field="6" count="1">
            <x v="6"/>
          </reference>
        </references>
      </pivotArea>
    </format>
    <format dxfId="277">
      <pivotArea dataOnly="0" labelOnly="1" outline="0" fieldPosition="0">
        <references count="7">
          <reference field="0" count="1" selected="0">
            <x v="2"/>
          </reference>
          <reference field="1" count="0" selected="0"/>
          <reference field="2" count="1" selected="0">
            <x v="792"/>
          </reference>
          <reference field="3" count="1" selected="0">
            <x v="131"/>
          </reference>
          <reference field="4" count="1" selected="0">
            <x v="128"/>
          </reference>
          <reference field="5" count="1" selected="0">
            <x v="7"/>
          </reference>
          <reference field="6" count="1">
            <x v="0"/>
          </reference>
        </references>
      </pivotArea>
    </format>
    <format dxfId="276">
      <pivotArea dataOnly="0" labelOnly="1" outline="0" fieldPosition="0">
        <references count="7">
          <reference field="0" count="1" selected="0">
            <x v="2"/>
          </reference>
          <reference field="1" count="0" selected="0"/>
          <reference field="2" count="1" selected="0">
            <x v="1043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>
            <x v="7"/>
          </reference>
        </references>
      </pivotArea>
    </format>
    <format dxfId="275">
      <pivotArea dataOnly="0" labelOnly="1" outline="0" fieldPosition="0">
        <references count="7">
          <reference field="0" count="1" selected="0">
            <x v="2"/>
          </reference>
          <reference field="1" count="0" selected="0"/>
          <reference field="2" count="1" selected="0">
            <x v="1080"/>
          </reference>
          <reference field="3" count="1" selected="0">
            <x v="184"/>
          </reference>
          <reference field="4" count="1" selected="0">
            <x v="180"/>
          </reference>
          <reference field="5" count="1" selected="0">
            <x v="7"/>
          </reference>
          <reference field="6" count="1">
            <x v="3"/>
          </reference>
        </references>
      </pivotArea>
    </format>
    <format dxfId="274">
      <pivotArea dataOnly="0" labelOnly="1" outline="0" fieldPosition="0">
        <references count="7">
          <reference field="0" count="1" selected="0">
            <x v="2"/>
          </reference>
          <reference field="1" count="0" selected="0"/>
          <reference field="2" count="1" selected="0">
            <x v="1104"/>
          </reference>
          <reference field="3" count="1" selected="0">
            <x v="192"/>
          </reference>
          <reference field="4" count="1" selected="0">
            <x v="188"/>
          </reference>
          <reference field="5" count="1" selected="0">
            <x v="8"/>
          </reference>
          <reference field="6" count="1">
            <x v="7"/>
          </reference>
        </references>
      </pivotArea>
    </format>
    <format dxfId="273">
      <pivotArea dataOnly="0" labelOnly="1" outline="0" fieldPosition="0">
        <references count="7">
          <reference field="0" count="1" selected="0">
            <x v="3"/>
          </reference>
          <reference field="1" count="0" selected="0"/>
          <reference field="2" count="1" selected="0">
            <x v="1056"/>
          </reference>
          <reference field="3" count="1" selected="0">
            <x v="130"/>
          </reference>
          <reference field="4" count="1" selected="0">
            <x v="127"/>
          </reference>
          <reference field="5" count="1" selected="0">
            <x v="10"/>
          </reference>
          <reference field="6" count="1">
            <x v="23"/>
          </reference>
        </references>
      </pivotArea>
    </format>
    <format dxfId="272">
      <pivotArea dataOnly="0" labelOnly="1" outline="0" fieldPosition="0">
        <references count="7">
          <reference field="0" count="1" selected="0">
            <x v="3"/>
          </reference>
          <reference field="1" count="0" selected="0"/>
          <reference field="2" count="1" selected="0">
            <x v="1063"/>
          </reference>
          <reference field="3" count="1" selected="0">
            <x v="184"/>
          </reference>
          <reference field="4" count="1" selected="0">
            <x v="180"/>
          </reference>
          <reference field="5" count="1" selected="0">
            <x v="2"/>
          </reference>
          <reference field="6" count="1">
            <x v="3"/>
          </reference>
        </references>
      </pivotArea>
    </format>
    <format dxfId="271">
      <pivotArea dataOnly="0" labelOnly="1" outline="0" fieldPosition="0">
        <references count="7">
          <reference field="0" count="1" selected="0">
            <x v="3"/>
          </reference>
          <reference field="1" count="0" selected="0"/>
          <reference field="2" count="1" selected="0">
            <x v="1073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5"/>
          </reference>
          <reference field="6" count="1">
            <x v="4"/>
          </reference>
        </references>
      </pivotArea>
    </format>
    <format dxfId="270">
      <pivotArea dataOnly="0" labelOnly="1" outline="0" fieldPosition="0">
        <references count="7">
          <reference field="0" count="1" selected="0">
            <x v="3"/>
          </reference>
          <reference field="1" count="0" selected="0"/>
          <reference field="2" count="1" selected="0">
            <x v="1092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7"/>
          </reference>
          <reference field="6" count="1">
            <x v="23"/>
          </reference>
        </references>
      </pivotArea>
    </format>
    <format dxfId="269">
      <pivotArea dataOnly="0" labelOnly="1" outline="0" fieldPosition="0">
        <references count="7">
          <reference field="0" count="1" selected="0">
            <x v="3"/>
          </reference>
          <reference field="1" count="0" selected="0"/>
          <reference field="2" count="1" selected="0">
            <x v="1109"/>
          </reference>
          <reference field="3" count="1" selected="0">
            <x v="93"/>
          </reference>
          <reference field="4" count="1" selected="0">
            <x v="94"/>
          </reference>
          <reference field="5" count="1" selected="0">
            <x v="7"/>
          </reference>
          <reference field="6" count="1">
            <x v="2"/>
          </reference>
        </references>
      </pivotArea>
    </format>
    <format dxfId="268">
      <pivotArea dataOnly="0" labelOnly="1" outline="0" fieldPosition="0">
        <references count="7">
          <reference field="0" count="1" selected="0">
            <x v="4"/>
          </reference>
          <reference field="1" count="0" selected="0"/>
          <reference field="2" count="1" selected="0">
            <x v="1052"/>
          </reference>
          <reference field="3" count="1" selected="0">
            <x v="171"/>
          </reference>
          <reference field="4" count="1" selected="0">
            <x v="167"/>
          </reference>
          <reference field="5" count="1" selected="0">
            <x v="7"/>
          </reference>
          <reference field="6" count="1">
            <x v="6"/>
          </reference>
        </references>
      </pivotArea>
    </format>
    <format dxfId="267">
      <pivotArea dataOnly="0" labelOnly="1" outline="0" fieldPosition="0">
        <references count="7">
          <reference field="0" count="1" selected="0">
            <x v="4"/>
          </reference>
          <reference field="1" count="0" selected="0"/>
          <reference field="2" count="1" selected="0">
            <x v="1064"/>
          </reference>
          <reference field="3" count="1" selected="0">
            <x v="66"/>
          </reference>
          <reference field="4" count="1" selected="0">
            <x v="54"/>
          </reference>
          <reference field="5" count="1" selected="0">
            <x v="2"/>
          </reference>
          <reference field="6" count="1">
            <x v="5"/>
          </reference>
        </references>
      </pivotArea>
    </format>
    <format dxfId="266">
      <pivotArea dataOnly="0" labelOnly="1" outline="0" fieldPosition="0">
        <references count="7">
          <reference field="0" count="1" selected="0">
            <x v="4"/>
          </reference>
          <reference field="1" count="0" selected="0"/>
          <reference field="2" count="1" selected="0">
            <x v="1074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5"/>
          </reference>
          <reference field="6" count="1">
            <x v="22"/>
          </reference>
        </references>
      </pivotArea>
    </format>
    <format dxfId="265">
      <pivotArea dataOnly="0" labelOnly="1" outline="0" fieldPosition="0">
        <references count="7">
          <reference field="0" count="1" selected="0">
            <x v="4"/>
          </reference>
          <reference field="1" count="0" selected="0"/>
          <reference field="2" count="1" selected="0">
            <x v="1105"/>
          </reference>
          <reference field="3" count="1" selected="0">
            <x v="18"/>
          </reference>
          <reference field="4" count="1" selected="0">
            <x v="39"/>
          </reference>
          <reference field="5" count="1" selected="0">
            <x v="7"/>
          </reference>
          <reference field="6" count="1">
            <x v="2"/>
          </reference>
        </references>
      </pivotArea>
    </format>
    <format dxfId="264">
      <pivotArea dataOnly="0" labelOnly="1" outline="0" fieldPosition="0">
        <references count="7">
          <reference field="0" count="1" selected="0">
            <x v="4"/>
          </reference>
          <reference field="1" count="0" selected="0"/>
          <reference field="2" count="1" selected="0">
            <x v="1113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5"/>
          </reference>
          <reference field="6" count="1">
            <x v="5"/>
          </reference>
        </references>
      </pivotArea>
    </format>
    <format dxfId="263">
      <pivotArea dataOnly="0" labelOnly="1" outline="0" fieldPosition="0">
        <references count="7">
          <reference field="0" count="1" selected="0">
            <x v="5"/>
          </reference>
          <reference field="1" count="0" selected="0"/>
          <reference field="2" count="1" selected="0">
            <x v="1062"/>
          </reference>
          <reference field="3" count="1" selected="0">
            <x v="184"/>
          </reference>
          <reference field="4" count="1" selected="0">
            <x v="180"/>
          </reference>
          <reference field="5" count="1" selected="0">
            <x v="2"/>
          </reference>
          <reference field="6" count="1">
            <x v="3"/>
          </reference>
        </references>
      </pivotArea>
    </format>
    <format dxfId="262">
      <pivotArea dataOnly="0" labelOnly="1" outline="0" fieldPosition="0">
        <references count="7">
          <reference field="0" count="1" selected="0">
            <x v="5"/>
          </reference>
          <reference field="1" count="0" selected="0"/>
          <reference field="2" count="1" selected="0">
            <x v="1070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7"/>
          </reference>
          <reference field="6" count="1">
            <x v="4"/>
          </reference>
        </references>
      </pivotArea>
    </format>
    <format dxfId="261">
      <pivotArea dataOnly="0" labelOnly="1" outline="0" fieldPosition="0">
        <references count="7">
          <reference field="0" count="1" selected="0">
            <x v="5"/>
          </reference>
          <reference field="1" count="0" selected="0"/>
          <reference field="2" count="1" selected="0">
            <x v="1081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>
            <x v="14"/>
          </reference>
        </references>
      </pivotArea>
    </format>
    <format dxfId="260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57"/>
          </reference>
          <reference field="3" count="1" selected="0">
            <x v="129"/>
          </reference>
          <reference field="4" count="1" selected="0">
            <x v="126"/>
          </reference>
          <reference field="5" count="1" selected="0">
            <x v="8"/>
          </reference>
          <reference field="6" count="1" selected="0">
            <x v="6"/>
          </reference>
          <reference field="7" count="1">
            <x v="20"/>
          </reference>
        </references>
      </pivotArea>
    </format>
    <format dxfId="259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58"/>
          </reference>
          <reference field="3" count="1" selected="0">
            <x v="129"/>
          </reference>
          <reference field="4" count="1" selected="0">
            <x v="126"/>
          </reference>
          <reference field="5" count="1" selected="0">
            <x v="8"/>
          </reference>
          <reference field="6" count="1" selected="0">
            <x v="6"/>
          </reference>
          <reference field="7" count="1">
            <x v="20"/>
          </reference>
        </references>
      </pivotArea>
    </format>
    <format dxfId="258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59"/>
          </reference>
          <reference field="3" count="1" selected="0">
            <x v="129"/>
          </reference>
          <reference field="4" count="1" selected="0">
            <x v="126"/>
          </reference>
          <reference field="5" count="1" selected="0">
            <x v="8"/>
          </reference>
          <reference field="6" count="1" selected="0">
            <x v="6"/>
          </reference>
          <reference field="7" count="1">
            <x v="20"/>
          </reference>
        </references>
      </pivotArea>
    </format>
    <format dxfId="257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60"/>
          </reference>
          <reference field="3" count="1" selected="0">
            <x v="129"/>
          </reference>
          <reference field="4" count="1" selected="0">
            <x v="126"/>
          </reference>
          <reference field="5" count="1" selected="0">
            <x v="8"/>
          </reference>
          <reference field="6" count="1" selected="0">
            <x v="6"/>
          </reference>
          <reference field="7" count="1">
            <x v="20"/>
          </reference>
        </references>
      </pivotArea>
    </format>
    <format dxfId="256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61"/>
          </reference>
          <reference field="3" count="1" selected="0">
            <x v="129"/>
          </reference>
          <reference field="4" count="1" selected="0">
            <x v="126"/>
          </reference>
          <reference field="5" count="1" selected="0">
            <x v="8"/>
          </reference>
          <reference field="6" count="1" selected="0">
            <x v="6"/>
          </reference>
          <reference field="7" count="1">
            <x v="20"/>
          </reference>
        </references>
      </pivotArea>
    </format>
    <format dxfId="255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65"/>
          </reference>
          <reference field="3" count="1" selected="0">
            <x v="66"/>
          </reference>
          <reference field="4" count="1" selected="0">
            <x v="54"/>
          </reference>
          <reference field="5" count="1" selected="0">
            <x v="2"/>
          </reference>
          <reference field="6" count="1" selected="0">
            <x v="6"/>
          </reference>
          <reference field="7" count="1">
            <x v="20"/>
          </reference>
        </references>
      </pivotArea>
    </format>
    <format dxfId="254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66"/>
          </reference>
          <reference field="3" count="1" selected="0">
            <x v="66"/>
          </reference>
          <reference field="4" count="1" selected="0">
            <x v="54"/>
          </reference>
          <reference field="5" count="1" selected="0">
            <x v="2"/>
          </reference>
          <reference field="6" count="1" selected="0">
            <x v="6"/>
          </reference>
          <reference field="7" count="1">
            <x v="20"/>
          </reference>
        </references>
      </pivotArea>
    </format>
    <format dxfId="253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67"/>
          </reference>
          <reference field="3" count="1" selected="0">
            <x v="66"/>
          </reference>
          <reference field="4" count="1" selected="0">
            <x v="54"/>
          </reference>
          <reference field="5" count="1" selected="0">
            <x v="2"/>
          </reference>
          <reference field="6" count="1" selected="0">
            <x v="6"/>
          </reference>
          <reference field="7" count="1">
            <x v="20"/>
          </reference>
        </references>
      </pivotArea>
    </format>
    <format dxfId="252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68"/>
          </reference>
          <reference field="3" count="1" selected="0">
            <x v="66"/>
          </reference>
          <reference field="4" count="1" selected="0">
            <x v="54"/>
          </reference>
          <reference field="5" count="1" selected="0">
            <x v="2"/>
          </reference>
          <reference field="6" count="1" selected="0">
            <x v="6"/>
          </reference>
          <reference field="7" count="1">
            <x v="20"/>
          </reference>
        </references>
      </pivotArea>
    </format>
    <format dxfId="251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69"/>
          </reference>
          <reference field="3" count="1" selected="0">
            <x v="66"/>
          </reference>
          <reference field="4" count="1" selected="0">
            <x v="54"/>
          </reference>
          <reference field="5" count="1" selected="0">
            <x v="2"/>
          </reference>
          <reference field="6" count="1" selected="0">
            <x v="6"/>
          </reference>
          <reference field="7" count="1">
            <x v="20"/>
          </reference>
        </references>
      </pivotArea>
    </format>
    <format dxfId="250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71"/>
          </reference>
          <reference field="3" count="1" selected="0">
            <x v="92"/>
          </reference>
          <reference field="4" count="1" selected="0">
            <x v="93"/>
          </reference>
          <reference field="5" count="1" selected="0">
            <x v="7"/>
          </reference>
          <reference field="6" count="1" selected="0">
            <x v="25"/>
          </reference>
          <reference field="7" count="1">
            <x v="17"/>
          </reference>
        </references>
      </pivotArea>
    </format>
    <format dxfId="249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72"/>
          </reference>
          <reference field="3" count="1" selected="0">
            <x v="92"/>
          </reference>
          <reference field="4" count="1" selected="0">
            <x v="93"/>
          </reference>
          <reference field="5" count="1" selected="0">
            <x v="7"/>
          </reference>
          <reference field="6" count="1" selected="0">
            <x v="25"/>
          </reference>
          <reference field="7" count="1">
            <x v="17"/>
          </reference>
        </references>
      </pivotArea>
    </format>
    <format dxfId="248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93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7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47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94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7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46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95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7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45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96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7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44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97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7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43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98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7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42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099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7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41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100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7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40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101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7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39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102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7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38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103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7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37">
      <pivotArea dataOnly="0" labelOnly="1" outline="0" fieldPosition="0">
        <references count="8">
          <reference field="0" count="1" selected="0">
            <x v="1"/>
          </reference>
          <reference field="1" count="0" selected="0"/>
          <reference field="2" count="1" selected="0">
            <x v="1051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5"/>
          </reference>
          <reference field="7" count="1">
            <x v="17"/>
          </reference>
        </references>
      </pivotArea>
    </format>
    <format dxfId="236">
      <pivotArea dataOnly="0" labelOnly="1" outline="0" fieldPosition="0">
        <references count="8">
          <reference field="0" count="1" selected="0">
            <x v="1"/>
          </reference>
          <reference field="1" count="0" selected="0"/>
          <reference field="2" count="1" selected="0">
            <x v="1054"/>
          </reference>
          <reference field="3" count="1" selected="0">
            <x v="0"/>
          </reference>
          <reference field="4" count="1" selected="0">
            <x v="18"/>
          </reference>
          <reference field="5" count="1" selected="0">
            <x v="10"/>
          </reference>
          <reference field="6" count="1" selected="0">
            <x v="6"/>
          </reference>
          <reference field="7" count="1">
            <x v="6"/>
          </reference>
        </references>
      </pivotArea>
    </format>
    <format dxfId="235">
      <pivotArea dataOnly="0" labelOnly="1" outline="0" fieldPosition="0">
        <references count="8">
          <reference field="0" count="1" selected="0">
            <x v="1"/>
          </reference>
          <reference field="1" count="0" selected="0"/>
          <reference field="2" count="1" selected="0">
            <x v="1055"/>
          </reference>
          <reference field="3" count="1" selected="0">
            <x v="0"/>
          </reference>
          <reference field="4" count="1" selected="0">
            <x v="18"/>
          </reference>
          <reference field="5" count="1" selected="0">
            <x v="10"/>
          </reference>
          <reference field="6" count="1" selected="0">
            <x v="6"/>
          </reference>
          <reference field="7" count="1">
            <x v="6"/>
          </reference>
        </references>
      </pivotArea>
    </format>
    <format dxfId="234">
      <pivotArea dataOnly="0" labelOnly="1" outline="0" fieldPosition="0">
        <references count="8">
          <reference field="0" count="1" selected="0">
            <x v="2"/>
          </reference>
          <reference field="1" count="0" selected="0"/>
          <reference field="2" count="1" selected="0">
            <x v="792"/>
          </reference>
          <reference field="3" count="1" selected="0">
            <x v="131"/>
          </reference>
          <reference field="4" count="1" selected="0">
            <x v="128"/>
          </reference>
          <reference field="5" count="1" selected="0">
            <x v="7"/>
          </reference>
          <reference field="6" count="1" selected="0">
            <x v="0"/>
          </reference>
          <reference field="7" count="1">
            <x v="4"/>
          </reference>
        </references>
      </pivotArea>
    </format>
    <format dxfId="233">
      <pivotArea dataOnly="0" labelOnly="1" outline="0" fieldPosition="0">
        <references count="8">
          <reference field="0" count="1" selected="0">
            <x v="2"/>
          </reference>
          <reference field="1" count="0" selected="0"/>
          <reference field="2" count="1" selected="0">
            <x v="793"/>
          </reference>
          <reference field="3" count="1" selected="0">
            <x v="131"/>
          </reference>
          <reference field="4" count="1" selected="0">
            <x v="128"/>
          </reference>
          <reference field="5" count="1" selected="0">
            <x v="7"/>
          </reference>
          <reference field="6" count="1" selected="0">
            <x v="0"/>
          </reference>
          <reference field="7" count="1">
            <x v="4"/>
          </reference>
        </references>
      </pivotArea>
    </format>
    <format dxfId="232">
      <pivotArea dataOnly="0" labelOnly="1" outline="0" fieldPosition="0">
        <references count="8">
          <reference field="0" count="1" selected="0">
            <x v="2"/>
          </reference>
          <reference field="1" count="0" selected="0"/>
          <reference field="2" count="1" selected="0">
            <x v="1043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31">
      <pivotArea dataOnly="0" labelOnly="1" outline="0" fieldPosition="0">
        <references count="8">
          <reference field="0" count="1" selected="0">
            <x v="2"/>
          </reference>
          <reference field="1" count="0" selected="0"/>
          <reference field="2" count="1" selected="0">
            <x v="1075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30">
      <pivotArea dataOnly="0" labelOnly="1" outline="0" fieldPosition="0">
        <references count="8">
          <reference field="0" count="1" selected="0">
            <x v="2"/>
          </reference>
          <reference field="1" count="0" selected="0"/>
          <reference field="2" count="1" selected="0">
            <x v="1076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29">
      <pivotArea dataOnly="0" labelOnly="1" outline="0" fieldPosition="0">
        <references count="8">
          <reference field="0" count="1" selected="0">
            <x v="2"/>
          </reference>
          <reference field="1" count="0" selected="0"/>
          <reference field="2" count="1" selected="0">
            <x v="1077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28">
      <pivotArea dataOnly="0" labelOnly="1" outline="0" fieldPosition="0">
        <references count="8">
          <reference field="0" count="1" selected="0">
            <x v="2"/>
          </reference>
          <reference field="1" count="0" selected="0"/>
          <reference field="2" count="1" selected="0">
            <x v="1078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27">
      <pivotArea dataOnly="0" labelOnly="1" outline="0" fieldPosition="0">
        <references count="8">
          <reference field="0" count="1" selected="0">
            <x v="2"/>
          </reference>
          <reference field="1" count="0" selected="0"/>
          <reference field="2" count="1" selected="0">
            <x v="1079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26">
      <pivotArea dataOnly="0" labelOnly="1" outline="0" fieldPosition="0">
        <references count="8">
          <reference field="0" count="1" selected="0">
            <x v="2"/>
          </reference>
          <reference field="1" count="0" selected="0"/>
          <reference field="2" count="1" selected="0">
            <x v="1080"/>
          </reference>
          <reference field="3" count="1" selected="0">
            <x v="184"/>
          </reference>
          <reference field="4" count="1" selected="0">
            <x v="180"/>
          </reference>
          <reference field="5" count="1" selected="0">
            <x v="7"/>
          </reference>
          <reference field="6" count="1" selected="0">
            <x v="3"/>
          </reference>
          <reference field="7" count="1">
            <x v="43"/>
          </reference>
        </references>
      </pivotArea>
    </format>
    <format dxfId="225">
      <pivotArea dataOnly="0" labelOnly="1" outline="0" fieldPosition="0">
        <references count="8">
          <reference field="0" count="1" selected="0">
            <x v="2"/>
          </reference>
          <reference field="1" count="0" selected="0"/>
          <reference field="2" count="1" selected="0">
            <x v="1104"/>
          </reference>
          <reference field="3" count="1" selected="0">
            <x v="192"/>
          </reference>
          <reference field="4" count="1" selected="0">
            <x v="188"/>
          </reference>
          <reference field="5" count="1" selected="0">
            <x v="8"/>
          </reference>
          <reference field="6" count="1" selected="0">
            <x v="7"/>
          </reference>
          <reference field="7" count="1">
            <x v="4"/>
          </reference>
        </references>
      </pivotArea>
    </format>
    <format dxfId="224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056"/>
          </reference>
          <reference field="3" count="1" selected="0">
            <x v="130"/>
          </reference>
          <reference field="4" count="1" selected="0">
            <x v="127"/>
          </reference>
          <reference field="5" count="1" selected="0">
            <x v="10"/>
          </reference>
          <reference field="6" count="1" selected="0">
            <x v="23"/>
          </reference>
          <reference field="7" count="1">
            <x v="6"/>
          </reference>
        </references>
      </pivotArea>
    </format>
    <format dxfId="223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063"/>
          </reference>
          <reference field="3" count="1" selected="0">
            <x v="184"/>
          </reference>
          <reference field="4" count="1" selected="0">
            <x v="180"/>
          </reference>
          <reference field="5" count="1" selected="0">
            <x v="2"/>
          </reference>
          <reference field="6" count="1" selected="0">
            <x v="3"/>
          </reference>
          <reference field="7" count="1">
            <x v="6"/>
          </reference>
        </references>
      </pivotArea>
    </format>
    <format dxfId="222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073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5"/>
          </reference>
          <reference field="6" count="1" selected="0">
            <x v="4"/>
          </reference>
          <reference field="7" count="1">
            <x v="8"/>
          </reference>
        </references>
      </pivotArea>
    </format>
    <format dxfId="221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092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7"/>
          </reference>
          <reference field="6" count="1" selected="0">
            <x v="23"/>
          </reference>
          <reference field="7" count="1">
            <x v="6"/>
          </reference>
        </references>
      </pivotArea>
    </format>
    <format dxfId="220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109"/>
          </reference>
          <reference field="3" count="1" selected="0">
            <x v="93"/>
          </reference>
          <reference field="4" count="1" selected="0">
            <x v="94"/>
          </reference>
          <reference field="5" count="1" selected="0">
            <x v="7"/>
          </reference>
          <reference field="6" count="1" selected="0">
            <x v="2"/>
          </reference>
          <reference field="7" count="1">
            <x v="17"/>
          </reference>
        </references>
      </pivotArea>
    </format>
    <format dxfId="219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110"/>
          </reference>
          <reference field="3" count="1" selected="0">
            <x v="193"/>
          </reference>
          <reference field="4" count="1" selected="0">
            <x v="189"/>
          </reference>
          <reference field="5" count="1" selected="0">
            <x v="7"/>
          </reference>
          <reference field="6" count="1" selected="0">
            <x v="2"/>
          </reference>
          <reference field="7" count="1">
            <x v="17"/>
          </reference>
        </references>
      </pivotArea>
    </format>
    <format dxfId="218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111"/>
          </reference>
          <reference field="3" count="1" selected="0">
            <x v="92"/>
          </reference>
          <reference field="4" count="1" selected="0">
            <x v="93"/>
          </reference>
          <reference field="5" count="1" selected="0">
            <x v="7"/>
          </reference>
          <reference field="6" count="1" selected="0">
            <x v="2"/>
          </reference>
          <reference field="7" count="1">
            <x v="17"/>
          </reference>
        </references>
      </pivotArea>
    </format>
    <format dxfId="217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112"/>
          </reference>
          <reference field="3" count="1" selected="0">
            <x v="92"/>
          </reference>
          <reference field="4" count="1" selected="0">
            <x v="93"/>
          </reference>
          <reference field="5" count="1" selected="0">
            <x v="7"/>
          </reference>
          <reference field="6" count="1" selected="0">
            <x v="2"/>
          </reference>
          <reference field="7" count="1">
            <x v="17"/>
          </reference>
        </references>
      </pivotArea>
    </format>
    <format dxfId="216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052"/>
          </reference>
          <reference field="3" count="1" selected="0">
            <x v="171"/>
          </reference>
          <reference field="4" count="1" selected="0">
            <x v="167"/>
          </reference>
          <reference field="5" count="1" selected="0">
            <x v="7"/>
          </reference>
          <reference field="6" count="1" selected="0">
            <x v="6"/>
          </reference>
          <reference field="7" count="1">
            <x v="6"/>
          </reference>
        </references>
      </pivotArea>
    </format>
    <format dxfId="215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053"/>
          </reference>
          <reference field="3" count="1" selected="0">
            <x v="171"/>
          </reference>
          <reference field="4" count="1" selected="0">
            <x v="167"/>
          </reference>
          <reference field="5" count="1" selected="0">
            <x v="7"/>
          </reference>
          <reference field="6" count="1" selected="0">
            <x v="6"/>
          </reference>
          <reference field="7" count="1">
            <x v="6"/>
          </reference>
        </references>
      </pivotArea>
    </format>
    <format dxfId="214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064"/>
          </reference>
          <reference field="3" count="1" selected="0">
            <x v="66"/>
          </reference>
          <reference field="4" count="1" selected="0">
            <x v="54"/>
          </reference>
          <reference field="5" count="1" selected="0">
            <x v="2"/>
          </reference>
          <reference field="6" count="1" selected="0">
            <x v="5"/>
          </reference>
          <reference field="7" count="1">
            <x v="6"/>
          </reference>
        </references>
      </pivotArea>
    </format>
    <format dxfId="213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074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5"/>
          </reference>
          <reference field="6" count="1" selected="0">
            <x v="22"/>
          </reference>
          <reference field="7" count="1">
            <x v="6"/>
          </reference>
        </references>
      </pivotArea>
    </format>
    <format dxfId="212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105"/>
          </reference>
          <reference field="3" count="1" selected="0">
            <x v="18"/>
          </reference>
          <reference field="4" count="1" selected="0">
            <x v="39"/>
          </reference>
          <reference field="5" count="1" selected="0">
            <x v="7"/>
          </reference>
          <reference field="6" count="1" selected="0">
            <x v="2"/>
          </reference>
          <reference field="7" count="1">
            <x v="17"/>
          </reference>
        </references>
      </pivotArea>
    </format>
    <format dxfId="211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106"/>
          </reference>
          <reference field="3" count="1" selected="0">
            <x v="18"/>
          </reference>
          <reference field="4" count="1" selected="0">
            <x v="39"/>
          </reference>
          <reference field="5" count="1" selected="0">
            <x v="5"/>
          </reference>
          <reference field="6" count="1" selected="0">
            <x v="2"/>
          </reference>
          <reference field="7" count="1">
            <x v="17"/>
          </reference>
        </references>
      </pivotArea>
    </format>
    <format dxfId="210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107"/>
          </reference>
          <reference field="3" count="1" selected="0">
            <x v="18"/>
          </reference>
          <reference field="4" count="1" selected="0">
            <x v="39"/>
          </reference>
          <reference field="5" count="1" selected="0">
            <x v="5"/>
          </reference>
          <reference field="6" count="1" selected="0">
            <x v="2"/>
          </reference>
          <reference field="7" count="1">
            <x v="17"/>
          </reference>
        </references>
      </pivotArea>
    </format>
    <format dxfId="209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108"/>
          </reference>
          <reference field="3" count="1" selected="0">
            <x v="18"/>
          </reference>
          <reference field="4" count="1" selected="0">
            <x v="39"/>
          </reference>
          <reference field="5" count="1" selected="0">
            <x v="5"/>
          </reference>
          <reference field="6" count="1" selected="0">
            <x v="2"/>
          </reference>
          <reference field="7" count="1">
            <x v="17"/>
          </reference>
        </references>
      </pivotArea>
    </format>
    <format dxfId="208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113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5"/>
          </reference>
          <reference field="6" count="1" selected="0">
            <x v="5"/>
          </reference>
          <reference field="7" count="1">
            <x v="20"/>
          </reference>
        </references>
      </pivotArea>
    </format>
    <format dxfId="207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062"/>
          </reference>
          <reference field="3" count="1" selected="0">
            <x v="184"/>
          </reference>
          <reference field="4" count="1" selected="0">
            <x v="180"/>
          </reference>
          <reference field="5" count="1" selected="0">
            <x v="2"/>
          </reference>
          <reference field="6" count="1" selected="0">
            <x v="3"/>
          </reference>
          <reference field="7" count="1">
            <x v="6"/>
          </reference>
        </references>
      </pivotArea>
    </format>
    <format dxfId="206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070"/>
          </reference>
          <reference field="3" count="1" selected="0">
            <x v="17"/>
          </reference>
          <reference field="4" count="1" selected="0">
            <x v="33"/>
          </reference>
          <reference field="5" count="1" selected="0">
            <x v="7"/>
          </reference>
          <reference field="6" count="1" selected="0">
            <x v="4"/>
          </reference>
          <reference field="7" count="1">
            <x v="8"/>
          </reference>
        </references>
      </pivotArea>
    </format>
    <format dxfId="205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081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14"/>
          </reference>
          <reference field="7" count="1">
            <x v="22"/>
          </reference>
        </references>
      </pivotArea>
    </format>
    <format dxfId="204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082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14"/>
          </reference>
          <reference field="7" count="1">
            <x v="22"/>
          </reference>
        </references>
      </pivotArea>
    </format>
    <format dxfId="203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083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14"/>
          </reference>
          <reference field="7" count="1">
            <x v="22"/>
          </reference>
        </references>
      </pivotArea>
    </format>
    <format dxfId="202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084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14"/>
          </reference>
          <reference field="7" count="1">
            <x v="22"/>
          </reference>
        </references>
      </pivotArea>
    </format>
    <format dxfId="201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085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14"/>
          </reference>
          <reference field="7" count="1">
            <x v="22"/>
          </reference>
        </references>
      </pivotArea>
    </format>
    <format dxfId="200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086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14"/>
          </reference>
          <reference field="7" count="1">
            <x v="22"/>
          </reference>
        </references>
      </pivotArea>
    </format>
    <format dxfId="199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087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14"/>
          </reference>
          <reference field="7" count="1">
            <x v="22"/>
          </reference>
        </references>
      </pivotArea>
    </format>
    <format dxfId="198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088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14"/>
          </reference>
          <reference field="7" count="1">
            <x v="22"/>
          </reference>
        </references>
      </pivotArea>
    </format>
    <format dxfId="197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089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14"/>
          </reference>
          <reference field="7" count="1">
            <x v="22"/>
          </reference>
        </references>
      </pivotArea>
    </format>
    <format dxfId="196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090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14"/>
          </reference>
          <reference field="7" count="1">
            <x v="22"/>
          </reference>
        </references>
      </pivotArea>
    </format>
    <format dxfId="195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091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14"/>
          </reference>
          <reference field="7" count="1">
            <x v="22"/>
          </reference>
        </references>
      </pivotArea>
    </format>
    <format dxfId="194">
      <pivotArea dataOnly="0" labelOnly="1" outline="0" fieldPosition="0">
        <references count="1">
          <reference field="0" count="6">
            <x v="0"/>
            <x v="1"/>
            <x v="2"/>
            <x v="3"/>
            <x v="4"/>
            <x v="5"/>
          </reference>
        </references>
      </pivotArea>
    </format>
    <format dxfId="193">
      <pivotArea dataOnly="0" labelOnly="1" outline="0" fieldPosition="0">
        <references count="2">
          <reference field="0" count="1" selected="0">
            <x v="0"/>
          </reference>
          <reference field="1" count="0"/>
        </references>
      </pivotArea>
    </format>
    <format dxfId="192">
      <pivotArea dataOnly="0" labelOnly="1" outline="0" fieldPosition="0">
        <references count="3">
          <reference field="0" count="1" selected="0">
            <x v="0"/>
          </reference>
          <reference field="1" count="0" selected="0"/>
          <reference field="2" count="6">
            <x v="1134"/>
            <x v="1236"/>
            <x v="1237"/>
            <x v="1238"/>
            <x v="1276"/>
            <x v="1277"/>
          </reference>
        </references>
      </pivotArea>
    </format>
    <format dxfId="191">
      <pivotArea dataOnly="0" labelOnly="1" outline="0" fieldPosition="0">
        <references count="3">
          <reference field="0" count="1" selected="0">
            <x v="1"/>
          </reference>
          <reference field="1" count="0" selected="0"/>
          <reference field="2" count="6">
            <x v="1241"/>
            <x v="1242"/>
            <x v="1243"/>
            <x v="1244"/>
            <x v="1245"/>
            <x v="1258"/>
          </reference>
        </references>
      </pivotArea>
    </format>
    <format dxfId="190">
      <pivotArea dataOnly="0" labelOnly="1" outline="0" fieldPosition="0">
        <references count="3">
          <reference field="0" count="1" selected="0">
            <x v="2"/>
          </reference>
          <reference field="1" count="0" selected="0"/>
          <reference field="2" count="2">
            <x v="1274"/>
            <x v="1275"/>
          </reference>
        </references>
      </pivotArea>
    </format>
    <format dxfId="189">
      <pivotArea dataOnly="0" labelOnly="1" outline="0" fieldPosition="0">
        <references count="3">
          <reference field="0" count="1" selected="0">
            <x v="3"/>
          </reference>
          <reference field="1" count="0" selected="0"/>
          <reference field="2" count="13">
            <x v="1239"/>
            <x v="1240"/>
            <x v="1251"/>
            <x v="1255"/>
            <x v="1256"/>
            <x v="1257"/>
            <x v="1267"/>
            <x v="1268"/>
            <x v="1269"/>
            <x v="1270"/>
            <x v="1271"/>
            <x v="1272"/>
            <x v="1273"/>
          </reference>
        </references>
      </pivotArea>
    </format>
    <format dxfId="188">
      <pivotArea dataOnly="0" labelOnly="1" outline="0" fieldPosition="0">
        <references count="3">
          <reference field="0" count="1" selected="0">
            <x v="4"/>
          </reference>
          <reference field="1" count="0" selected="0"/>
          <reference field="2" count="9">
            <x v="1221"/>
            <x v="1222"/>
            <x v="1223"/>
            <x v="1246"/>
            <x v="1247"/>
            <x v="1248"/>
            <x v="1249"/>
            <x v="1252"/>
            <x v="1253"/>
          </reference>
        </references>
      </pivotArea>
    </format>
    <format dxfId="187">
      <pivotArea dataOnly="0" labelOnly="1" outline="0" fieldPosition="0">
        <references count="3">
          <reference field="0" count="1" selected="0">
            <x v="5"/>
          </reference>
          <reference field="1" count="0" selected="0"/>
          <reference field="2" count="11">
            <x v="1209"/>
            <x v="1250"/>
            <x v="1254"/>
            <x v="1259"/>
            <x v="1260"/>
            <x v="1261"/>
            <x v="1262"/>
            <x v="1263"/>
            <x v="1264"/>
            <x v="1265"/>
            <x v="1266"/>
          </reference>
        </references>
      </pivotArea>
    </format>
    <format dxfId="186">
      <pivotArea dataOnly="0" labelOnly="1" outline="0" fieldPosition="0">
        <references count="4">
          <reference field="0" count="1" selected="0">
            <x v="0"/>
          </reference>
          <reference field="1" count="0" selected="0"/>
          <reference field="2" count="1" selected="0">
            <x v="1134"/>
          </reference>
          <reference field="3" count="1">
            <x v="194"/>
          </reference>
        </references>
      </pivotArea>
    </format>
    <format dxfId="185">
      <pivotArea dataOnly="0" labelOnly="1" outline="0" fieldPosition="0">
        <references count="4">
          <reference field="0" count="1" selected="0">
            <x v="0"/>
          </reference>
          <reference field="1" count="0" selected="0"/>
          <reference field="2" count="1" selected="0">
            <x v="1236"/>
          </reference>
          <reference field="3" count="1">
            <x v="145"/>
          </reference>
        </references>
      </pivotArea>
    </format>
    <format dxfId="184">
      <pivotArea dataOnly="0" labelOnly="1" outline="0" fieldPosition="0">
        <references count="4">
          <reference field="0" count="1" selected="0">
            <x v="0"/>
          </reference>
          <reference field="1" count="0" selected="0"/>
          <reference field="2" count="1" selected="0">
            <x v="1237"/>
          </reference>
          <reference field="3" count="1">
            <x v="205"/>
          </reference>
        </references>
      </pivotArea>
    </format>
    <format dxfId="183">
      <pivotArea dataOnly="0" labelOnly="1" outline="0" fieldPosition="0">
        <references count="4">
          <reference field="0" count="1" selected="0">
            <x v="0"/>
          </reference>
          <reference field="1" count="0" selected="0"/>
          <reference field="2" count="1" selected="0">
            <x v="1238"/>
          </reference>
          <reference field="3" count="1">
            <x v="83"/>
          </reference>
        </references>
      </pivotArea>
    </format>
    <format dxfId="182">
      <pivotArea dataOnly="0" labelOnly="1" outline="0" fieldPosition="0">
        <references count="4">
          <reference field="0" count="1" selected="0">
            <x v="0"/>
          </reference>
          <reference field="1" count="0" selected="0"/>
          <reference field="2" count="1" selected="0">
            <x v="1276"/>
          </reference>
          <reference field="3" count="1">
            <x v="39"/>
          </reference>
        </references>
      </pivotArea>
    </format>
    <format dxfId="181">
      <pivotArea dataOnly="0" labelOnly="1" outline="0" fieldPosition="0">
        <references count="4">
          <reference field="0" count="1" selected="0">
            <x v="1"/>
          </reference>
          <reference field="1" count="0" selected="0"/>
          <reference field="2" count="1" selected="0">
            <x v="1241"/>
          </reference>
          <reference field="3" count="1">
            <x v="83"/>
          </reference>
        </references>
      </pivotArea>
    </format>
    <format dxfId="180">
      <pivotArea dataOnly="0" labelOnly="1" outline="0" fieldPosition="0">
        <references count="4">
          <reference field="0" count="1" selected="0">
            <x v="1"/>
          </reference>
          <reference field="1" count="0" selected="0"/>
          <reference field="2" count="1" selected="0">
            <x v="1242"/>
          </reference>
          <reference field="3" count="1">
            <x v="24"/>
          </reference>
        </references>
      </pivotArea>
    </format>
    <format dxfId="179">
      <pivotArea dataOnly="0" labelOnly="1" outline="0" fieldPosition="0">
        <references count="4">
          <reference field="0" count="1" selected="0">
            <x v="1"/>
          </reference>
          <reference field="1" count="0" selected="0"/>
          <reference field="2" count="1" selected="0">
            <x v="1243"/>
          </reference>
          <reference field="3" count="1">
            <x v="51"/>
          </reference>
        </references>
      </pivotArea>
    </format>
    <format dxfId="178">
      <pivotArea dataOnly="0" labelOnly="1" outline="0" fieldPosition="0">
        <references count="4">
          <reference field="0" count="1" selected="0">
            <x v="1"/>
          </reference>
          <reference field="1" count="0" selected="0"/>
          <reference field="2" count="1" selected="0">
            <x v="1244"/>
          </reference>
          <reference field="3" count="1">
            <x v="36"/>
          </reference>
        </references>
      </pivotArea>
    </format>
    <format dxfId="177">
      <pivotArea dataOnly="0" labelOnly="1" outline="0" fieldPosition="0">
        <references count="4">
          <reference field="0" count="1" selected="0">
            <x v="1"/>
          </reference>
          <reference field="1" count="0" selected="0"/>
          <reference field="2" count="1" selected="0">
            <x v="1245"/>
          </reference>
          <reference field="3" count="1">
            <x v="206"/>
          </reference>
        </references>
      </pivotArea>
    </format>
    <format dxfId="176">
      <pivotArea dataOnly="0" labelOnly="1" outline="0" fieldPosition="0">
        <references count="4">
          <reference field="0" count="1" selected="0">
            <x v="1"/>
          </reference>
          <reference field="1" count="0" selected="0"/>
          <reference field="2" count="1" selected="0">
            <x v="1258"/>
          </reference>
          <reference field="3" count="1">
            <x v="205"/>
          </reference>
        </references>
      </pivotArea>
    </format>
    <format dxfId="175">
      <pivotArea dataOnly="0" labelOnly="1" outline="0" fieldPosition="0">
        <references count="4">
          <reference field="0" count="1" selected="0">
            <x v="2"/>
          </reference>
          <reference field="1" count="0" selected="0"/>
          <reference field="2" count="1" selected="0">
            <x v="1274"/>
          </reference>
          <reference field="3" count="1">
            <x v="208"/>
          </reference>
        </references>
      </pivotArea>
    </format>
    <format dxfId="174">
      <pivotArea dataOnly="0" labelOnly="1" outline="0" fieldPosition="0">
        <references count="4">
          <reference field="0" count="1" selected="0">
            <x v="2"/>
          </reference>
          <reference field="1" count="0" selected="0"/>
          <reference field="2" count="1" selected="0">
            <x v="1275"/>
          </reference>
          <reference field="3" count="1">
            <x v="75"/>
          </reference>
        </references>
      </pivotArea>
    </format>
    <format dxfId="173">
      <pivotArea dataOnly="0" labelOnly="1" outline="0" fieldPosition="0">
        <references count="4">
          <reference field="0" count="1" selected="0">
            <x v="3"/>
          </reference>
          <reference field="1" count="0" selected="0"/>
          <reference field="2" count="1" selected="0">
            <x v="1239"/>
          </reference>
          <reference field="3" count="1">
            <x v="205"/>
          </reference>
        </references>
      </pivotArea>
    </format>
    <format dxfId="172">
      <pivotArea dataOnly="0" labelOnly="1" outline="0" fieldPosition="0">
        <references count="4">
          <reference field="0" count="1" selected="0">
            <x v="3"/>
          </reference>
          <reference field="1" count="0" selected="0"/>
          <reference field="2" count="1" selected="0">
            <x v="1240"/>
          </reference>
          <reference field="3" count="1">
            <x v="3"/>
          </reference>
        </references>
      </pivotArea>
    </format>
    <format dxfId="171">
      <pivotArea dataOnly="0" labelOnly="1" outline="0" fieldPosition="0">
        <references count="4">
          <reference field="0" count="1" selected="0">
            <x v="3"/>
          </reference>
          <reference field="1" count="0" selected="0"/>
          <reference field="2" count="1" selected="0">
            <x v="1251"/>
          </reference>
          <reference field="3" count="1">
            <x v="83"/>
          </reference>
        </references>
      </pivotArea>
    </format>
    <format dxfId="170">
      <pivotArea dataOnly="0" labelOnly="1" outline="0" fieldPosition="0">
        <references count="4">
          <reference field="0" count="1" selected="0">
            <x v="3"/>
          </reference>
          <reference field="1" count="0" selected="0"/>
          <reference field="2" count="1" selected="0">
            <x v="1255"/>
          </reference>
          <reference field="3" count="1">
            <x v="24"/>
          </reference>
        </references>
      </pivotArea>
    </format>
    <format dxfId="169">
      <pivotArea dataOnly="0" labelOnly="1" outline="0" fieldPosition="0">
        <references count="4">
          <reference field="0" count="1" selected="0">
            <x v="3"/>
          </reference>
          <reference field="1" count="0" selected="0"/>
          <reference field="2" count="1" selected="0">
            <x v="1256"/>
          </reference>
          <reference field="3" count="1">
            <x v="39"/>
          </reference>
        </references>
      </pivotArea>
    </format>
    <format dxfId="168">
      <pivotArea dataOnly="0" labelOnly="1" outline="0" fieldPosition="0">
        <references count="4">
          <reference field="0" count="1" selected="0">
            <x v="3"/>
          </reference>
          <reference field="1" count="0" selected="0"/>
          <reference field="2" count="1" selected="0">
            <x v="1257"/>
          </reference>
          <reference field="3" count="1">
            <x v="207"/>
          </reference>
        </references>
      </pivotArea>
    </format>
    <format dxfId="167">
      <pivotArea dataOnly="0" labelOnly="1" outline="0" fieldPosition="0">
        <references count="4">
          <reference field="0" count="1" selected="0">
            <x v="3"/>
          </reference>
          <reference field="1" count="0" selected="0"/>
          <reference field="2" count="1" selected="0">
            <x v="1267"/>
          </reference>
          <reference field="3" count="1">
            <x v="77"/>
          </reference>
        </references>
      </pivotArea>
    </format>
    <format dxfId="166">
      <pivotArea dataOnly="0" labelOnly="1" outline="0" fieldPosition="0">
        <references count="4">
          <reference field="0" count="1" selected="0">
            <x v="3"/>
          </reference>
          <reference field="1" count="0" selected="0"/>
          <reference field="2" count="1" selected="0">
            <x v="1269"/>
          </reference>
          <reference field="3" count="1">
            <x v="84"/>
          </reference>
        </references>
      </pivotArea>
    </format>
    <format dxfId="165">
      <pivotArea dataOnly="0" labelOnly="1" outline="0" fieldPosition="0">
        <references count="4">
          <reference field="0" count="1" selected="0">
            <x v="3"/>
          </reference>
          <reference field="1" count="0" selected="0"/>
          <reference field="2" count="1" selected="0">
            <x v="1272"/>
          </reference>
          <reference field="3" count="1">
            <x v="39"/>
          </reference>
        </references>
      </pivotArea>
    </format>
    <format dxfId="164">
      <pivotArea dataOnly="0" labelOnly="1" outline="0" fieldPosition="0">
        <references count="4">
          <reference field="0" count="1" selected="0">
            <x v="3"/>
          </reference>
          <reference field="1" count="0" selected="0"/>
          <reference field="2" count="1" selected="0">
            <x v="1273"/>
          </reference>
          <reference field="3" count="1">
            <x v="208"/>
          </reference>
        </references>
      </pivotArea>
    </format>
    <format dxfId="163">
      <pivotArea dataOnly="0" labelOnly="1" outline="0" fieldPosition="0">
        <references count="4">
          <reference field="0" count="1" selected="0">
            <x v="4"/>
          </reference>
          <reference field="1" count="0" selected="0"/>
          <reference field="2" count="1" selected="0">
            <x v="1221"/>
          </reference>
          <reference field="3" count="1">
            <x v="32"/>
          </reference>
        </references>
      </pivotArea>
    </format>
    <format dxfId="162">
      <pivotArea dataOnly="0" labelOnly="1" outline="0" fieldPosition="0">
        <references count="4">
          <reference field="0" count="1" selected="0">
            <x v="4"/>
          </reference>
          <reference field="1" count="0" selected="0"/>
          <reference field="2" count="1" selected="0">
            <x v="1246"/>
          </reference>
          <reference field="3" count="1">
            <x v="11"/>
          </reference>
        </references>
      </pivotArea>
    </format>
    <format dxfId="161">
      <pivotArea dataOnly="0" labelOnly="1" outline="0" fieldPosition="0">
        <references count="4">
          <reference field="0" count="1" selected="0">
            <x v="4"/>
          </reference>
          <reference field="1" count="0" selected="0"/>
          <reference field="2" count="1" selected="0">
            <x v="1247"/>
          </reference>
          <reference field="3" count="1">
            <x v="44"/>
          </reference>
        </references>
      </pivotArea>
    </format>
    <format dxfId="160">
      <pivotArea dataOnly="0" labelOnly="1" outline="0" fieldPosition="0">
        <references count="4">
          <reference field="0" count="1" selected="0">
            <x v="4"/>
          </reference>
          <reference field="1" count="0" selected="0"/>
          <reference field="2" count="1" selected="0">
            <x v="1248"/>
          </reference>
          <reference field="3" count="1">
            <x v="83"/>
          </reference>
        </references>
      </pivotArea>
    </format>
    <format dxfId="159">
      <pivotArea dataOnly="0" labelOnly="1" outline="0" fieldPosition="0">
        <references count="4">
          <reference field="0" count="1" selected="0">
            <x v="4"/>
          </reference>
          <reference field="1" count="0" selected="0"/>
          <reference field="2" count="1" selected="0">
            <x v="1249"/>
          </reference>
          <reference field="3" count="1">
            <x v="4"/>
          </reference>
        </references>
      </pivotArea>
    </format>
    <format dxfId="158">
      <pivotArea dataOnly="0" labelOnly="1" outline="0" fieldPosition="0">
        <references count="4">
          <reference field="0" count="1" selected="0">
            <x v="4"/>
          </reference>
          <reference field="1" count="0" selected="0"/>
          <reference field="2" count="1" selected="0">
            <x v="1252"/>
          </reference>
          <reference field="3" count="1">
            <x v="77"/>
          </reference>
        </references>
      </pivotArea>
    </format>
    <format dxfId="157">
      <pivotArea dataOnly="0" labelOnly="1" outline="0" fieldPosition="0">
        <references count="4">
          <reference field="0" count="1" selected="0">
            <x v="5"/>
          </reference>
          <reference field="1" count="0" selected="0"/>
          <reference field="2" count="1" selected="0">
            <x v="1209"/>
          </reference>
          <reference field="3" count="1">
            <x v="207"/>
          </reference>
        </references>
      </pivotArea>
    </format>
    <format dxfId="156">
      <pivotArea dataOnly="0" labelOnly="1" outline="0" fieldPosition="0">
        <references count="4">
          <reference field="0" count="1" selected="0">
            <x v="5"/>
          </reference>
          <reference field="1" count="0" selected="0"/>
          <reference field="2" count="1" selected="0">
            <x v="1250"/>
          </reference>
          <reference field="3" count="1">
            <x v="39"/>
          </reference>
        </references>
      </pivotArea>
    </format>
    <format dxfId="155">
      <pivotArea dataOnly="0" labelOnly="1" outline="0" fieldPosition="0">
        <references count="4">
          <reference field="0" count="1" selected="0">
            <x v="5"/>
          </reference>
          <reference field="1" count="0" selected="0"/>
          <reference field="2" count="1" selected="0">
            <x v="1254"/>
          </reference>
          <reference field="3" count="1">
            <x v="29"/>
          </reference>
        </references>
      </pivotArea>
    </format>
    <format dxfId="154">
      <pivotArea dataOnly="0" labelOnly="1" outline="0" fieldPosition="0">
        <references count="4">
          <reference field="0" count="1" selected="0">
            <x v="5"/>
          </reference>
          <reference field="1" count="0" selected="0"/>
          <reference field="2" count="1" selected="0">
            <x v="1259"/>
          </reference>
          <reference field="3" count="1">
            <x v="83"/>
          </reference>
        </references>
      </pivotArea>
    </format>
    <format dxfId="153">
      <pivotArea dataOnly="0" labelOnly="1" outline="0" fieldPosition="0">
        <references count="4">
          <reference field="0" count="1" selected="0">
            <x v="5"/>
          </reference>
          <reference field="1" count="0" selected="0"/>
          <reference field="2" count="1" selected="0">
            <x v="1260"/>
          </reference>
          <reference field="3" count="1">
            <x v="26"/>
          </reference>
        </references>
      </pivotArea>
    </format>
    <format dxfId="152">
      <pivotArea dataOnly="0" labelOnly="1" outline="0" fieldPosition="0">
        <references count="4">
          <reference field="0" count="1" selected="0">
            <x v="5"/>
          </reference>
          <reference field="1" count="0" selected="0"/>
          <reference field="2" count="1" selected="0">
            <x v="1261"/>
          </reference>
          <reference field="3" count="1">
            <x v="208"/>
          </reference>
        </references>
      </pivotArea>
    </format>
    <format dxfId="151">
      <pivotArea dataOnly="0" labelOnly="1" outline="0" fieldPosition="0">
        <references count="4">
          <reference field="0" count="1" selected="0">
            <x v="5"/>
          </reference>
          <reference field="1" count="0" selected="0"/>
          <reference field="2" count="1" selected="0">
            <x v="1262"/>
          </reference>
          <reference field="3" count="1">
            <x v="3"/>
          </reference>
        </references>
      </pivotArea>
    </format>
    <format dxfId="150">
      <pivotArea dataOnly="0" labelOnly="1" outline="0" fieldPosition="0">
        <references count="5">
          <reference field="0" count="1" selected="0">
            <x v="0"/>
          </reference>
          <reference field="1" count="0" selected="0"/>
          <reference field="2" count="1" selected="0">
            <x v="1134"/>
          </reference>
          <reference field="3" count="1" selected="0">
            <x v="194"/>
          </reference>
          <reference field="4" count="1">
            <x v="190"/>
          </reference>
        </references>
      </pivotArea>
    </format>
    <format dxfId="149">
      <pivotArea dataOnly="0" labelOnly="1" outline="0" fieldPosition="0">
        <references count="5">
          <reference field="0" count="1" selected="0">
            <x v="0"/>
          </reference>
          <reference field="1" count="0" selected="0"/>
          <reference field="2" count="1" selected="0">
            <x v="1236"/>
          </reference>
          <reference field="3" count="1" selected="0">
            <x v="145"/>
          </reference>
          <reference field="4" count="1">
            <x v="142"/>
          </reference>
        </references>
      </pivotArea>
    </format>
    <format dxfId="148">
      <pivotArea dataOnly="0" labelOnly="1" outline="0" fieldPosition="0">
        <references count="5">
          <reference field="0" count="1" selected="0">
            <x v="0"/>
          </reference>
          <reference field="1" count="0" selected="0"/>
          <reference field="2" count="1" selected="0">
            <x v="1237"/>
          </reference>
          <reference field="3" count="1" selected="0">
            <x v="205"/>
          </reference>
          <reference field="4" count="1">
            <x v="201"/>
          </reference>
        </references>
      </pivotArea>
    </format>
    <format dxfId="147">
      <pivotArea dataOnly="0" labelOnly="1" outline="0" fieldPosition="0">
        <references count="5">
          <reference field="0" count="1" selected="0">
            <x v="0"/>
          </reference>
          <reference field="1" count="0" selected="0"/>
          <reference field="2" count="1" selected="0">
            <x v="1238"/>
          </reference>
          <reference field="3" count="1" selected="0">
            <x v="83"/>
          </reference>
          <reference field="4" count="1">
            <x v="84"/>
          </reference>
        </references>
      </pivotArea>
    </format>
    <format dxfId="146">
      <pivotArea dataOnly="0" labelOnly="1" outline="0" fieldPosition="0">
        <references count="5">
          <reference field="0" count="1" selected="0">
            <x v="0"/>
          </reference>
          <reference field="1" count="0" selected="0"/>
          <reference field="2" count="1" selected="0">
            <x v="1276"/>
          </reference>
          <reference field="3" count="1" selected="0">
            <x v="39"/>
          </reference>
          <reference field="4" count="1">
            <x v="17"/>
          </reference>
        </references>
      </pivotArea>
    </format>
    <format dxfId="145">
      <pivotArea dataOnly="0" labelOnly="1" outline="0" fieldPosition="0">
        <references count="5">
          <reference field="0" count="1" selected="0">
            <x v="1"/>
          </reference>
          <reference field="1" count="0" selected="0"/>
          <reference field="2" count="1" selected="0">
            <x v="1241"/>
          </reference>
          <reference field="3" count="1" selected="0">
            <x v="83"/>
          </reference>
          <reference field="4" count="1">
            <x v="84"/>
          </reference>
        </references>
      </pivotArea>
    </format>
    <format dxfId="144">
      <pivotArea dataOnly="0" labelOnly="1" outline="0" fieldPosition="0">
        <references count="5">
          <reference field="0" count="1" selected="0">
            <x v="1"/>
          </reference>
          <reference field="1" count="0" selected="0"/>
          <reference field="2" count="1" selected="0">
            <x v="1242"/>
          </reference>
          <reference field="3" count="1" selected="0">
            <x v="24"/>
          </reference>
          <reference field="4" count="1">
            <x v="36"/>
          </reference>
        </references>
      </pivotArea>
    </format>
    <format dxfId="143">
      <pivotArea dataOnly="0" labelOnly="1" outline="0" fieldPosition="0">
        <references count="5">
          <reference field="0" count="1" selected="0">
            <x v="1"/>
          </reference>
          <reference field="1" count="0" selected="0"/>
          <reference field="2" count="1" selected="0">
            <x v="1243"/>
          </reference>
          <reference field="3" count="1" selected="0">
            <x v="51"/>
          </reference>
          <reference field="4" count="1">
            <x v="48"/>
          </reference>
        </references>
      </pivotArea>
    </format>
    <format dxfId="142">
      <pivotArea dataOnly="0" labelOnly="1" outline="0" fieldPosition="0">
        <references count="5">
          <reference field="0" count="1" selected="0">
            <x v="1"/>
          </reference>
          <reference field="1" count="0" selected="0"/>
          <reference field="2" count="1" selected="0">
            <x v="1244"/>
          </reference>
          <reference field="3" count="1" selected="0">
            <x v="36"/>
          </reference>
          <reference field="4" count="1">
            <x v="21"/>
          </reference>
        </references>
      </pivotArea>
    </format>
    <format dxfId="141">
      <pivotArea dataOnly="0" labelOnly="1" outline="0" fieldPosition="0">
        <references count="5">
          <reference field="0" count="1" selected="0">
            <x v="1"/>
          </reference>
          <reference field="1" count="0" selected="0"/>
          <reference field="2" count="1" selected="0">
            <x v="1245"/>
          </reference>
          <reference field="3" count="1" selected="0">
            <x v="206"/>
          </reference>
          <reference field="4" count="1">
            <x v="202"/>
          </reference>
        </references>
      </pivotArea>
    </format>
    <format dxfId="140">
      <pivotArea dataOnly="0" labelOnly="1" outline="0" fieldPosition="0">
        <references count="5">
          <reference field="0" count="1" selected="0">
            <x v="1"/>
          </reference>
          <reference field="1" count="0" selected="0"/>
          <reference field="2" count="1" selected="0">
            <x v="1258"/>
          </reference>
          <reference field="3" count="1" selected="0">
            <x v="205"/>
          </reference>
          <reference field="4" count="1">
            <x v="201"/>
          </reference>
        </references>
      </pivotArea>
    </format>
    <format dxfId="139">
      <pivotArea dataOnly="0" labelOnly="1" outline="0" fieldPosition="0">
        <references count="5">
          <reference field="0" count="1" selected="0">
            <x v="2"/>
          </reference>
          <reference field="1" count="0" selected="0"/>
          <reference field="2" count="1" selected="0">
            <x v="1274"/>
          </reference>
          <reference field="3" count="1" selected="0">
            <x v="208"/>
          </reference>
          <reference field="4" count="1">
            <x v="204"/>
          </reference>
        </references>
      </pivotArea>
    </format>
    <format dxfId="138">
      <pivotArea dataOnly="0" labelOnly="1" outline="0" fieldPosition="0">
        <references count="5">
          <reference field="0" count="1" selected="0">
            <x v="2"/>
          </reference>
          <reference field="1" count="0" selected="0"/>
          <reference field="2" count="1" selected="0">
            <x v="1275"/>
          </reference>
          <reference field="3" count="1" selected="0">
            <x v="75"/>
          </reference>
          <reference field="4" count="1">
            <x v="76"/>
          </reference>
        </references>
      </pivotArea>
    </format>
    <format dxfId="137">
      <pivotArea dataOnly="0" labelOnly="1" outline="0" fieldPosition="0">
        <references count="5">
          <reference field="0" count="1" selected="0">
            <x v="3"/>
          </reference>
          <reference field="1" count="0" selected="0"/>
          <reference field="2" count="1" selected="0">
            <x v="1239"/>
          </reference>
          <reference field="3" count="1" selected="0">
            <x v="205"/>
          </reference>
          <reference field="4" count="1">
            <x v="201"/>
          </reference>
        </references>
      </pivotArea>
    </format>
    <format dxfId="136">
      <pivotArea dataOnly="0" labelOnly="1" outline="0" fieldPosition="0">
        <references count="5">
          <reference field="0" count="1" selected="0">
            <x v="3"/>
          </reference>
          <reference field="1" count="0" selected="0"/>
          <reference field="2" count="1" selected="0">
            <x v="1240"/>
          </reference>
          <reference field="3" count="1" selected="0">
            <x v="3"/>
          </reference>
          <reference field="4" count="1">
            <x v="1"/>
          </reference>
        </references>
      </pivotArea>
    </format>
    <format dxfId="135">
      <pivotArea dataOnly="0" labelOnly="1" outline="0" fieldPosition="0">
        <references count="5">
          <reference field="0" count="1" selected="0">
            <x v="3"/>
          </reference>
          <reference field="1" count="0" selected="0"/>
          <reference field="2" count="1" selected="0">
            <x v="1251"/>
          </reference>
          <reference field="3" count="1" selected="0">
            <x v="83"/>
          </reference>
          <reference field="4" count="1">
            <x v="84"/>
          </reference>
        </references>
      </pivotArea>
    </format>
    <format dxfId="134">
      <pivotArea dataOnly="0" labelOnly="1" outline="0" fieldPosition="0">
        <references count="5">
          <reference field="0" count="1" selected="0">
            <x v="3"/>
          </reference>
          <reference field="1" count="0" selected="0"/>
          <reference field="2" count="1" selected="0">
            <x v="1255"/>
          </reference>
          <reference field="3" count="1" selected="0">
            <x v="24"/>
          </reference>
          <reference field="4" count="1">
            <x v="36"/>
          </reference>
        </references>
      </pivotArea>
    </format>
    <format dxfId="133">
      <pivotArea dataOnly="0" labelOnly="1" outline="0" fieldPosition="0">
        <references count="5">
          <reference field="0" count="1" selected="0">
            <x v="3"/>
          </reference>
          <reference field="1" count="0" selected="0"/>
          <reference field="2" count="1" selected="0">
            <x v="1256"/>
          </reference>
          <reference field="3" count="1" selected="0">
            <x v="39"/>
          </reference>
          <reference field="4" count="1">
            <x v="17"/>
          </reference>
        </references>
      </pivotArea>
    </format>
    <format dxfId="132">
      <pivotArea dataOnly="0" labelOnly="1" outline="0" fieldPosition="0">
        <references count="5">
          <reference field="0" count="1" selected="0">
            <x v="3"/>
          </reference>
          <reference field="1" count="0" selected="0"/>
          <reference field="2" count="1" selected="0">
            <x v="1257"/>
          </reference>
          <reference field="3" count="1" selected="0">
            <x v="207"/>
          </reference>
          <reference field="4" count="1">
            <x v="203"/>
          </reference>
        </references>
      </pivotArea>
    </format>
    <format dxfId="131">
      <pivotArea dataOnly="0" labelOnly="1" outline="0" fieldPosition="0">
        <references count="5">
          <reference field="0" count="1" selected="0">
            <x v="3"/>
          </reference>
          <reference field="1" count="0" selected="0"/>
          <reference field="2" count="1" selected="0">
            <x v="1267"/>
          </reference>
          <reference field="3" count="1" selected="0">
            <x v="77"/>
          </reference>
          <reference field="4" count="1">
            <x v="78"/>
          </reference>
        </references>
      </pivotArea>
    </format>
    <format dxfId="130">
      <pivotArea dataOnly="0" labelOnly="1" outline="0" fieldPosition="0">
        <references count="5">
          <reference field="0" count="1" selected="0">
            <x v="3"/>
          </reference>
          <reference field="1" count="0" selected="0"/>
          <reference field="2" count="1" selected="0">
            <x v="1269"/>
          </reference>
          <reference field="3" count="1" selected="0">
            <x v="84"/>
          </reference>
          <reference field="4" count="1">
            <x v="85"/>
          </reference>
        </references>
      </pivotArea>
    </format>
    <format dxfId="129">
      <pivotArea dataOnly="0" labelOnly="1" outline="0" fieldPosition="0">
        <references count="5">
          <reference field="0" count="1" selected="0">
            <x v="3"/>
          </reference>
          <reference field="1" count="0" selected="0"/>
          <reference field="2" count="1" selected="0">
            <x v="1272"/>
          </reference>
          <reference field="3" count="1" selected="0">
            <x v="39"/>
          </reference>
          <reference field="4" count="1">
            <x v="17"/>
          </reference>
        </references>
      </pivotArea>
    </format>
    <format dxfId="128">
      <pivotArea dataOnly="0" labelOnly="1" outline="0" fieldPosition="0">
        <references count="5">
          <reference field="0" count="1" selected="0">
            <x v="3"/>
          </reference>
          <reference field="1" count="0" selected="0"/>
          <reference field="2" count="1" selected="0">
            <x v="1273"/>
          </reference>
          <reference field="3" count="1" selected="0">
            <x v="208"/>
          </reference>
          <reference field="4" count="1">
            <x v="204"/>
          </reference>
        </references>
      </pivotArea>
    </format>
    <format dxfId="127">
      <pivotArea dataOnly="0" labelOnly="1" outline="0" fieldPosition="0">
        <references count="5">
          <reference field="0" count="1" selected="0">
            <x v="4"/>
          </reference>
          <reference field="1" count="0" selected="0"/>
          <reference field="2" count="1" selected="0">
            <x v="1221"/>
          </reference>
          <reference field="3" count="1" selected="0">
            <x v="32"/>
          </reference>
          <reference field="4" count="1">
            <x v="9"/>
          </reference>
        </references>
      </pivotArea>
    </format>
    <format dxfId="126">
      <pivotArea dataOnly="0" labelOnly="1" outline="0" fieldPosition="0">
        <references count="5">
          <reference field="0" count="1" selected="0">
            <x v="4"/>
          </reference>
          <reference field="1" count="0" selected="0"/>
          <reference field="2" count="1" selected="0">
            <x v="1246"/>
          </reference>
          <reference field="3" count="1" selected="0">
            <x v="11"/>
          </reference>
          <reference field="4" count="1">
            <x v="28"/>
          </reference>
        </references>
      </pivotArea>
    </format>
    <format dxfId="125">
      <pivotArea dataOnly="0" labelOnly="1" outline="0" fieldPosition="0">
        <references count="5">
          <reference field="0" count="1" selected="0">
            <x v="4"/>
          </reference>
          <reference field="1" count="0" selected="0"/>
          <reference field="2" count="1" selected="0">
            <x v="1247"/>
          </reference>
          <reference field="3" count="1" selected="0">
            <x v="44"/>
          </reference>
          <reference field="4" count="1">
            <x v="38"/>
          </reference>
        </references>
      </pivotArea>
    </format>
    <format dxfId="124">
      <pivotArea dataOnly="0" labelOnly="1" outline="0" fieldPosition="0">
        <references count="5">
          <reference field="0" count="1" selected="0">
            <x v="4"/>
          </reference>
          <reference field="1" count="0" selected="0"/>
          <reference field="2" count="1" selected="0">
            <x v="1248"/>
          </reference>
          <reference field="3" count="1" selected="0">
            <x v="83"/>
          </reference>
          <reference field="4" count="1">
            <x v="84"/>
          </reference>
        </references>
      </pivotArea>
    </format>
    <format dxfId="123">
      <pivotArea dataOnly="0" labelOnly="1" outline="0" fieldPosition="0">
        <references count="5">
          <reference field="0" count="1" selected="0">
            <x v="4"/>
          </reference>
          <reference field="1" count="0" selected="0"/>
          <reference field="2" count="1" selected="0">
            <x v="1249"/>
          </reference>
          <reference field="3" count="1" selected="0">
            <x v="4"/>
          </reference>
          <reference field="4" count="1">
            <x v="43"/>
          </reference>
        </references>
      </pivotArea>
    </format>
    <format dxfId="122">
      <pivotArea dataOnly="0" labelOnly="1" outline="0" fieldPosition="0">
        <references count="5">
          <reference field="0" count="1" selected="0">
            <x v="4"/>
          </reference>
          <reference field="1" count="0" selected="0"/>
          <reference field="2" count="1" selected="0">
            <x v="1252"/>
          </reference>
          <reference field="3" count="1" selected="0">
            <x v="77"/>
          </reference>
          <reference field="4" count="1">
            <x v="78"/>
          </reference>
        </references>
      </pivotArea>
    </format>
    <format dxfId="121">
      <pivotArea dataOnly="0" labelOnly="1" outline="0" fieldPosition="0">
        <references count="5">
          <reference field="0" count="1" selected="0">
            <x v="5"/>
          </reference>
          <reference field="1" count="0" selected="0"/>
          <reference field="2" count="1" selected="0">
            <x v="1209"/>
          </reference>
          <reference field="3" count="1" selected="0">
            <x v="207"/>
          </reference>
          <reference field="4" count="1">
            <x v="203"/>
          </reference>
        </references>
      </pivotArea>
    </format>
    <format dxfId="120">
      <pivotArea dataOnly="0" labelOnly="1" outline="0" fieldPosition="0">
        <references count="5">
          <reference field="0" count="1" selected="0">
            <x v="5"/>
          </reference>
          <reference field="1" count="0" selected="0"/>
          <reference field="2" count="1" selected="0">
            <x v="1250"/>
          </reference>
          <reference field="3" count="1" selected="0">
            <x v="39"/>
          </reference>
          <reference field="4" count="1">
            <x v="17"/>
          </reference>
        </references>
      </pivotArea>
    </format>
    <format dxfId="119">
      <pivotArea dataOnly="0" labelOnly="1" outline="0" fieldPosition="0">
        <references count="5">
          <reference field="0" count="1" selected="0">
            <x v="5"/>
          </reference>
          <reference field="1" count="0" selected="0"/>
          <reference field="2" count="1" selected="0">
            <x v="1254"/>
          </reference>
          <reference field="3" count="1" selected="0">
            <x v="29"/>
          </reference>
          <reference field="4" count="1">
            <x v="62"/>
          </reference>
        </references>
      </pivotArea>
    </format>
    <format dxfId="118">
      <pivotArea dataOnly="0" labelOnly="1" outline="0" fieldPosition="0">
        <references count="5">
          <reference field="0" count="1" selected="0">
            <x v="5"/>
          </reference>
          <reference field="1" count="0" selected="0"/>
          <reference field="2" count="1" selected="0">
            <x v="1259"/>
          </reference>
          <reference field="3" count="1" selected="0">
            <x v="83"/>
          </reference>
          <reference field="4" count="1">
            <x v="84"/>
          </reference>
        </references>
      </pivotArea>
    </format>
    <format dxfId="117">
      <pivotArea dataOnly="0" labelOnly="1" outline="0" fieldPosition="0">
        <references count="5">
          <reference field="0" count="1" selected="0">
            <x v="5"/>
          </reference>
          <reference field="1" count="0" selected="0"/>
          <reference field="2" count="1" selected="0">
            <x v="1260"/>
          </reference>
          <reference field="3" count="1" selected="0">
            <x v="26"/>
          </reference>
          <reference field="4" count="1">
            <x v="58"/>
          </reference>
        </references>
      </pivotArea>
    </format>
    <format dxfId="116">
      <pivotArea dataOnly="0" labelOnly="1" outline="0" fieldPosition="0">
        <references count="5">
          <reference field="0" count="1" selected="0">
            <x v="5"/>
          </reference>
          <reference field="1" count="0" selected="0"/>
          <reference field="2" count="1" selected="0">
            <x v="1261"/>
          </reference>
          <reference field="3" count="1" selected="0">
            <x v="208"/>
          </reference>
          <reference field="4" count="1">
            <x v="204"/>
          </reference>
        </references>
      </pivotArea>
    </format>
    <format dxfId="115">
      <pivotArea dataOnly="0" labelOnly="1" outline="0" fieldPosition="0">
        <references count="5">
          <reference field="0" count="1" selected="0">
            <x v="5"/>
          </reference>
          <reference field="1" count="0" selected="0"/>
          <reference field="2" count="1" selected="0">
            <x v="1262"/>
          </reference>
          <reference field="3" count="1" selected="0">
            <x v="3"/>
          </reference>
          <reference field="4" count="1">
            <x v="1"/>
          </reference>
        </references>
      </pivotArea>
    </format>
    <format dxfId="114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2" count="1" selected="0">
            <x v="1134"/>
          </reference>
          <reference field="3" count="1" selected="0">
            <x v="194"/>
          </reference>
          <reference field="4" count="1" selected="0">
            <x v="190"/>
          </reference>
          <reference field="5" count="1">
            <x v="5"/>
          </reference>
        </references>
      </pivotArea>
    </format>
    <format dxfId="113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2" count="1" selected="0">
            <x v="1236"/>
          </reference>
          <reference field="3" count="1" selected="0">
            <x v="145"/>
          </reference>
          <reference field="4" count="1" selected="0">
            <x v="142"/>
          </reference>
          <reference field="5" count="1">
            <x v="8"/>
          </reference>
        </references>
      </pivotArea>
    </format>
    <format dxfId="112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2" count="1" selected="0">
            <x v="1237"/>
          </reference>
          <reference field="3" count="1" selected="0">
            <x v="205"/>
          </reference>
          <reference field="4" count="1" selected="0">
            <x v="201"/>
          </reference>
          <reference field="5" count="1">
            <x v="7"/>
          </reference>
        </references>
      </pivotArea>
    </format>
    <format dxfId="111">
      <pivotArea dataOnly="0" labelOnly="1" outline="0" fieldPosition="0">
        <references count="6">
          <reference field="0" count="1" selected="0">
            <x v="0"/>
          </reference>
          <reference field="1" count="0" selected="0"/>
          <reference field="2" count="1" selected="0">
            <x v="1238"/>
          </reference>
          <reference field="3" count="1" selected="0">
            <x v="83"/>
          </reference>
          <reference field="4" count="1" selected="0">
            <x v="84"/>
          </reference>
          <reference field="5" count="1">
            <x v="10"/>
          </reference>
        </references>
      </pivotArea>
    </format>
    <format dxfId="110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2" count="1" selected="0">
            <x v="1242"/>
          </reference>
          <reference field="3" count="1" selected="0">
            <x v="24"/>
          </reference>
          <reference field="4" count="1" selected="0">
            <x v="36"/>
          </reference>
          <reference field="5" count="1">
            <x v="4"/>
          </reference>
        </references>
      </pivotArea>
    </format>
    <format dxfId="109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2" count="1" selected="0">
            <x v="1243"/>
          </reference>
          <reference field="3" count="1" selected="0">
            <x v="51"/>
          </reference>
          <reference field="4" count="1" selected="0">
            <x v="48"/>
          </reference>
          <reference field="5" count="1">
            <x v="2"/>
          </reference>
        </references>
      </pivotArea>
    </format>
    <format dxfId="108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2" count="1" selected="0">
            <x v="1244"/>
          </reference>
          <reference field="3" count="1" selected="0">
            <x v="36"/>
          </reference>
          <reference field="4" count="1" selected="0">
            <x v="21"/>
          </reference>
          <reference field="5" count="1">
            <x v="11"/>
          </reference>
        </references>
      </pivotArea>
    </format>
    <format dxfId="107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2" count="1" selected="0">
            <x v="1245"/>
          </reference>
          <reference field="3" count="1" selected="0">
            <x v="206"/>
          </reference>
          <reference field="4" count="1" selected="0">
            <x v="202"/>
          </reference>
          <reference field="5" count="1">
            <x v="5"/>
          </reference>
        </references>
      </pivotArea>
    </format>
    <format dxfId="106">
      <pivotArea dataOnly="0" labelOnly="1" outline="0" fieldPosition="0">
        <references count="6">
          <reference field="0" count="1" selected="0">
            <x v="1"/>
          </reference>
          <reference field="1" count="0" selected="0"/>
          <reference field="2" count="1" selected="0">
            <x v="1258"/>
          </reference>
          <reference field="3" count="1" selected="0">
            <x v="205"/>
          </reference>
          <reference field="4" count="1" selected="0">
            <x v="201"/>
          </reference>
          <reference field="5" count="1">
            <x v="7"/>
          </reference>
        </references>
      </pivotArea>
    </format>
    <format dxfId="105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2" count="1" selected="0">
            <x v="1274"/>
          </reference>
          <reference field="3" count="1" selected="0">
            <x v="208"/>
          </reference>
          <reference field="4" count="1" selected="0">
            <x v="204"/>
          </reference>
          <reference field="5" count="1">
            <x v="5"/>
          </reference>
        </references>
      </pivotArea>
    </format>
    <format dxfId="104">
      <pivotArea dataOnly="0" labelOnly="1" outline="0" fieldPosition="0">
        <references count="6">
          <reference field="0" count="1" selected="0">
            <x v="2"/>
          </reference>
          <reference field="1" count="0" selected="0"/>
          <reference field="2" count="1" selected="0">
            <x v="1275"/>
          </reference>
          <reference field="3" count="1" selected="0">
            <x v="75"/>
          </reference>
          <reference field="4" count="1" selected="0">
            <x v="76"/>
          </reference>
          <reference field="5" count="1">
            <x v="7"/>
          </reference>
        </references>
      </pivotArea>
    </format>
    <format dxfId="103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2" count="1" selected="0">
            <x v="1240"/>
          </reference>
          <reference field="3" count="1" selected="0">
            <x v="3"/>
          </reference>
          <reference field="4" count="1" selected="0">
            <x v="1"/>
          </reference>
          <reference field="5" count="1">
            <x v="2"/>
          </reference>
        </references>
      </pivotArea>
    </format>
    <format dxfId="102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2" count="1" selected="0">
            <x v="1251"/>
          </reference>
          <reference field="3" count="1" selected="0">
            <x v="83"/>
          </reference>
          <reference field="4" count="1" selected="0">
            <x v="84"/>
          </reference>
          <reference field="5" count="1">
            <x v="10"/>
          </reference>
        </references>
      </pivotArea>
    </format>
    <format dxfId="101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2" count="1" selected="0">
            <x v="1257"/>
          </reference>
          <reference field="3" count="1" selected="0">
            <x v="207"/>
          </reference>
          <reference field="4" count="1" selected="0">
            <x v="203"/>
          </reference>
          <reference field="5" count="1">
            <x v="5"/>
          </reference>
        </references>
      </pivotArea>
    </format>
    <format dxfId="100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2" count="1" selected="0">
            <x v="1267"/>
          </reference>
          <reference field="3" count="1" selected="0">
            <x v="77"/>
          </reference>
          <reference field="4" count="1" selected="0">
            <x v="78"/>
          </reference>
          <reference field="5" count="1">
            <x v="7"/>
          </reference>
        </references>
      </pivotArea>
    </format>
    <format dxfId="99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2" count="1" selected="0">
            <x v="1269"/>
          </reference>
          <reference field="3" count="1" selected="0">
            <x v="84"/>
          </reference>
          <reference field="4" count="1" selected="0">
            <x v="85"/>
          </reference>
          <reference field="5" count="1">
            <x v="10"/>
          </reference>
        </references>
      </pivotArea>
    </format>
    <format dxfId="98">
      <pivotArea dataOnly="0" labelOnly="1" outline="0" fieldPosition="0">
        <references count="6">
          <reference field="0" count="1" selected="0">
            <x v="3"/>
          </reference>
          <reference field="1" count="0" selected="0"/>
          <reference field="2" count="1" selected="0">
            <x v="1273"/>
          </reference>
          <reference field="3" count="1" selected="0">
            <x v="208"/>
          </reference>
          <reference field="4" count="1" selected="0">
            <x v="204"/>
          </reference>
          <reference field="5" count="1">
            <x v="5"/>
          </reference>
        </references>
      </pivotArea>
    </format>
    <format dxfId="97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2" count="1" selected="0">
            <x v="1221"/>
          </reference>
          <reference field="3" count="1" selected="0">
            <x v="32"/>
          </reference>
          <reference field="4" count="1" selected="0">
            <x v="9"/>
          </reference>
          <reference field="5" count="1">
            <x v="10"/>
          </reference>
        </references>
      </pivotArea>
    </format>
    <format dxfId="96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2" count="1" selected="0">
            <x v="1246"/>
          </reference>
          <reference field="3" count="1" selected="0">
            <x v="11"/>
          </reference>
          <reference field="4" count="1" selected="0">
            <x v="28"/>
          </reference>
          <reference field="5" count="1">
            <x v="4"/>
          </reference>
        </references>
      </pivotArea>
    </format>
    <format dxfId="95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2" count="1" selected="0">
            <x v="1248"/>
          </reference>
          <reference field="3" count="1" selected="0">
            <x v="83"/>
          </reference>
          <reference field="4" count="1" selected="0">
            <x v="84"/>
          </reference>
          <reference field="5" count="1">
            <x v="10"/>
          </reference>
        </references>
      </pivotArea>
    </format>
    <format dxfId="94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2" count="1" selected="0">
            <x v="1249"/>
          </reference>
          <reference field="3" count="1" selected="0">
            <x v="4"/>
          </reference>
          <reference field="4" count="1" selected="0">
            <x v="43"/>
          </reference>
          <reference field="5" count="1">
            <x v="0"/>
          </reference>
        </references>
      </pivotArea>
    </format>
    <format dxfId="93">
      <pivotArea dataOnly="0" labelOnly="1" outline="0" fieldPosition="0">
        <references count="6">
          <reference field="0" count="1" selected="0">
            <x v="4"/>
          </reference>
          <reference field="1" count="0" selected="0"/>
          <reference field="2" count="1" selected="0">
            <x v="1252"/>
          </reference>
          <reference field="3" count="1" selected="0">
            <x v="77"/>
          </reference>
          <reference field="4" count="1" selected="0">
            <x v="78"/>
          </reference>
          <reference field="5" count="1">
            <x v="10"/>
          </reference>
        </references>
      </pivotArea>
    </format>
    <format dxfId="92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2" count="1" selected="0">
            <x v="1209"/>
          </reference>
          <reference field="3" count="1" selected="0">
            <x v="207"/>
          </reference>
          <reference field="4" count="1" selected="0">
            <x v="203"/>
          </reference>
          <reference field="5" count="1">
            <x v="5"/>
          </reference>
        </references>
      </pivotArea>
    </format>
    <format dxfId="91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2" count="1" selected="0">
            <x v="1250"/>
          </reference>
          <reference field="3" count="1" selected="0">
            <x v="39"/>
          </reference>
          <reference field="4" count="1" selected="0">
            <x v="17"/>
          </reference>
          <reference field="5" count="1">
            <x v="10"/>
          </reference>
        </references>
      </pivotArea>
    </format>
    <format dxfId="90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2" count="1" selected="0">
            <x v="1254"/>
          </reference>
          <reference field="3" count="1" selected="0">
            <x v="29"/>
          </reference>
          <reference field="4" count="1" selected="0">
            <x v="62"/>
          </reference>
          <reference field="5" count="2">
            <x v="6"/>
            <x v="10"/>
          </reference>
        </references>
      </pivotArea>
    </format>
    <format dxfId="89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2" count="1" selected="0">
            <x v="1260"/>
          </reference>
          <reference field="3" count="1" selected="0">
            <x v="26"/>
          </reference>
          <reference field="4" count="1" selected="0">
            <x v="58"/>
          </reference>
          <reference field="5" count="1">
            <x v="8"/>
          </reference>
        </references>
      </pivotArea>
    </format>
    <format dxfId="88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2" count="1" selected="0">
            <x v="1261"/>
          </reference>
          <reference field="3" count="1" selected="0">
            <x v="208"/>
          </reference>
          <reference field="4" count="1" selected="0">
            <x v="204"/>
          </reference>
          <reference field="5" count="1">
            <x v="5"/>
          </reference>
        </references>
      </pivotArea>
    </format>
    <format dxfId="87">
      <pivotArea dataOnly="0" labelOnly="1" outline="0" fieldPosition="0">
        <references count="6">
          <reference field="0" count="1" selected="0">
            <x v="5"/>
          </reference>
          <reference field="1" count="0" selected="0"/>
          <reference field="2" count="1" selected="0">
            <x v="1262"/>
          </reference>
          <reference field="3" count="1" selected="0">
            <x v="3"/>
          </reference>
          <reference field="4" count="1" selected="0">
            <x v="1"/>
          </reference>
          <reference field="5" count="1">
            <x v="2"/>
          </reference>
        </references>
      </pivotArea>
    </format>
    <format dxfId="86">
      <pivotArea dataOnly="0" labelOnly="1" outline="0" fieldPosition="0">
        <references count="7">
          <reference field="0" count="1" selected="0">
            <x v="0"/>
          </reference>
          <reference field="1" count="0" selected="0"/>
          <reference field="2" count="1" selected="0">
            <x v="1134"/>
          </reference>
          <reference field="3" count="1" selected="0">
            <x v="194"/>
          </reference>
          <reference field="4" count="1" selected="0">
            <x v="190"/>
          </reference>
          <reference field="5" count="1" selected="0">
            <x v="5"/>
          </reference>
          <reference field="6" count="1">
            <x v="6"/>
          </reference>
        </references>
      </pivotArea>
    </format>
    <format dxfId="85">
      <pivotArea dataOnly="0" labelOnly="1" outline="0" fieldPosition="0">
        <references count="7">
          <reference field="0" count="1" selected="0">
            <x v="0"/>
          </reference>
          <reference field="1" count="0" selected="0"/>
          <reference field="2" count="1" selected="0">
            <x v="1238"/>
          </reference>
          <reference field="3" count="1" selected="0">
            <x v="83"/>
          </reference>
          <reference field="4" count="1" selected="0">
            <x v="84"/>
          </reference>
          <reference field="5" count="1" selected="0">
            <x v="10"/>
          </reference>
          <reference field="6" count="1">
            <x v="23"/>
          </reference>
        </references>
      </pivotArea>
    </format>
    <format dxfId="84">
      <pivotArea dataOnly="0" labelOnly="1" outline="0" fieldPosition="0">
        <references count="7">
          <reference field="0" count="1" selected="0">
            <x v="1"/>
          </reference>
          <reference field="1" count="0" selected="0"/>
          <reference field="2" count="1" selected="0">
            <x v="1241"/>
          </reference>
          <reference field="3" count="1" selected="0">
            <x v="83"/>
          </reference>
          <reference field="4" count="1" selected="0">
            <x v="84"/>
          </reference>
          <reference field="5" count="1" selected="0">
            <x v="10"/>
          </reference>
          <reference field="6" count="1">
            <x v="22"/>
          </reference>
        </references>
      </pivotArea>
    </format>
    <format dxfId="83">
      <pivotArea dataOnly="0" labelOnly="1" outline="0" fieldPosition="0">
        <references count="7">
          <reference field="0" count="1" selected="0">
            <x v="1"/>
          </reference>
          <reference field="1" count="0" selected="0"/>
          <reference field="2" count="1" selected="0">
            <x v="1243"/>
          </reference>
          <reference field="3" count="1" selected="0">
            <x v="51"/>
          </reference>
          <reference field="4" count="1" selected="0">
            <x v="48"/>
          </reference>
          <reference field="5" count="1" selected="0">
            <x v="2"/>
          </reference>
          <reference field="6" count="1">
            <x v="3"/>
          </reference>
        </references>
      </pivotArea>
    </format>
    <format dxfId="82">
      <pivotArea dataOnly="0" labelOnly="1" outline="0" fieldPosition="0">
        <references count="7">
          <reference field="0" count="1" selected="0">
            <x v="1"/>
          </reference>
          <reference field="1" count="0" selected="0"/>
          <reference field="2" count="1" selected="0">
            <x v="1244"/>
          </reference>
          <reference field="3" count="1" selected="0">
            <x v="36"/>
          </reference>
          <reference field="4" count="1" selected="0">
            <x v="21"/>
          </reference>
          <reference field="5" count="1" selected="0">
            <x v="11"/>
          </reference>
          <reference field="6" count="1">
            <x v="22"/>
          </reference>
        </references>
      </pivotArea>
    </format>
    <format dxfId="81">
      <pivotArea dataOnly="0" labelOnly="1" outline="0" fieldPosition="0">
        <references count="7">
          <reference field="0" count="1" selected="0">
            <x v="1"/>
          </reference>
          <reference field="1" count="0" selected="0"/>
          <reference field="2" count="1" selected="0">
            <x v="1245"/>
          </reference>
          <reference field="3" count="1" selected="0">
            <x v="206"/>
          </reference>
          <reference field="4" count="1" selected="0">
            <x v="202"/>
          </reference>
          <reference field="5" count="1" selected="0">
            <x v="5"/>
          </reference>
          <reference field="6" count="1">
            <x v="7"/>
          </reference>
        </references>
      </pivotArea>
    </format>
    <format dxfId="80">
      <pivotArea dataOnly="0" labelOnly="1" outline="0" fieldPosition="0">
        <references count="7">
          <reference field="0" count="1" selected="0">
            <x v="2"/>
          </reference>
          <reference field="1" count="0" selected="0"/>
          <reference field="2" count="1" selected="0">
            <x v="1274"/>
          </reference>
          <reference field="3" count="1" selected="0">
            <x v="208"/>
          </reference>
          <reference field="4" count="1" selected="0">
            <x v="204"/>
          </reference>
          <reference field="5" count="1" selected="0">
            <x v="5"/>
          </reference>
          <reference field="6" count="1">
            <x v="12"/>
          </reference>
        </references>
      </pivotArea>
    </format>
    <format dxfId="79">
      <pivotArea dataOnly="0" labelOnly="1" outline="0" fieldPosition="0">
        <references count="7">
          <reference field="0" count="1" selected="0">
            <x v="2"/>
          </reference>
          <reference field="1" count="0" selected="0"/>
          <reference field="2" count="1" selected="0">
            <x v="1275"/>
          </reference>
          <reference field="3" count="1" selected="0">
            <x v="75"/>
          </reference>
          <reference field="4" count="1" selected="0">
            <x v="76"/>
          </reference>
          <reference field="5" count="1" selected="0">
            <x v="7"/>
          </reference>
          <reference field="6" count="1">
            <x v="22"/>
          </reference>
        </references>
      </pivotArea>
    </format>
    <format dxfId="78">
      <pivotArea dataOnly="0" labelOnly="1" outline="0" fieldPosition="0">
        <references count="7">
          <reference field="0" count="1" selected="0">
            <x v="3"/>
          </reference>
          <reference field="1" count="0" selected="0"/>
          <reference field="2" count="1" selected="0">
            <x v="1239"/>
          </reference>
          <reference field="3" count="1" selected="0">
            <x v="205"/>
          </reference>
          <reference field="4" count="1" selected="0">
            <x v="201"/>
          </reference>
          <reference field="5" count="1" selected="0">
            <x v="7"/>
          </reference>
          <reference field="6" count="1">
            <x v="6"/>
          </reference>
        </references>
      </pivotArea>
    </format>
    <format dxfId="77">
      <pivotArea dataOnly="0" labelOnly="1" outline="0" fieldPosition="0">
        <references count="7">
          <reference field="0" count="1" selected="0">
            <x v="3"/>
          </reference>
          <reference field="1" count="0" selected="0"/>
          <reference field="2" count="1" selected="0">
            <x v="1240"/>
          </reference>
          <reference field="3" count="1" selected="0">
            <x v="3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23"/>
          </reference>
        </references>
      </pivotArea>
    </format>
    <format dxfId="76">
      <pivotArea dataOnly="0" labelOnly="1" outline="0" fieldPosition="0">
        <references count="7">
          <reference field="0" count="1" selected="0">
            <x v="3"/>
          </reference>
          <reference field="1" count="0" selected="0"/>
          <reference field="2" count="1" selected="0">
            <x v="1251"/>
          </reference>
          <reference field="3" count="1" selected="0">
            <x v="83"/>
          </reference>
          <reference field="4" count="1" selected="0">
            <x v="84"/>
          </reference>
          <reference field="5" count="1" selected="0">
            <x v="10"/>
          </reference>
          <reference field="6" count="1">
            <x v="22"/>
          </reference>
        </references>
      </pivotArea>
    </format>
    <format dxfId="75">
      <pivotArea dataOnly="0" labelOnly="1" outline="0" fieldPosition="0">
        <references count="7">
          <reference field="0" count="1" selected="0">
            <x v="3"/>
          </reference>
          <reference field="1" count="0" selected="0"/>
          <reference field="2" count="1" selected="0">
            <x v="1255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>
            <x v="5"/>
          </reference>
        </references>
      </pivotArea>
    </format>
    <format dxfId="74">
      <pivotArea dataOnly="0" labelOnly="1" outline="0" fieldPosition="0">
        <references count="7">
          <reference field="0" count="1" selected="0">
            <x v="3"/>
          </reference>
          <reference field="1" count="0" selected="0"/>
          <reference field="2" count="1" selected="0">
            <x v="1256"/>
          </reference>
          <reference field="3" count="1" selected="0">
            <x v="39"/>
          </reference>
          <reference field="4" count="1" selected="0">
            <x v="17"/>
          </reference>
          <reference field="5" count="1" selected="0">
            <x v="10"/>
          </reference>
          <reference field="6" count="1">
            <x v="22"/>
          </reference>
        </references>
      </pivotArea>
    </format>
    <format dxfId="73">
      <pivotArea dataOnly="0" labelOnly="1" outline="0" fieldPosition="0">
        <references count="7">
          <reference field="0" count="1" selected="0">
            <x v="3"/>
          </reference>
          <reference field="1" count="0" selected="0"/>
          <reference field="2" count="1" selected="0">
            <x v="1257"/>
          </reference>
          <reference field="3" count="1" selected="0">
            <x v="207"/>
          </reference>
          <reference field="4" count="1" selected="0">
            <x v="203"/>
          </reference>
          <reference field="5" count="1" selected="0">
            <x v="5"/>
          </reference>
          <reference field="6" count="1">
            <x v="0"/>
          </reference>
        </references>
      </pivotArea>
    </format>
    <format dxfId="72">
      <pivotArea dataOnly="0" labelOnly="1" outline="0" fieldPosition="0">
        <references count="7">
          <reference field="0" count="1" selected="0">
            <x v="3"/>
          </reference>
          <reference field="1" count="0" selected="0"/>
          <reference field="2" count="1" selected="0">
            <x v="1267"/>
          </reference>
          <reference field="3" count="1" selected="0">
            <x v="77"/>
          </reference>
          <reference field="4" count="1" selected="0">
            <x v="78"/>
          </reference>
          <reference field="5" count="1" selected="0">
            <x v="7"/>
          </reference>
          <reference field="6" count="1">
            <x v="6"/>
          </reference>
        </references>
      </pivotArea>
    </format>
    <format dxfId="71">
      <pivotArea dataOnly="0" labelOnly="1" outline="0" fieldPosition="0">
        <references count="7">
          <reference field="0" count="1" selected="0">
            <x v="3"/>
          </reference>
          <reference field="1" count="0" selected="0"/>
          <reference field="2" count="1" selected="0">
            <x v="1269"/>
          </reference>
          <reference field="3" count="1" selected="0">
            <x v="84"/>
          </reference>
          <reference field="4" count="1" selected="0">
            <x v="85"/>
          </reference>
          <reference field="5" count="1" selected="0">
            <x v="10"/>
          </reference>
          <reference field="6" count="1">
            <x v="7"/>
          </reference>
        </references>
      </pivotArea>
    </format>
    <format dxfId="70">
      <pivotArea dataOnly="0" labelOnly="1" outline="0" fieldPosition="0">
        <references count="7">
          <reference field="0" count="1" selected="0">
            <x v="3"/>
          </reference>
          <reference field="1" count="0" selected="0"/>
          <reference field="2" count="1" selected="0">
            <x v="1272"/>
          </reference>
          <reference field="3" count="1" selected="0">
            <x v="39"/>
          </reference>
          <reference field="4" count="1" selected="0">
            <x v="17"/>
          </reference>
          <reference field="5" count="1" selected="0">
            <x v="10"/>
          </reference>
          <reference field="6" count="1">
            <x v="23"/>
          </reference>
        </references>
      </pivotArea>
    </format>
    <format dxfId="69">
      <pivotArea dataOnly="0" labelOnly="1" outline="0" fieldPosition="0">
        <references count="7">
          <reference field="0" count="1" selected="0">
            <x v="3"/>
          </reference>
          <reference field="1" count="0" selected="0"/>
          <reference field="2" count="1" selected="0">
            <x v="1273"/>
          </reference>
          <reference field="3" count="1" selected="0">
            <x v="208"/>
          </reference>
          <reference field="4" count="1" selected="0">
            <x v="204"/>
          </reference>
          <reference field="5" count="1" selected="0">
            <x v="5"/>
          </reference>
          <reference field="6" count="1">
            <x v="12"/>
          </reference>
        </references>
      </pivotArea>
    </format>
    <format dxfId="68">
      <pivotArea dataOnly="0" labelOnly="1" outline="0" fieldPosition="0">
        <references count="7">
          <reference field="0" count="1" selected="0">
            <x v="4"/>
          </reference>
          <reference field="1" count="0" selected="0"/>
          <reference field="2" count="1" selected="0">
            <x v="1221"/>
          </reference>
          <reference field="3" count="1" selected="0">
            <x v="32"/>
          </reference>
          <reference field="4" count="1" selected="0">
            <x v="9"/>
          </reference>
          <reference field="5" count="1" selected="0">
            <x v="10"/>
          </reference>
          <reference field="6" count="1">
            <x v="6"/>
          </reference>
        </references>
      </pivotArea>
    </format>
    <format dxfId="67">
      <pivotArea dataOnly="0" labelOnly="1" outline="0" fieldPosition="0">
        <references count="7">
          <reference field="0" count="1" selected="0">
            <x v="4"/>
          </reference>
          <reference field="1" count="0" selected="0"/>
          <reference field="2" count="1" selected="0">
            <x v="1246"/>
          </reference>
          <reference field="3" count="1" selected="0">
            <x v="11"/>
          </reference>
          <reference field="4" count="1" selected="0">
            <x v="28"/>
          </reference>
          <reference field="5" count="1" selected="0">
            <x v="4"/>
          </reference>
          <reference field="6" count="1">
            <x v="18"/>
          </reference>
        </references>
      </pivotArea>
    </format>
    <format dxfId="66">
      <pivotArea dataOnly="0" labelOnly="1" outline="0" fieldPosition="0">
        <references count="7">
          <reference field="0" count="1" selected="0">
            <x v="4"/>
          </reference>
          <reference field="1" count="0" selected="0"/>
          <reference field="2" count="1" selected="0">
            <x v="1248"/>
          </reference>
          <reference field="3" count="1" selected="0">
            <x v="83"/>
          </reference>
          <reference field="4" count="1" selected="0">
            <x v="84"/>
          </reference>
          <reference field="5" count="1" selected="0">
            <x v="10"/>
          </reference>
          <reference field="6" count="1">
            <x v="22"/>
          </reference>
        </references>
      </pivotArea>
    </format>
    <format dxfId="65">
      <pivotArea dataOnly="0" labelOnly="1" outline="0" fieldPosition="0">
        <references count="7">
          <reference field="0" count="1" selected="0">
            <x v="4"/>
          </reference>
          <reference field="1" count="0" selected="0"/>
          <reference field="2" count="1" selected="0">
            <x v="1249"/>
          </reference>
          <reference field="3" count="1" selected="0">
            <x v="4"/>
          </reference>
          <reference field="4" count="1" selected="0">
            <x v="43"/>
          </reference>
          <reference field="5" count="1" selected="0">
            <x v="0"/>
          </reference>
          <reference field="6" count="1">
            <x v="18"/>
          </reference>
        </references>
      </pivotArea>
    </format>
    <format dxfId="64">
      <pivotArea dataOnly="0" labelOnly="1" outline="0" fieldPosition="0">
        <references count="7">
          <reference field="0" count="1" selected="0">
            <x v="4"/>
          </reference>
          <reference field="1" count="0" selected="0"/>
          <reference field="2" count="1" selected="0">
            <x v="1252"/>
          </reference>
          <reference field="3" count="1" selected="0">
            <x v="77"/>
          </reference>
          <reference field="4" count="1" selected="0">
            <x v="78"/>
          </reference>
          <reference field="5" count="1" selected="0">
            <x v="10"/>
          </reference>
          <reference field="6" count="1">
            <x v="6"/>
          </reference>
        </references>
      </pivotArea>
    </format>
    <format dxfId="63">
      <pivotArea dataOnly="0" labelOnly="1" outline="0" fieldPosition="0">
        <references count="7">
          <reference field="0" count="1" selected="0">
            <x v="5"/>
          </reference>
          <reference field="1" count="0" selected="0"/>
          <reference field="2" count="1" selected="0">
            <x v="1209"/>
          </reference>
          <reference field="3" count="1" selected="0">
            <x v="207"/>
          </reference>
          <reference field="4" count="1" selected="0">
            <x v="203"/>
          </reference>
          <reference field="5" count="1" selected="0">
            <x v="5"/>
          </reference>
          <reference field="6" count="1">
            <x v="0"/>
          </reference>
        </references>
      </pivotArea>
    </format>
    <format dxfId="62">
      <pivotArea dataOnly="0" labelOnly="1" outline="0" fieldPosition="0">
        <references count="7">
          <reference field="0" count="1" selected="0">
            <x v="5"/>
          </reference>
          <reference field="1" count="0" selected="0"/>
          <reference field="2" count="1" selected="0">
            <x v="1250"/>
          </reference>
          <reference field="3" count="1" selected="0">
            <x v="39"/>
          </reference>
          <reference field="4" count="1" selected="0">
            <x v="17"/>
          </reference>
          <reference field="5" count="1" selected="0">
            <x v="10"/>
          </reference>
          <reference field="6" count="1">
            <x v="22"/>
          </reference>
        </references>
      </pivotArea>
    </format>
    <format dxfId="61">
      <pivotArea dataOnly="0" labelOnly="1" outline="0" fieldPosition="0">
        <references count="7">
          <reference field="0" count="1" selected="0">
            <x v="5"/>
          </reference>
          <reference field="1" count="0" selected="0"/>
          <reference field="2" count="1" selected="0">
            <x v="1254"/>
          </reference>
          <reference field="3" count="1" selected="0">
            <x v="29"/>
          </reference>
          <reference field="4" count="1" selected="0">
            <x v="62"/>
          </reference>
          <reference field="5" count="1" selected="0">
            <x v="6"/>
          </reference>
          <reference field="6" count="1">
            <x v="23"/>
          </reference>
        </references>
      </pivotArea>
    </format>
    <format dxfId="60">
      <pivotArea dataOnly="0" labelOnly="1" outline="0" fieldPosition="0">
        <references count="7">
          <reference field="0" count="1" selected="0">
            <x v="5"/>
          </reference>
          <reference field="1" count="0" selected="0"/>
          <reference field="2" count="1" selected="0">
            <x v="1254"/>
          </reference>
          <reference field="3" count="1" selected="0">
            <x v="29"/>
          </reference>
          <reference field="4" count="1" selected="0">
            <x v="62"/>
          </reference>
          <reference field="5" count="1" selected="0">
            <x v="10"/>
          </reference>
          <reference field="6" count="1">
            <x v="22"/>
          </reference>
        </references>
      </pivotArea>
    </format>
    <format dxfId="59">
      <pivotArea dataOnly="0" labelOnly="1" outline="0" fieldPosition="0">
        <references count="7">
          <reference field="0" count="1" selected="0">
            <x v="5"/>
          </reference>
          <reference field="1" count="0" selected="0"/>
          <reference field="2" count="1" selected="0">
            <x v="1259"/>
          </reference>
          <reference field="3" count="1" selected="0">
            <x v="83"/>
          </reference>
          <reference field="4" count="1" selected="0">
            <x v="84"/>
          </reference>
          <reference field="5" count="1" selected="0">
            <x v="10"/>
          </reference>
          <reference field="6" count="1">
            <x v="23"/>
          </reference>
        </references>
      </pivotArea>
    </format>
    <format dxfId="58">
      <pivotArea dataOnly="0" labelOnly="1" outline="0" fieldPosition="0">
        <references count="7">
          <reference field="0" count="1" selected="0">
            <x v="5"/>
          </reference>
          <reference field="1" count="0" selected="0"/>
          <reference field="2" count="1" selected="0">
            <x v="1261"/>
          </reference>
          <reference field="3" count="1" selected="0">
            <x v="208"/>
          </reference>
          <reference field="4" count="1" selected="0">
            <x v="204"/>
          </reference>
          <reference field="5" count="1" selected="0">
            <x v="5"/>
          </reference>
          <reference field="6" count="1">
            <x v="12"/>
          </reference>
        </references>
      </pivotArea>
    </format>
    <format dxfId="57">
      <pivotArea dataOnly="0" labelOnly="1" outline="0" fieldPosition="0">
        <references count="7">
          <reference field="0" count="1" selected="0">
            <x v="5"/>
          </reference>
          <reference field="1" count="0" selected="0"/>
          <reference field="2" count="1" selected="0">
            <x v="1262"/>
          </reference>
          <reference field="3" count="1" selected="0">
            <x v="3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7"/>
          </reference>
        </references>
      </pivotArea>
    </format>
    <format dxfId="56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134"/>
          </reference>
          <reference field="3" count="1" selected="0">
            <x v="194"/>
          </reference>
          <reference field="4" count="1" selected="0">
            <x v="190"/>
          </reference>
          <reference field="5" count="1" selected="0">
            <x v="5"/>
          </reference>
          <reference field="6" count="1" selected="0">
            <x v="6"/>
          </reference>
          <reference field="7" count="1">
            <x v="11"/>
          </reference>
        </references>
      </pivotArea>
    </format>
    <format dxfId="55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236"/>
          </reference>
          <reference field="3" count="1" selected="0">
            <x v="145"/>
          </reference>
          <reference field="4" count="1" selected="0">
            <x v="142"/>
          </reference>
          <reference field="5" count="1" selected="0">
            <x v="8"/>
          </reference>
          <reference field="6" count="1" selected="0">
            <x v="6"/>
          </reference>
          <reference field="7" count="1">
            <x v="6"/>
          </reference>
        </references>
      </pivotArea>
    </format>
    <format dxfId="54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237"/>
          </reference>
          <reference field="3" count="1" selected="0">
            <x v="205"/>
          </reference>
          <reference field="4" count="1" selected="0">
            <x v="201"/>
          </reference>
          <reference field="5" count="1" selected="0">
            <x v="7"/>
          </reference>
          <reference field="6" count="1" selected="0">
            <x v="6"/>
          </reference>
          <reference field="7" count="1">
            <x v="6"/>
          </reference>
        </references>
      </pivotArea>
    </format>
    <format dxfId="53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238"/>
          </reference>
          <reference field="3" count="1" selected="0">
            <x v="83"/>
          </reference>
          <reference field="4" count="1" selected="0">
            <x v="84"/>
          </reference>
          <reference field="5" count="1" selected="0">
            <x v="10"/>
          </reference>
          <reference field="6" count="1" selected="0">
            <x v="23"/>
          </reference>
          <reference field="7" count="1">
            <x v="6"/>
          </reference>
        </references>
      </pivotArea>
    </format>
    <format dxfId="52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276"/>
          </reference>
          <reference field="3" count="1" selected="0">
            <x v="39"/>
          </reference>
          <reference field="4" count="1" selected="0">
            <x v="17"/>
          </reference>
          <reference field="5" count="1" selected="0">
            <x v="10"/>
          </reference>
          <reference field="6" count="1" selected="0">
            <x v="23"/>
          </reference>
          <reference field="7" count="1">
            <x v="6"/>
          </reference>
        </references>
      </pivotArea>
    </format>
    <format dxfId="51">
      <pivotArea dataOnly="0" labelOnly="1" outline="0" fieldPosition="0">
        <references count="8">
          <reference field="0" count="1" selected="0">
            <x v="0"/>
          </reference>
          <reference field="1" count="0" selected="0"/>
          <reference field="2" count="1" selected="0">
            <x v="1277"/>
          </reference>
          <reference field="3" count="1" selected="0">
            <x v="39"/>
          </reference>
          <reference field="4" count="1" selected="0">
            <x v="17"/>
          </reference>
          <reference field="5" count="1" selected="0">
            <x v="10"/>
          </reference>
          <reference field="6" count="1" selected="0">
            <x v="23"/>
          </reference>
          <reference field="7" count="1">
            <x v="6"/>
          </reference>
        </references>
      </pivotArea>
    </format>
    <format dxfId="50">
      <pivotArea dataOnly="0" labelOnly="1" outline="0" fieldPosition="0">
        <references count="8">
          <reference field="0" count="1" selected="0">
            <x v="1"/>
          </reference>
          <reference field="1" count="0" selected="0"/>
          <reference field="2" count="1" selected="0">
            <x v="1241"/>
          </reference>
          <reference field="3" count="1" selected="0">
            <x v="83"/>
          </reference>
          <reference field="4" count="1" selected="0">
            <x v="84"/>
          </reference>
          <reference field="5" count="1" selected="0">
            <x v="10"/>
          </reference>
          <reference field="6" count="1" selected="0">
            <x v="22"/>
          </reference>
          <reference field="7" count="1">
            <x v="6"/>
          </reference>
        </references>
      </pivotArea>
    </format>
    <format dxfId="49">
      <pivotArea dataOnly="0" labelOnly="1" outline="0" fieldPosition="0">
        <references count="8">
          <reference field="0" count="1" selected="0">
            <x v="1"/>
          </reference>
          <reference field="1" count="0" selected="0"/>
          <reference field="2" count="1" selected="0">
            <x v="1242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4"/>
          </reference>
          <reference field="6" count="1" selected="0">
            <x v="22"/>
          </reference>
          <reference field="7" count="1">
            <x v="6"/>
          </reference>
        </references>
      </pivotArea>
    </format>
    <format dxfId="48">
      <pivotArea dataOnly="0" labelOnly="1" outline="0" fieldPosition="0">
        <references count="8">
          <reference field="0" count="1" selected="0">
            <x v="1"/>
          </reference>
          <reference field="1" count="0" selected="0"/>
          <reference field="2" count="1" selected="0">
            <x v="1243"/>
          </reference>
          <reference field="3" count="1" selected="0">
            <x v="51"/>
          </reference>
          <reference field="4" count="1" selected="0">
            <x v="48"/>
          </reference>
          <reference field="5" count="1" selected="0">
            <x v="2"/>
          </reference>
          <reference field="6" count="1" selected="0">
            <x v="3"/>
          </reference>
          <reference field="7" count="1">
            <x v="6"/>
          </reference>
        </references>
      </pivotArea>
    </format>
    <format dxfId="47">
      <pivotArea dataOnly="0" labelOnly="1" outline="0" fieldPosition="0">
        <references count="8">
          <reference field="0" count="1" selected="0">
            <x v="1"/>
          </reference>
          <reference field="1" count="0" selected="0"/>
          <reference field="2" count="1" selected="0">
            <x v="1244"/>
          </reference>
          <reference field="3" count="1" selected="0">
            <x v="36"/>
          </reference>
          <reference field="4" count="1" selected="0">
            <x v="21"/>
          </reference>
          <reference field="5" count="1" selected="0">
            <x v="11"/>
          </reference>
          <reference field="6" count="1" selected="0">
            <x v="22"/>
          </reference>
          <reference field="7" count="1">
            <x v="6"/>
          </reference>
        </references>
      </pivotArea>
    </format>
    <format dxfId="46">
      <pivotArea dataOnly="0" labelOnly="1" outline="0" fieldPosition="0">
        <references count="8">
          <reference field="0" count="1" selected="0">
            <x v="1"/>
          </reference>
          <reference field="1" count="0" selected="0"/>
          <reference field="2" count="1" selected="0">
            <x v="1245"/>
          </reference>
          <reference field="3" count="1" selected="0">
            <x v="206"/>
          </reference>
          <reference field="4" count="1" selected="0">
            <x v="202"/>
          </reference>
          <reference field="5" count="1" selected="0">
            <x v="5"/>
          </reference>
          <reference field="6" count="1" selected="0">
            <x v="7"/>
          </reference>
          <reference field="7" count="1">
            <x v="17"/>
          </reference>
        </references>
      </pivotArea>
    </format>
    <format dxfId="45">
      <pivotArea dataOnly="0" labelOnly="1" outline="0" fieldPosition="0">
        <references count="8">
          <reference field="0" count="1" selected="0">
            <x v="1"/>
          </reference>
          <reference field="1" count="0" selected="0"/>
          <reference field="2" count="1" selected="0">
            <x v="1258"/>
          </reference>
          <reference field="3" count="1" selected="0">
            <x v="205"/>
          </reference>
          <reference field="4" count="1" selected="0">
            <x v="201"/>
          </reference>
          <reference field="5" count="1" selected="0">
            <x v="7"/>
          </reference>
          <reference field="6" count="1" selected="0">
            <x v="7"/>
          </reference>
          <reference field="7" count="1">
            <x v="17"/>
          </reference>
        </references>
      </pivotArea>
    </format>
    <format dxfId="44">
      <pivotArea dataOnly="0" labelOnly="1" outline="0" fieldPosition="0">
        <references count="8">
          <reference field="0" count="1" selected="0">
            <x v="2"/>
          </reference>
          <reference field="1" count="0" selected="0"/>
          <reference field="2" count="1" selected="0">
            <x v="1274"/>
          </reference>
          <reference field="3" count="1" selected="0">
            <x v="208"/>
          </reference>
          <reference field="4" count="1" selected="0">
            <x v="204"/>
          </reference>
          <reference field="5" count="1" selected="0">
            <x v="5"/>
          </reference>
          <reference field="6" count="1" selected="0">
            <x v="12"/>
          </reference>
          <reference field="7" count="1">
            <x v="6"/>
          </reference>
        </references>
      </pivotArea>
    </format>
    <format dxfId="43">
      <pivotArea dataOnly="0" labelOnly="1" outline="0" fieldPosition="0">
        <references count="8">
          <reference field="0" count="1" selected="0">
            <x v="2"/>
          </reference>
          <reference field="1" count="0" selected="0"/>
          <reference field="2" count="1" selected="0">
            <x v="1275"/>
          </reference>
          <reference field="3" count="1" selected="0">
            <x v="75"/>
          </reference>
          <reference field="4" count="1" selected="0">
            <x v="76"/>
          </reference>
          <reference field="5" count="1" selected="0">
            <x v="7"/>
          </reference>
          <reference field="6" count="1" selected="0">
            <x v="22"/>
          </reference>
          <reference field="7" count="1">
            <x v="6"/>
          </reference>
        </references>
      </pivotArea>
    </format>
    <format dxfId="42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239"/>
          </reference>
          <reference field="3" count="1" selected="0">
            <x v="205"/>
          </reference>
          <reference field="4" count="1" selected="0">
            <x v="201"/>
          </reference>
          <reference field="5" count="1" selected="0">
            <x v="7"/>
          </reference>
          <reference field="6" count="1" selected="0">
            <x v="6"/>
          </reference>
          <reference field="7" count="1">
            <x v="6"/>
          </reference>
        </references>
      </pivotArea>
    </format>
    <format dxfId="41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240"/>
          </reference>
          <reference field="3" count="1" selected="0">
            <x v="3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23"/>
          </reference>
          <reference field="7" count="1">
            <x v="6"/>
          </reference>
        </references>
      </pivotArea>
    </format>
    <format dxfId="40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251"/>
          </reference>
          <reference field="3" count="1" selected="0">
            <x v="83"/>
          </reference>
          <reference field="4" count="1" selected="0">
            <x v="84"/>
          </reference>
          <reference field="5" count="1" selected="0">
            <x v="10"/>
          </reference>
          <reference field="6" count="1" selected="0">
            <x v="22"/>
          </reference>
          <reference field="7" count="1">
            <x v="6"/>
          </reference>
        </references>
      </pivotArea>
    </format>
    <format dxfId="39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255"/>
          </reference>
          <reference field="3" count="1" selected="0">
            <x v="24"/>
          </reference>
          <reference field="4" count="1" selected="0">
            <x v="36"/>
          </reference>
          <reference field="5" count="1" selected="0">
            <x v="10"/>
          </reference>
          <reference field="6" count="1" selected="0">
            <x v="5"/>
          </reference>
          <reference field="7" count="1">
            <x v="17"/>
          </reference>
        </references>
      </pivotArea>
    </format>
    <format dxfId="38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256"/>
          </reference>
          <reference field="3" count="1" selected="0">
            <x v="39"/>
          </reference>
          <reference field="4" count="1" selected="0">
            <x v="17"/>
          </reference>
          <reference field="5" count="1" selected="0">
            <x v="10"/>
          </reference>
          <reference field="6" count="1" selected="0">
            <x v="22"/>
          </reference>
          <reference field="7" count="1">
            <x v="6"/>
          </reference>
        </references>
      </pivotArea>
    </format>
    <format dxfId="37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257"/>
          </reference>
          <reference field="3" count="1" selected="0">
            <x v="207"/>
          </reference>
          <reference field="4" count="1" selected="0">
            <x v="203"/>
          </reference>
          <reference field="5" count="1" selected="0">
            <x v="5"/>
          </reference>
          <reference field="6" count="1" selected="0">
            <x v="0"/>
          </reference>
          <reference field="7" count="1">
            <x v="6"/>
          </reference>
        </references>
      </pivotArea>
    </format>
    <format dxfId="36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267"/>
          </reference>
          <reference field="3" count="1" selected="0">
            <x v="77"/>
          </reference>
          <reference field="4" count="1" selected="0">
            <x v="78"/>
          </reference>
          <reference field="5" count="1" selected="0">
            <x v="7"/>
          </reference>
          <reference field="6" count="1" selected="0">
            <x v="6"/>
          </reference>
          <reference field="7" count="1">
            <x v="20"/>
          </reference>
        </references>
      </pivotArea>
    </format>
    <format dxfId="35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268"/>
          </reference>
          <reference field="3" count="1" selected="0">
            <x v="77"/>
          </reference>
          <reference field="4" count="1" selected="0">
            <x v="78"/>
          </reference>
          <reference field="5" count="1" selected="0">
            <x v="7"/>
          </reference>
          <reference field="6" count="1" selected="0">
            <x v="6"/>
          </reference>
          <reference field="7" count="1">
            <x v="20"/>
          </reference>
        </references>
      </pivotArea>
    </format>
    <format dxfId="34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269"/>
          </reference>
          <reference field="3" count="1" selected="0">
            <x v="84"/>
          </reference>
          <reference field="4" count="1" selected="0">
            <x v="85"/>
          </reference>
          <reference field="5" count="1" selected="0">
            <x v="10"/>
          </reference>
          <reference field="6" count="1" selected="0">
            <x v="7"/>
          </reference>
          <reference field="7" count="1">
            <x v="17"/>
          </reference>
        </references>
      </pivotArea>
    </format>
    <format dxfId="33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270"/>
          </reference>
          <reference field="3" count="1" selected="0">
            <x v="84"/>
          </reference>
          <reference field="4" count="1" selected="0">
            <x v="85"/>
          </reference>
          <reference field="5" count="1" selected="0">
            <x v="10"/>
          </reference>
          <reference field="6" count="1" selected="0">
            <x v="7"/>
          </reference>
          <reference field="7" count="1">
            <x v="18"/>
          </reference>
        </references>
      </pivotArea>
    </format>
    <format dxfId="32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271"/>
          </reference>
          <reference field="3" count="1" selected="0">
            <x v="84"/>
          </reference>
          <reference field="4" count="1" selected="0">
            <x v="85"/>
          </reference>
          <reference field="5" count="1" selected="0">
            <x v="10"/>
          </reference>
          <reference field="6" count="1" selected="0">
            <x v="7"/>
          </reference>
          <reference field="7" count="1">
            <x v="17"/>
          </reference>
        </references>
      </pivotArea>
    </format>
    <format dxfId="31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272"/>
          </reference>
          <reference field="3" count="1" selected="0">
            <x v="39"/>
          </reference>
          <reference field="4" count="1" selected="0">
            <x v="17"/>
          </reference>
          <reference field="5" count="1" selected="0">
            <x v="10"/>
          </reference>
          <reference field="6" count="1" selected="0">
            <x v="23"/>
          </reference>
          <reference field="7" count="1">
            <x v="17"/>
          </reference>
        </references>
      </pivotArea>
    </format>
    <format dxfId="30">
      <pivotArea dataOnly="0" labelOnly="1" outline="0" fieldPosition="0">
        <references count="8">
          <reference field="0" count="1" selected="0">
            <x v="3"/>
          </reference>
          <reference field="1" count="0" selected="0"/>
          <reference field="2" count="1" selected="0">
            <x v="1273"/>
          </reference>
          <reference field="3" count="1" selected="0">
            <x v="208"/>
          </reference>
          <reference field="4" count="1" selected="0">
            <x v="204"/>
          </reference>
          <reference field="5" count="1" selected="0">
            <x v="5"/>
          </reference>
          <reference field="6" count="1" selected="0">
            <x v="12"/>
          </reference>
          <reference field="7" count="1">
            <x v="6"/>
          </reference>
        </references>
      </pivotArea>
    </format>
    <format dxfId="29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221"/>
          </reference>
          <reference field="3" count="1" selected="0">
            <x v="32"/>
          </reference>
          <reference field="4" count="1" selected="0">
            <x v="9"/>
          </reference>
          <reference field="5" count="1" selected="0">
            <x v="10"/>
          </reference>
          <reference field="6" count="1" selected="0">
            <x v="6"/>
          </reference>
          <reference field="7" count="1">
            <x v="21"/>
          </reference>
        </references>
      </pivotArea>
    </format>
    <format dxfId="28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222"/>
          </reference>
          <reference field="3" count="1" selected="0">
            <x v="32"/>
          </reference>
          <reference field="4" count="1" selected="0">
            <x v="9"/>
          </reference>
          <reference field="5" count="1" selected="0">
            <x v="10"/>
          </reference>
          <reference field="6" count="1" selected="0">
            <x v="6"/>
          </reference>
          <reference field="7" count="1">
            <x v="21"/>
          </reference>
        </references>
      </pivotArea>
    </format>
    <format dxfId="27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223"/>
          </reference>
          <reference field="3" count="1" selected="0">
            <x v="32"/>
          </reference>
          <reference field="4" count="1" selected="0">
            <x v="9"/>
          </reference>
          <reference field="5" count="1" selected="0">
            <x v="10"/>
          </reference>
          <reference field="6" count="1" selected="0">
            <x v="6"/>
          </reference>
          <reference field="7" count="1">
            <x v="21"/>
          </reference>
        </references>
      </pivotArea>
    </format>
    <format dxfId="26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246"/>
          </reference>
          <reference field="3" count="1" selected="0">
            <x v="11"/>
          </reference>
          <reference field="4" count="1" selected="0">
            <x v="28"/>
          </reference>
          <reference field="5" count="1" selected="0">
            <x v="4"/>
          </reference>
          <reference field="6" count="1" selected="0">
            <x v="18"/>
          </reference>
          <reference field="7" count="1">
            <x v="17"/>
          </reference>
        </references>
      </pivotArea>
    </format>
    <format dxfId="25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247"/>
          </reference>
          <reference field="3" count="1" selected="0">
            <x v="44"/>
          </reference>
          <reference field="4" count="1" selected="0">
            <x v="38"/>
          </reference>
          <reference field="5" count="1" selected="0">
            <x v="4"/>
          </reference>
          <reference field="6" count="1" selected="0">
            <x v="18"/>
          </reference>
          <reference field="7" count="1">
            <x v="17"/>
          </reference>
        </references>
      </pivotArea>
    </format>
    <format dxfId="24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248"/>
          </reference>
          <reference field="3" count="1" selected="0">
            <x v="83"/>
          </reference>
          <reference field="4" count="1" selected="0">
            <x v="84"/>
          </reference>
          <reference field="5" count="1" selected="0">
            <x v="10"/>
          </reference>
          <reference field="6" count="1" selected="0">
            <x v="22"/>
          </reference>
          <reference field="7" count="1">
            <x v="6"/>
          </reference>
        </references>
      </pivotArea>
    </format>
    <format dxfId="23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249"/>
          </reference>
          <reference field="3" count="1" selected="0">
            <x v="4"/>
          </reference>
          <reference field="4" count="1" selected="0">
            <x v="43"/>
          </reference>
          <reference field="5" count="1" selected="0">
            <x v="0"/>
          </reference>
          <reference field="6" count="1" selected="0">
            <x v="18"/>
          </reference>
          <reference field="7" count="1">
            <x v="17"/>
          </reference>
        </references>
      </pivotArea>
    </format>
    <format dxfId="22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252"/>
          </reference>
          <reference field="3" count="1" selected="0">
            <x v="77"/>
          </reference>
          <reference field="4" count="1" selected="0">
            <x v="78"/>
          </reference>
          <reference field="5" count="1" selected="0">
            <x v="10"/>
          </reference>
          <reference field="6" count="1" selected="0">
            <x v="6"/>
          </reference>
          <reference field="7" count="1">
            <x v="20"/>
          </reference>
        </references>
      </pivotArea>
    </format>
    <format dxfId="21">
      <pivotArea dataOnly="0" labelOnly="1" outline="0" fieldPosition="0">
        <references count="8">
          <reference field="0" count="1" selected="0">
            <x v="4"/>
          </reference>
          <reference field="1" count="0" selected="0"/>
          <reference field="2" count="1" selected="0">
            <x v="1253"/>
          </reference>
          <reference field="3" count="1" selected="0">
            <x v="77"/>
          </reference>
          <reference field="4" count="1" selected="0">
            <x v="78"/>
          </reference>
          <reference field="5" count="1" selected="0">
            <x v="10"/>
          </reference>
          <reference field="6" count="1" selected="0">
            <x v="6"/>
          </reference>
          <reference field="7" count="1">
            <x v="20"/>
          </reference>
        </references>
      </pivotArea>
    </format>
    <format dxfId="20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209"/>
          </reference>
          <reference field="3" count="1" selected="0">
            <x v="207"/>
          </reference>
          <reference field="4" count="1" selected="0">
            <x v="203"/>
          </reference>
          <reference field="5" count="1" selected="0">
            <x v="5"/>
          </reference>
          <reference field="6" count="1" selected="0">
            <x v="0"/>
          </reference>
          <reference field="7" count="1">
            <x v="32"/>
          </reference>
        </references>
      </pivotArea>
    </format>
    <format dxfId="19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250"/>
          </reference>
          <reference field="3" count="1" selected="0">
            <x v="39"/>
          </reference>
          <reference field="4" count="1" selected="0">
            <x v="17"/>
          </reference>
          <reference field="5" count="1" selected="0">
            <x v="10"/>
          </reference>
          <reference field="6" count="1" selected="0">
            <x v="22"/>
          </reference>
          <reference field="7" count="1">
            <x v="6"/>
          </reference>
        </references>
      </pivotArea>
    </format>
    <format dxfId="18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254"/>
          </reference>
          <reference field="3" count="1" selected="0">
            <x v="29"/>
          </reference>
          <reference field="4" count="1" selected="0">
            <x v="62"/>
          </reference>
          <reference field="5" count="1" selected="0">
            <x v="6"/>
          </reference>
          <reference field="6" count="1" selected="0">
            <x v="23"/>
          </reference>
          <reference field="7" count="1">
            <x v="6"/>
          </reference>
        </references>
      </pivotArea>
    </format>
    <format dxfId="17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254"/>
          </reference>
          <reference field="3" count="1" selected="0">
            <x v="29"/>
          </reference>
          <reference field="4" count="1" selected="0">
            <x v="62"/>
          </reference>
          <reference field="5" count="1" selected="0">
            <x v="10"/>
          </reference>
          <reference field="6" count="1" selected="0">
            <x v="22"/>
          </reference>
          <reference field="7" count="1">
            <x v="6"/>
          </reference>
        </references>
      </pivotArea>
    </format>
    <format dxfId="16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259"/>
          </reference>
          <reference field="3" count="1" selected="0">
            <x v="83"/>
          </reference>
          <reference field="4" count="1" selected="0">
            <x v="84"/>
          </reference>
          <reference field="5" count="1" selected="0">
            <x v="10"/>
          </reference>
          <reference field="6" count="1" selected="0">
            <x v="23"/>
          </reference>
          <reference field="7" count="1">
            <x v="6"/>
          </reference>
        </references>
      </pivotArea>
    </format>
    <format dxfId="15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260"/>
          </reference>
          <reference field="3" count="1" selected="0">
            <x v="26"/>
          </reference>
          <reference field="4" count="1" selected="0">
            <x v="58"/>
          </reference>
          <reference field="5" count="1" selected="0">
            <x v="8"/>
          </reference>
          <reference field="6" count="1" selected="0">
            <x v="23"/>
          </reference>
          <reference field="7" count="1">
            <x v="50"/>
          </reference>
        </references>
      </pivotArea>
    </format>
    <format dxfId="14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261"/>
          </reference>
          <reference field="3" count="1" selected="0">
            <x v="208"/>
          </reference>
          <reference field="4" count="1" selected="0">
            <x v="204"/>
          </reference>
          <reference field="5" count="1" selected="0">
            <x v="5"/>
          </reference>
          <reference field="6" count="1" selected="0">
            <x v="12"/>
          </reference>
          <reference field="7" count="1">
            <x v="6"/>
          </reference>
        </references>
      </pivotArea>
    </format>
    <format dxfId="13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262"/>
          </reference>
          <reference field="3" count="1" selected="0">
            <x v="3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7"/>
          </reference>
          <reference field="7" count="1">
            <x v="18"/>
          </reference>
        </references>
      </pivotArea>
    </format>
    <format dxfId="12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263"/>
          </reference>
          <reference field="3" count="1" selected="0">
            <x v="3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7"/>
          </reference>
          <reference field="7" count="1">
            <x v="18"/>
          </reference>
        </references>
      </pivotArea>
    </format>
    <format dxfId="11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264"/>
          </reference>
          <reference field="3" count="1" selected="0">
            <x v="3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7"/>
          </reference>
          <reference field="7" count="1">
            <x v="18"/>
          </reference>
        </references>
      </pivotArea>
    </format>
    <format dxfId="10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265"/>
          </reference>
          <reference field="3" count="1" selected="0">
            <x v="3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7"/>
          </reference>
          <reference field="7" count="1">
            <x v="18"/>
          </reference>
        </references>
      </pivotArea>
    </format>
    <format dxfId="9">
      <pivotArea dataOnly="0" labelOnly="1" outline="0" fieldPosition="0">
        <references count="8">
          <reference field="0" count="1" selected="0">
            <x v="5"/>
          </reference>
          <reference field="1" count="0" selected="0"/>
          <reference field="2" count="1" selected="0">
            <x v="1266"/>
          </reference>
          <reference field="3" count="1" selected="0">
            <x v="3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7"/>
          </reference>
          <reference field="7" count="1">
            <x v="18"/>
          </reference>
        </references>
      </pivotArea>
    </format>
  </formats>
  <pivotTableStyleInfo name="Estilo de Tabela Dinâmica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" xr10:uid="{13F25853-47BB-4B31-93B9-B3D72B1A25FD}" sourceName="DATA">
  <pivotTables>
    <pivotTable tabId="73" name="Tabela dinâmica1"/>
  </pivotTables>
  <data>
    <tabular pivotCacheId="940134836">
      <items count="125">
        <i x="65"/>
        <i x="0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30"/>
        <i x="31"/>
        <i x="32"/>
        <i x="33"/>
        <i x="34"/>
        <i x="35"/>
        <i x="36"/>
        <i x="37"/>
        <i x="38"/>
        <i x="39"/>
        <i x="40"/>
        <i x="41"/>
        <i x="42"/>
        <i x="43"/>
        <i x="44"/>
        <i x="45"/>
        <i x="46"/>
        <i x="47"/>
        <i x="48"/>
        <i x="49"/>
        <i x="50"/>
        <i x="51"/>
        <i x="52"/>
        <i x="53"/>
        <i x="54"/>
        <i x="55"/>
        <i x="56"/>
        <i x="57"/>
        <i x="58"/>
        <i x="59"/>
        <i x="60"/>
        <i x="61"/>
        <i x="62"/>
        <i x="63"/>
        <i x="64"/>
        <i x="66"/>
        <i x="67"/>
        <i x="68"/>
        <i x="69"/>
        <i x="70"/>
        <i x="71"/>
        <i x="72"/>
        <i x="73"/>
        <i x="74"/>
        <i x="75"/>
        <i x="76"/>
        <i x="77"/>
        <i x="78"/>
        <i x="79"/>
        <i x="80"/>
        <i x="107"/>
        <i x="81"/>
        <i x="82"/>
        <i x="83"/>
        <i x="84"/>
        <i x="85"/>
        <i x="86"/>
        <i x="87"/>
        <i x="88"/>
        <i x="89"/>
        <i x="90"/>
        <i x="91"/>
        <i x="92"/>
        <i x="93"/>
        <i x="94"/>
        <i x="95"/>
        <i x="96"/>
        <i x="97"/>
        <i x="98"/>
        <i x="99"/>
        <i x="100"/>
        <i x="101"/>
        <i x="102"/>
        <i x="103"/>
        <i x="104"/>
        <i x="105"/>
        <i x="106"/>
        <i x="108"/>
        <i x="109"/>
        <i x="110"/>
        <i x="111"/>
        <i x="112" s="1"/>
        <i x="113" nd="1"/>
        <i x="122" nd="1"/>
        <i x="118" nd="1"/>
        <i x="124" nd="1"/>
        <i x="117" nd="1"/>
        <i x="119" nd="1"/>
        <i x="115" nd="1"/>
        <i x="121" nd="1"/>
        <i x="116" nd="1"/>
        <i x="123" nd="1"/>
        <i x="114" nd="1"/>
        <i x="120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" xr10:uid="{6B99EF00-5DA4-44BE-B953-3601B394A201}" cache="SegmentaçãodeDados_DATA" caption="DATA" startItem="89" style="Estilo de Segmentação de Dados 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A6D16E-743C-4084-8E6A-BBA7461512AE}" name="Tabela1" displayName="Tabela1" ref="B2:I3214" totalsRowShown="0" dataDxfId="8">
  <autoFilter ref="B2:I3214" xr:uid="{D6A6D16E-743C-4084-8E6A-BBA7461512AE}"/>
  <sortState xmlns:xlrd2="http://schemas.microsoft.com/office/spreadsheetml/2017/richdata2" ref="B3:I1095">
    <sortCondition ref="C2:C1095"/>
  </sortState>
  <tableColumns count="8">
    <tableColumn id="1" xr3:uid="{3FCC54FF-A423-462B-AADC-2DFAB90F2D38}" name="LOJA" dataDxfId="7"/>
    <tableColumn id="2" xr3:uid="{85D62249-1BE2-41ED-B692-7F176900991D}" name="DATA" dataDxfId="6"/>
    <tableColumn id="3" xr3:uid="{BA7612FA-7DF6-4FFD-ADFA-205203531DE9}" name="NOTA FISCAL" dataDxfId="5"/>
    <tableColumn id="4" xr3:uid="{765E5184-8C62-4900-BD9F-11FB8902D483}" name="SEQ FORNECEDOR" dataDxfId="4"/>
    <tableColumn id="5" xr3:uid="{D2CE18B8-C2BD-485F-8A63-276D08D89656}" name="FORNECEDOR" dataDxfId="3"/>
    <tableColumn id="6" xr3:uid="{230C2F24-EAF4-4F83-B151-23B1C05CA2D1}" name="COMPRADOR" dataDxfId="2"/>
    <tableColumn id="7" xr3:uid="{38328AF6-0B18-4285-BEE5-AF83ADDE0A8B}" name="MOTIVO DA DEVOLUÇÃO" dataDxfId="1"/>
    <tableColumn id="8" xr3:uid="{3F6642FE-F028-49C0-9C06-54588098F5B9}" name="AUTORIZADO POR: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EC10B-5CD8-4DDB-8C20-28787634FF04}">
  <dimension ref="A1:L2930"/>
  <sheetViews>
    <sheetView showGridLines="0" tabSelected="1" zoomScale="70" zoomScaleNormal="70" workbookViewId="0">
      <selection activeCell="I44" sqref="I44"/>
    </sheetView>
  </sheetViews>
  <sheetFormatPr defaultRowHeight="15" x14ac:dyDescent="0.25"/>
  <cols>
    <col min="1" max="1" width="1.7109375" style="19" customWidth="1"/>
    <col min="2" max="2" width="17.28515625" style="10" customWidth="1"/>
    <col min="3" max="3" width="14.85546875" style="10" bestFit="1" customWidth="1"/>
    <col min="4" max="4" width="20" style="10" bestFit="1" customWidth="1"/>
    <col min="5" max="5" width="21.7109375" style="10" bestFit="1" customWidth="1"/>
    <col min="6" max="6" width="56.7109375" style="10" bestFit="1" customWidth="1"/>
    <col min="7" max="7" width="18.7109375" style="10" bestFit="1" customWidth="1"/>
    <col min="8" max="8" width="39.42578125" style="10" bestFit="1" customWidth="1"/>
    <col min="9" max="9" width="25.42578125" style="10" bestFit="1" customWidth="1"/>
    <col min="10" max="10" width="1.140625" style="19" customWidth="1"/>
    <col min="11" max="11" width="18.7109375" style="10" bestFit="1" customWidth="1"/>
    <col min="12" max="12" width="19.28515625" style="10" customWidth="1"/>
    <col min="13" max="13" width="1.5703125" style="10" customWidth="1"/>
    <col min="14" max="16" width="9.140625" style="10"/>
    <col min="17" max="17" width="9" style="10" customWidth="1"/>
    <col min="18" max="16384" width="9.140625" style="10"/>
  </cols>
  <sheetData>
    <row r="1" spans="1:12" s="19" customFormat="1" ht="12.75" customHeight="1" thickBot="1" x14ac:dyDescent="0.3"/>
    <row r="2" spans="1:12" ht="24" thickBot="1" x14ac:dyDescent="0.4">
      <c r="B2" s="3" t="str">
        <f>"PLANILHA DE DEVOLUÇÃO E SITUAÇÕES DIVERSAS: "&amp;TEXT(C4,"DD/MM/AAAA")</f>
        <v>PLANILHA DE DEVOLUÇÃO E SITUAÇÕES DIVERSAS: 12/09/2023</v>
      </c>
      <c r="C2" s="4"/>
      <c r="D2" s="4"/>
      <c r="E2" s="4"/>
      <c r="F2" s="5"/>
      <c r="G2" s="4"/>
      <c r="H2" s="6"/>
      <c r="I2" s="7"/>
      <c r="J2" s="21"/>
      <c r="K2" s="34" t="s">
        <v>18</v>
      </c>
      <c r="L2" s="35"/>
    </row>
    <row r="3" spans="1:12" s="22" customFormat="1" ht="16.5" thickBot="1" x14ac:dyDescent="0.3">
      <c r="A3" s="26"/>
      <c r="B3" s="23" t="s">
        <v>9</v>
      </c>
      <c r="C3" s="23" t="s">
        <v>10</v>
      </c>
      <c r="D3" s="23" t="s">
        <v>11</v>
      </c>
      <c r="E3" s="23" t="s">
        <v>19</v>
      </c>
      <c r="F3" s="23" t="s">
        <v>12</v>
      </c>
      <c r="G3" s="23" t="s">
        <v>13</v>
      </c>
      <c r="H3" s="23" t="s">
        <v>14</v>
      </c>
      <c r="I3" s="23" t="s">
        <v>15</v>
      </c>
      <c r="J3" s="27"/>
      <c r="K3" s="28" t="s">
        <v>13</v>
      </c>
      <c r="L3" s="24" t="s">
        <v>138</v>
      </c>
    </row>
    <row r="4" spans="1:12" s="19" customFormat="1" x14ac:dyDescent="0.25">
      <c r="B4" s="19" t="s">
        <v>26</v>
      </c>
      <c r="C4" s="20">
        <v>45181</v>
      </c>
      <c r="D4" s="19">
        <v>149301</v>
      </c>
      <c r="E4" s="19">
        <v>11216</v>
      </c>
      <c r="F4" s="19" t="s">
        <v>326</v>
      </c>
      <c r="G4" s="19" t="s">
        <v>52</v>
      </c>
      <c r="H4" s="19" t="s">
        <v>28</v>
      </c>
      <c r="I4" s="19" t="s">
        <v>29</v>
      </c>
      <c r="J4" s="27"/>
      <c r="K4" s="29" t="s">
        <v>259</v>
      </c>
      <c r="L4" s="11">
        <f>COUNTIFS($H:$H,"SEM PEDIDO - COMPRADOR",$G:$G,K4)+COUNTIFS($H:$H,"SEM PEDIDO - FORNECEDOR",$G:$G,K4)+COUNTIFS($H:$H,"SEM PEDIDO",$G:$G,K4)</f>
        <v>0</v>
      </c>
    </row>
    <row r="5" spans="1:12" s="19" customFormat="1" x14ac:dyDescent="0.25">
      <c r="B5" s="19" t="s">
        <v>26</v>
      </c>
      <c r="C5" s="20">
        <v>45181</v>
      </c>
      <c r="D5" s="19">
        <v>148434</v>
      </c>
      <c r="E5" s="19">
        <v>11216</v>
      </c>
      <c r="F5" s="19" t="s">
        <v>326</v>
      </c>
      <c r="G5" s="19" t="s">
        <v>52</v>
      </c>
      <c r="H5" s="19" t="s">
        <v>28</v>
      </c>
      <c r="I5" s="19" t="s">
        <v>29</v>
      </c>
      <c r="J5" s="27"/>
      <c r="K5" s="29" t="s">
        <v>42</v>
      </c>
      <c r="L5" s="12">
        <f>COUNTIFS($H:$H,"SEM PEDIDO - COMPRADOR",$G:$G,K5)+COUNTIFS($H:$H,"SEM PEDIDO - FORNECEDOR",$G:$G,K5)+COUNTIFS($H:$H,"SEM PEDIDO",$G:$G,K5)</f>
        <v>0</v>
      </c>
    </row>
    <row r="6" spans="1:12" s="19" customFormat="1" x14ac:dyDescent="0.25">
      <c r="B6" s="19" t="s">
        <v>26</v>
      </c>
      <c r="C6" s="20">
        <v>45181</v>
      </c>
      <c r="D6" s="19">
        <v>149299</v>
      </c>
      <c r="E6" s="19">
        <v>11216</v>
      </c>
      <c r="F6" s="19" t="s">
        <v>326</v>
      </c>
      <c r="G6" s="19" t="s">
        <v>52</v>
      </c>
      <c r="H6" s="19" t="s">
        <v>28</v>
      </c>
      <c r="I6" s="19" t="s">
        <v>29</v>
      </c>
      <c r="J6" s="27"/>
      <c r="K6" s="29" t="s">
        <v>84</v>
      </c>
      <c r="L6" s="12">
        <f t="shared" ref="L6:L15" si="0">COUNTIFS($H:$H,"SEM PEDIDO - COMPRADOR",$G:$G,K6)+COUNTIFS($H:$H,"SEM PEDIDO - FORNECEDOR",$G:$G,K6)+COUNTIFS($H:$H,"SEM PEDIDO",$G:$G,K6)</f>
        <v>0</v>
      </c>
    </row>
    <row r="7" spans="1:12" s="19" customFormat="1" x14ac:dyDescent="0.25">
      <c r="B7" s="19" t="s">
        <v>26</v>
      </c>
      <c r="C7" s="20">
        <v>45181</v>
      </c>
      <c r="D7" s="19">
        <v>149300</v>
      </c>
      <c r="E7" s="19">
        <v>11216</v>
      </c>
      <c r="F7" s="19" t="s">
        <v>326</v>
      </c>
      <c r="G7" s="19" t="s">
        <v>52</v>
      </c>
      <c r="H7" s="19" t="s">
        <v>28</v>
      </c>
      <c r="I7" s="19" t="s">
        <v>29</v>
      </c>
      <c r="J7" s="27"/>
      <c r="K7" s="29" t="s">
        <v>258</v>
      </c>
      <c r="L7" s="12">
        <f t="shared" si="0"/>
        <v>0</v>
      </c>
    </row>
    <row r="8" spans="1:12" s="19" customFormat="1" x14ac:dyDescent="0.25">
      <c r="B8" s="19" t="s">
        <v>26</v>
      </c>
      <c r="C8" s="20">
        <v>45181</v>
      </c>
      <c r="D8" s="19">
        <v>1044826</v>
      </c>
      <c r="E8" s="19">
        <v>9403</v>
      </c>
      <c r="F8" s="19" t="s">
        <v>153</v>
      </c>
      <c r="G8" s="19" t="s">
        <v>5</v>
      </c>
      <c r="H8" s="19" t="s">
        <v>186</v>
      </c>
      <c r="I8" s="19" t="s">
        <v>57</v>
      </c>
      <c r="J8" s="27"/>
      <c r="K8" s="29" t="s">
        <v>120</v>
      </c>
      <c r="L8" s="12">
        <f t="shared" si="0"/>
        <v>0</v>
      </c>
    </row>
    <row r="9" spans="1:12" s="19" customFormat="1" x14ac:dyDescent="0.25">
      <c r="B9" s="19" t="s">
        <v>26</v>
      </c>
      <c r="C9" s="20">
        <v>45181</v>
      </c>
      <c r="D9" s="19">
        <v>1041528</v>
      </c>
      <c r="E9" s="19">
        <v>9403</v>
      </c>
      <c r="F9" s="19" t="s">
        <v>153</v>
      </c>
      <c r="G9" s="19" t="s">
        <v>5</v>
      </c>
      <c r="H9" s="19" t="s">
        <v>186</v>
      </c>
      <c r="I9" s="19" t="s">
        <v>57</v>
      </c>
      <c r="J9" s="27"/>
      <c r="K9" s="29" t="s">
        <v>335</v>
      </c>
      <c r="L9" s="12">
        <f t="shared" si="0"/>
        <v>0</v>
      </c>
    </row>
    <row r="10" spans="1:12" s="19" customFormat="1" x14ac:dyDescent="0.25">
      <c r="B10" s="19" t="s">
        <v>26</v>
      </c>
      <c r="C10" s="20">
        <v>45181</v>
      </c>
      <c r="D10" s="19">
        <v>1041526</v>
      </c>
      <c r="E10" s="19">
        <v>9403</v>
      </c>
      <c r="F10" s="19" t="s">
        <v>153</v>
      </c>
      <c r="G10" s="19" t="s">
        <v>5</v>
      </c>
      <c r="H10" s="19" t="s">
        <v>186</v>
      </c>
      <c r="I10" s="19" t="s">
        <v>57</v>
      </c>
      <c r="J10" s="27"/>
      <c r="K10" s="29" t="s">
        <v>57</v>
      </c>
      <c r="L10" s="12">
        <f t="shared" si="0"/>
        <v>3</v>
      </c>
    </row>
    <row r="11" spans="1:12" s="19" customFormat="1" x14ac:dyDescent="0.25">
      <c r="B11" s="19" t="s">
        <v>26</v>
      </c>
      <c r="C11" s="20">
        <v>45181</v>
      </c>
      <c r="D11" s="19">
        <v>1041529</v>
      </c>
      <c r="E11" s="19">
        <v>9403</v>
      </c>
      <c r="F11" s="19" t="s">
        <v>153</v>
      </c>
      <c r="G11" s="19" t="s">
        <v>5</v>
      </c>
      <c r="H11" s="19" t="s">
        <v>102</v>
      </c>
      <c r="I11" s="19" t="s">
        <v>17</v>
      </c>
      <c r="J11" s="27"/>
      <c r="K11" s="29" t="s">
        <v>260</v>
      </c>
      <c r="L11" s="12">
        <f t="shared" si="0"/>
        <v>0</v>
      </c>
    </row>
    <row r="12" spans="1:12" s="19" customFormat="1" x14ac:dyDescent="0.25">
      <c r="B12" s="19" t="s">
        <v>26</v>
      </c>
      <c r="C12" s="20">
        <v>45181</v>
      </c>
      <c r="D12" s="19">
        <v>174191</v>
      </c>
      <c r="E12" s="19">
        <v>12613</v>
      </c>
      <c r="F12" s="19" t="s">
        <v>371</v>
      </c>
      <c r="G12" s="19" t="s">
        <v>342</v>
      </c>
      <c r="H12" s="19" t="s">
        <v>36</v>
      </c>
      <c r="I12" s="19" t="s">
        <v>17</v>
      </c>
      <c r="J12" s="27"/>
      <c r="K12" s="29" t="s">
        <v>29</v>
      </c>
      <c r="L12" s="12">
        <f t="shared" si="0"/>
        <v>0</v>
      </c>
    </row>
    <row r="13" spans="1:12" s="19" customFormat="1" x14ac:dyDescent="0.25">
      <c r="B13" s="19" t="s">
        <v>26</v>
      </c>
      <c r="C13" s="20">
        <v>45181</v>
      </c>
      <c r="D13" s="19">
        <v>10869</v>
      </c>
      <c r="E13" s="19">
        <v>66224</v>
      </c>
      <c r="F13" s="19" t="s">
        <v>121</v>
      </c>
      <c r="G13" s="19" t="s">
        <v>334</v>
      </c>
      <c r="H13" s="19" t="s">
        <v>46</v>
      </c>
      <c r="I13" s="19" t="s">
        <v>17</v>
      </c>
      <c r="J13" s="27"/>
      <c r="K13" s="29" t="s">
        <v>227</v>
      </c>
      <c r="L13" s="13">
        <f t="shared" si="0"/>
        <v>0</v>
      </c>
    </row>
    <row r="14" spans="1:12" s="19" customFormat="1" x14ac:dyDescent="0.25">
      <c r="B14" s="19" t="s">
        <v>2</v>
      </c>
      <c r="C14" s="20">
        <v>45181</v>
      </c>
      <c r="D14" s="19">
        <v>10928</v>
      </c>
      <c r="E14" s="19">
        <v>67955</v>
      </c>
      <c r="F14" s="19" t="s">
        <v>181</v>
      </c>
      <c r="G14" s="19" t="s">
        <v>7</v>
      </c>
      <c r="H14" s="19" t="s">
        <v>38</v>
      </c>
      <c r="I14" s="19" t="s">
        <v>17</v>
      </c>
      <c r="J14" s="27"/>
      <c r="K14" s="30" t="s">
        <v>59</v>
      </c>
      <c r="L14" s="13">
        <f t="shared" si="0"/>
        <v>1</v>
      </c>
    </row>
    <row r="15" spans="1:12" s="19" customFormat="1" ht="15.75" thickBot="1" x14ac:dyDescent="0.3">
      <c r="B15" s="19" t="s">
        <v>2</v>
      </c>
      <c r="C15" s="20">
        <v>45181</v>
      </c>
      <c r="D15" s="19">
        <v>2151279</v>
      </c>
      <c r="E15" s="19">
        <v>9459</v>
      </c>
      <c r="F15" s="19" t="s">
        <v>105</v>
      </c>
      <c r="G15" s="19" t="s">
        <v>343</v>
      </c>
      <c r="H15" s="19" t="s">
        <v>186</v>
      </c>
      <c r="I15" s="19" t="s">
        <v>61</v>
      </c>
      <c r="J15" s="27"/>
      <c r="K15" s="30" t="s">
        <v>20</v>
      </c>
      <c r="L15" s="14">
        <f t="shared" si="0"/>
        <v>0</v>
      </c>
    </row>
    <row r="16" spans="1:12" s="19" customFormat="1" ht="15.75" thickBot="1" x14ac:dyDescent="0.3">
      <c r="B16" s="19" t="s">
        <v>2</v>
      </c>
      <c r="C16" s="20">
        <v>45181</v>
      </c>
      <c r="D16" s="19">
        <v>62998</v>
      </c>
      <c r="E16" s="19">
        <v>63264</v>
      </c>
      <c r="F16" s="19" t="s">
        <v>428</v>
      </c>
      <c r="G16" s="19" t="s">
        <v>7</v>
      </c>
      <c r="H16" s="19" t="s">
        <v>355</v>
      </c>
      <c r="I16" s="19" t="s">
        <v>373</v>
      </c>
      <c r="J16" s="27"/>
      <c r="K16" s="25" t="s">
        <v>261</v>
      </c>
      <c r="L16" s="15">
        <f>SUM(L4:L15)</f>
        <v>4</v>
      </c>
    </row>
    <row r="17" spans="2:11" s="19" customFormat="1" x14ac:dyDescent="0.25">
      <c r="B17" s="19" t="s">
        <v>2</v>
      </c>
      <c r="C17" s="20">
        <v>45181</v>
      </c>
      <c r="D17" s="19">
        <v>838309</v>
      </c>
      <c r="E17" s="19">
        <v>9364</v>
      </c>
      <c r="F17" s="19" t="s">
        <v>141</v>
      </c>
      <c r="G17" s="19" t="s">
        <v>334</v>
      </c>
      <c r="H17" s="19" t="s">
        <v>36</v>
      </c>
      <c r="I17" s="19" t="s">
        <v>61</v>
      </c>
      <c r="J17" s="27"/>
      <c r="K17" s="27"/>
    </row>
    <row r="18" spans="2:11" s="19" customFormat="1" x14ac:dyDescent="0.25">
      <c r="B18" s="19" t="s">
        <v>40</v>
      </c>
      <c r="C18" s="20">
        <v>45181</v>
      </c>
      <c r="D18" s="19">
        <v>445609</v>
      </c>
      <c r="E18" s="19">
        <v>1147</v>
      </c>
      <c r="F18" s="19" t="s">
        <v>449</v>
      </c>
      <c r="G18" s="19" t="s">
        <v>343</v>
      </c>
      <c r="H18" s="19" t="s">
        <v>45</v>
      </c>
      <c r="I18" s="19" t="s">
        <v>61</v>
      </c>
      <c r="J18" s="27"/>
      <c r="K18" s="27"/>
    </row>
    <row r="19" spans="2:11" s="19" customFormat="1" x14ac:dyDescent="0.25">
      <c r="B19" s="19" t="s">
        <v>40</v>
      </c>
      <c r="C19" s="20">
        <v>45181</v>
      </c>
      <c r="D19" s="19">
        <v>2151292</v>
      </c>
      <c r="E19" s="19">
        <v>9459</v>
      </c>
      <c r="F19" s="19" t="s">
        <v>105</v>
      </c>
      <c r="G19" s="19" t="s">
        <v>343</v>
      </c>
      <c r="H19" s="19" t="s">
        <v>39</v>
      </c>
      <c r="I19" s="19" t="s">
        <v>344</v>
      </c>
      <c r="J19" s="27"/>
      <c r="K19" s="27"/>
    </row>
    <row r="20" spans="2:11" s="19" customFormat="1" x14ac:dyDescent="0.25">
      <c r="B20" s="19" t="s">
        <v>40</v>
      </c>
      <c r="C20" s="20">
        <v>45181</v>
      </c>
      <c r="D20" s="19">
        <v>2151286</v>
      </c>
      <c r="E20" s="19">
        <v>9459</v>
      </c>
      <c r="F20" s="19" t="s">
        <v>105</v>
      </c>
      <c r="G20" s="19" t="s">
        <v>343</v>
      </c>
      <c r="H20" s="19" t="s">
        <v>39</v>
      </c>
      <c r="I20" s="19" t="s">
        <v>344</v>
      </c>
      <c r="J20" s="27"/>
      <c r="K20" s="27"/>
    </row>
    <row r="21" spans="2:11" s="19" customFormat="1" x14ac:dyDescent="0.25">
      <c r="B21" s="19" t="s">
        <v>33</v>
      </c>
      <c r="C21" s="20">
        <v>45181</v>
      </c>
      <c r="D21" s="19">
        <v>36467</v>
      </c>
      <c r="E21" s="19">
        <v>1047</v>
      </c>
      <c r="F21" s="19" t="s">
        <v>346</v>
      </c>
      <c r="G21" s="19" t="s">
        <v>343</v>
      </c>
      <c r="H21" s="19" t="s">
        <v>184</v>
      </c>
      <c r="I21" s="19" t="s">
        <v>344</v>
      </c>
      <c r="J21" s="27"/>
      <c r="K21" s="27"/>
    </row>
    <row r="22" spans="2:11" s="19" customFormat="1" x14ac:dyDescent="0.25">
      <c r="B22" s="19" t="s">
        <v>33</v>
      </c>
      <c r="C22" s="20">
        <v>45181</v>
      </c>
      <c r="D22" s="19">
        <v>446022</v>
      </c>
      <c r="E22" s="19">
        <v>1147</v>
      </c>
      <c r="F22" s="19" t="s">
        <v>449</v>
      </c>
      <c r="G22" s="19" t="s">
        <v>343</v>
      </c>
      <c r="H22" s="19" t="s">
        <v>45</v>
      </c>
      <c r="I22" s="19" t="s">
        <v>61</v>
      </c>
      <c r="J22" s="27"/>
      <c r="K22" s="27"/>
    </row>
    <row r="23" spans="2:11" s="19" customFormat="1" x14ac:dyDescent="0.25">
      <c r="B23" s="19" t="s">
        <v>33</v>
      </c>
      <c r="C23" s="20">
        <v>45181</v>
      </c>
      <c r="D23" s="19">
        <v>174196</v>
      </c>
      <c r="E23" s="19">
        <v>12613</v>
      </c>
      <c r="F23" s="19" t="s">
        <v>371</v>
      </c>
      <c r="G23" s="19" t="s">
        <v>342</v>
      </c>
      <c r="H23" s="19" t="s">
        <v>184</v>
      </c>
      <c r="I23" s="19" t="s">
        <v>61</v>
      </c>
      <c r="J23" s="27"/>
      <c r="K23" s="27"/>
    </row>
    <row r="24" spans="2:11" s="19" customFormat="1" x14ac:dyDescent="0.25">
      <c r="B24" s="19" t="s">
        <v>33</v>
      </c>
      <c r="C24" s="20">
        <v>45181</v>
      </c>
      <c r="D24" s="19">
        <v>2291</v>
      </c>
      <c r="E24" s="19">
        <v>70619</v>
      </c>
      <c r="F24" s="19" t="s">
        <v>20</v>
      </c>
      <c r="G24" s="19" t="s">
        <v>7</v>
      </c>
      <c r="H24" s="19" t="s">
        <v>355</v>
      </c>
      <c r="I24" s="19" t="s">
        <v>7</v>
      </c>
      <c r="J24" s="27"/>
      <c r="K24" s="27"/>
    </row>
    <row r="25" spans="2:11" s="19" customFormat="1" x14ac:dyDescent="0.25">
      <c r="B25" s="19" t="s">
        <v>33</v>
      </c>
      <c r="C25" s="20">
        <v>45181</v>
      </c>
      <c r="D25" s="19">
        <v>208354</v>
      </c>
      <c r="E25" s="19">
        <v>10440</v>
      </c>
      <c r="F25" s="19" t="s">
        <v>37</v>
      </c>
      <c r="G25" s="19" t="s">
        <v>342</v>
      </c>
      <c r="H25" s="19" t="s">
        <v>114</v>
      </c>
      <c r="I25" s="19" t="s">
        <v>17</v>
      </c>
      <c r="J25" s="27"/>
      <c r="K25" s="27"/>
    </row>
    <row r="26" spans="2:11" s="19" customFormat="1" x14ac:dyDescent="0.25">
      <c r="B26" s="19" t="s">
        <v>33</v>
      </c>
      <c r="C26" s="20">
        <v>45181</v>
      </c>
      <c r="D26" s="19">
        <v>62999</v>
      </c>
      <c r="E26" s="19">
        <v>63264</v>
      </c>
      <c r="F26" s="19" t="s">
        <v>428</v>
      </c>
      <c r="G26" s="19" t="s">
        <v>7</v>
      </c>
      <c r="H26" s="19" t="s">
        <v>355</v>
      </c>
      <c r="I26" s="19" t="s">
        <v>7</v>
      </c>
      <c r="J26" s="27"/>
      <c r="K26" s="27"/>
    </row>
    <row r="27" spans="2:11" s="19" customFormat="1" x14ac:dyDescent="0.25">
      <c r="B27" s="19" t="s">
        <v>33</v>
      </c>
      <c r="C27" s="20">
        <v>45181</v>
      </c>
      <c r="D27" s="19">
        <v>2151285</v>
      </c>
      <c r="E27" s="19">
        <v>9459</v>
      </c>
      <c r="F27" s="19" t="s">
        <v>105</v>
      </c>
      <c r="G27" s="19" t="s">
        <v>343</v>
      </c>
      <c r="H27" s="19" t="s">
        <v>39</v>
      </c>
      <c r="I27" s="19" t="s">
        <v>344</v>
      </c>
      <c r="J27" s="27"/>
      <c r="K27" s="27"/>
    </row>
    <row r="28" spans="2:11" s="19" customFormat="1" x14ac:dyDescent="0.25">
      <c r="B28" s="19" t="s">
        <v>33</v>
      </c>
      <c r="C28" s="20">
        <v>45181</v>
      </c>
      <c r="D28" s="19">
        <v>2151284</v>
      </c>
      <c r="E28" s="19">
        <v>9459</v>
      </c>
      <c r="F28" s="19" t="s">
        <v>105</v>
      </c>
      <c r="G28" s="19" t="s">
        <v>343</v>
      </c>
      <c r="H28" s="19" t="s">
        <v>39</v>
      </c>
      <c r="I28" s="19" t="s">
        <v>344</v>
      </c>
      <c r="J28" s="27"/>
      <c r="K28" s="27"/>
    </row>
    <row r="29" spans="2:11" s="19" customFormat="1" x14ac:dyDescent="0.25">
      <c r="B29" s="19" t="s">
        <v>210</v>
      </c>
      <c r="C29" s="20">
        <v>45181</v>
      </c>
      <c r="D29" s="19">
        <v>63002</v>
      </c>
      <c r="E29" s="19">
        <v>63264</v>
      </c>
      <c r="F29" s="19" t="s">
        <v>428</v>
      </c>
      <c r="G29" s="19" t="s">
        <v>7</v>
      </c>
      <c r="H29" s="19" t="s">
        <v>355</v>
      </c>
      <c r="I29" s="19" t="s">
        <v>17</v>
      </c>
      <c r="J29" s="27"/>
      <c r="K29" s="27"/>
    </row>
    <row r="30" spans="2:11" s="19" customFormat="1" x14ac:dyDescent="0.25">
      <c r="B30" s="19" t="s">
        <v>210</v>
      </c>
      <c r="C30" s="20">
        <v>45181</v>
      </c>
      <c r="D30" s="19">
        <v>8626110</v>
      </c>
      <c r="E30" s="19">
        <v>9389</v>
      </c>
      <c r="F30" s="19" t="s">
        <v>119</v>
      </c>
      <c r="G30" s="19" t="s">
        <v>52</v>
      </c>
      <c r="H30" s="19" t="s">
        <v>36</v>
      </c>
      <c r="I30" s="19" t="s">
        <v>61</v>
      </c>
      <c r="J30" s="27"/>
      <c r="K30" s="27"/>
    </row>
    <row r="31" spans="2:11" s="19" customFormat="1" x14ac:dyDescent="0.25">
      <c r="B31" s="19" t="s">
        <v>210</v>
      </c>
      <c r="C31" s="20">
        <v>45181</v>
      </c>
      <c r="D31" s="19">
        <v>742979</v>
      </c>
      <c r="E31" s="19">
        <v>1008</v>
      </c>
      <c r="F31" s="19" t="s">
        <v>74</v>
      </c>
      <c r="G31" s="19" t="s">
        <v>334</v>
      </c>
      <c r="H31" s="19" t="s">
        <v>36</v>
      </c>
      <c r="I31" s="19" t="s">
        <v>335</v>
      </c>
      <c r="J31" s="27"/>
      <c r="K31" s="27"/>
    </row>
    <row r="32" spans="2:11" s="19" customFormat="1" x14ac:dyDescent="0.25">
      <c r="B32" s="19" t="s">
        <v>210</v>
      </c>
      <c r="C32" s="20">
        <v>45181</v>
      </c>
      <c r="D32" s="19">
        <v>838374</v>
      </c>
      <c r="E32" s="19">
        <v>9364</v>
      </c>
      <c r="F32" s="19" t="s">
        <v>141</v>
      </c>
      <c r="G32" s="19" t="s">
        <v>334</v>
      </c>
      <c r="H32" s="19" t="s">
        <v>137</v>
      </c>
      <c r="I32" s="19" t="s">
        <v>17</v>
      </c>
      <c r="J32" s="27"/>
      <c r="K32" s="27"/>
    </row>
    <row r="33" spans="2:11" s="19" customFormat="1" x14ac:dyDescent="0.25">
      <c r="B33" s="19" t="s">
        <v>210</v>
      </c>
      <c r="C33" s="20">
        <v>45181</v>
      </c>
      <c r="D33" s="19">
        <v>67725</v>
      </c>
      <c r="E33" s="19">
        <v>5346</v>
      </c>
      <c r="F33" s="19" t="s">
        <v>277</v>
      </c>
      <c r="G33" s="19" t="s">
        <v>7</v>
      </c>
      <c r="H33" s="19" t="s">
        <v>38</v>
      </c>
      <c r="I33" s="19" t="s">
        <v>17</v>
      </c>
      <c r="J33" s="27"/>
      <c r="K33" s="27"/>
    </row>
    <row r="34" spans="2:11" s="19" customFormat="1" x14ac:dyDescent="0.25">
      <c r="B34" s="19" t="s">
        <v>210</v>
      </c>
      <c r="C34" s="20">
        <v>45181</v>
      </c>
      <c r="D34" s="19">
        <v>269184</v>
      </c>
      <c r="E34" s="19">
        <v>70955</v>
      </c>
      <c r="F34" s="19" t="s">
        <v>20</v>
      </c>
      <c r="G34" s="19" t="s">
        <v>52</v>
      </c>
      <c r="H34" s="19" t="s">
        <v>28</v>
      </c>
      <c r="I34" s="19" t="s">
        <v>73</v>
      </c>
      <c r="J34" s="27"/>
      <c r="K34" s="27"/>
    </row>
    <row r="35" spans="2:11" s="19" customFormat="1" x14ac:dyDescent="0.25">
      <c r="B35" s="19" t="s">
        <v>210</v>
      </c>
      <c r="C35" s="20">
        <v>45181</v>
      </c>
      <c r="D35" s="19">
        <v>269120</v>
      </c>
      <c r="E35" s="19">
        <v>70955</v>
      </c>
      <c r="F35" s="19" t="s">
        <v>20</v>
      </c>
      <c r="G35" s="19" t="s">
        <v>52</v>
      </c>
      <c r="H35" s="19" t="s">
        <v>28</v>
      </c>
      <c r="I35" s="19" t="s">
        <v>73</v>
      </c>
      <c r="J35" s="27"/>
      <c r="K35" s="27"/>
    </row>
    <row r="36" spans="2:11" s="19" customFormat="1" x14ac:dyDescent="0.25">
      <c r="B36" s="19" t="s">
        <v>210</v>
      </c>
      <c r="C36" s="20">
        <v>45181</v>
      </c>
      <c r="D36" s="19">
        <v>14932</v>
      </c>
      <c r="E36" s="19">
        <v>70826</v>
      </c>
      <c r="F36" s="19" t="s">
        <v>20</v>
      </c>
      <c r="G36" s="19" t="s">
        <v>16</v>
      </c>
      <c r="H36" s="19" t="s">
        <v>186</v>
      </c>
      <c r="I36" s="19" t="s">
        <v>61</v>
      </c>
      <c r="J36" s="27"/>
      <c r="K36" s="27"/>
    </row>
    <row r="37" spans="2:11" s="19" customFormat="1" x14ac:dyDescent="0.25">
      <c r="B37" s="19" t="s">
        <v>210</v>
      </c>
      <c r="C37" s="20">
        <v>45181</v>
      </c>
      <c r="D37" s="19">
        <v>2151273</v>
      </c>
      <c r="E37" s="19">
        <v>9459</v>
      </c>
      <c r="F37" s="19" t="s">
        <v>105</v>
      </c>
      <c r="G37" s="19" t="s">
        <v>343</v>
      </c>
      <c r="H37" s="19" t="s">
        <v>186</v>
      </c>
      <c r="I37" s="19" t="s">
        <v>61</v>
      </c>
      <c r="J37" s="27"/>
      <c r="K37" s="27"/>
    </row>
    <row r="38" spans="2:11" s="19" customFormat="1" x14ac:dyDescent="0.25">
      <c r="B38"/>
      <c r="C38"/>
      <c r="D38"/>
      <c r="E38"/>
      <c r="F38"/>
      <c r="G38"/>
      <c r="H38"/>
      <c r="I38"/>
      <c r="J38" s="27"/>
      <c r="K38" s="27"/>
    </row>
    <row r="39" spans="2:11" s="19" customFormat="1" x14ac:dyDescent="0.25">
      <c r="B39"/>
      <c r="C39"/>
      <c r="D39"/>
      <c r="E39"/>
      <c r="F39"/>
      <c r="G39"/>
      <c r="H39"/>
      <c r="I39"/>
      <c r="J39" s="27"/>
      <c r="K39" s="27"/>
    </row>
    <row r="40" spans="2:11" s="19" customFormat="1" x14ac:dyDescent="0.25">
      <c r="B40"/>
      <c r="C40"/>
      <c r="D40"/>
      <c r="E40"/>
      <c r="F40"/>
      <c r="G40"/>
      <c r="H40"/>
      <c r="I40"/>
      <c r="J40" s="27"/>
      <c r="K40" s="27"/>
    </row>
    <row r="41" spans="2:11" s="19" customFormat="1" x14ac:dyDescent="0.25">
      <c r="B41"/>
      <c r="C41"/>
      <c r="D41"/>
      <c r="E41"/>
      <c r="F41"/>
      <c r="G41"/>
      <c r="H41"/>
      <c r="I41"/>
      <c r="J41" s="27"/>
      <c r="K41" s="27"/>
    </row>
    <row r="42" spans="2:11" s="19" customFormat="1" x14ac:dyDescent="0.25">
      <c r="B42"/>
      <c r="C42"/>
      <c r="D42"/>
      <c r="E42"/>
      <c r="F42"/>
      <c r="G42"/>
      <c r="H42"/>
      <c r="I42"/>
      <c r="J42" s="27"/>
      <c r="K42" s="27"/>
    </row>
    <row r="43" spans="2:11" s="19" customFormat="1" x14ac:dyDescent="0.25">
      <c r="B43"/>
      <c r="C43"/>
      <c r="D43"/>
      <c r="E43"/>
      <c r="F43"/>
      <c r="G43"/>
      <c r="H43"/>
      <c r="I43"/>
      <c r="J43" s="27"/>
      <c r="K43" s="27"/>
    </row>
    <row r="44" spans="2:11" s="19" customFormat="1" x14ac:dyDescent="0.25">
      <c r="B44"/>
      <c r="C44"/>
      <c r="D44"/>
      <c r="E44"/>
      <c r="F44"/>
      <c r="G44"/>
      <c r="H44"/>
      <c r="I44"/>
      <c r="J44" s="27"/>
      <c r="K44" s="27"/>
    </row>
    <row r="45" spans="2:11" s="19" customFormat="1" x14ac:dyDescent="0.25">
      <c r="B45"/>
      <c r="C45"/>
      <c r="D45"/>
      <c r="E45"/>
      <c r="F45"/>
      <c r="G45"/>
      <c r="H45"/>
      <c r="I45"/>
      <c r="J45" s="27"/>
      <c r="K45" s="27"/>
    </row>
    <row r="46" spans="2:11" s="19" customFormat="1" x14ac:dyDescent="0.25">
      <c r="B46"/>
      <c r="C46"/>
      <c r="D46"/>
      <c r="E46"/>
      <c r="F46"/>
      <c r="G46"/>
      <c r="H46"/>
      <c r="I46"/>
      <c r="J46" s="27"/>
      <c r="K46" s="27"/>
    </row>
    <row r="47" spans="2:11" s="19" customFormat="1" x14ac:dyDescent="0.25">
      <c r="B47"/>
      <c r="C47"/>
      <c r="D47"/>
      <c r="E47"/>
      <c r="F47"/>
      <c r="G47"/>
      <c r="H47"/>
      <c r="I47"/>
      <c r="J47" s="27"/>
      <c r="K47" s="27"/>
    </row>
    <row r="48" spans="2:11" s="19" customFormat="1" x14ac:dyDescent="0.25">
      <c r="B48"/>
      <c r="C48"/>
      <c r="D48"/>
      <c r="E48"/>
      <c r="F48"/>
      <c r="G48"/>
      <c r="H48"/>
      <c r="I48"/>
      <c r="J48" s="27"/>
      <c r="K48" s="27"/>
    </row>
    <row r="49" spans="2:11" s="19" customFormat="1" x14ac:dyDescent="0.25">
      <c r="B49"/>
      <c r="C49"/>
      <c r="D49"/>
      <c r="E49"/>
      <c r="F49"/>
      <c r="G49"/>
      <c r="H49"/>
      <c r="I49"/>
      <c r="J49" s="27"/>
      <c r="K49" s="27"/>
    </row>
    <row r="50" spans="2:11" s="19" customFormat="1" x14ac:dyDescent="0.25">
      <c r="B50"/>
      <c r="C50"/>
      <c r="D50"/>
      <c r="E50"/>
      <c r="F50"/>
      <c r="G50"/>
      <c r="H50"/>
      <c r="I50"/>
      <c r="J50" s="27"/>
      <c r="K50" s="27"/>
    </row>
    <row r="51" spans="2:11" s="19" customFormat="1" x14ac:dyDescent="0.25">
      <c r="B51"/>
      <c r="C51"/>
      <c r="D51"/>
      <c r="E51"/>
      <c r="F51"/>
      <c r="G51"/>
      <c r="H51"/>
      <c r="I51"/>
      <c r="J51" s="27"/>
      <c r="K51" s="27"/>
    </row>
    <row r="52" spans="2:11" s="19" customFormat="1" x14ac:dyDescent="0.25">
      <c r="B52"/>
      <c r="C52"/>
      <c r="D52"/>
      <c r="E52"/>
      <c r="F52"/>
      <c r="G52"/>
      <c r="H52"/>
      <c r="I52"/>
      <c r="J52" s="27"/>
      <c r="K52" s="27"/>
    </row>
    <row r="53" spans="2:11" s="19" customFormat="1" x14ac:dyDescent="0.25">
      <c r="B53"/>
      <c r="C53"/>
      <c r="D53"/>
      <c r="E53"/>
      <c r="F53"/>
      <c r="G53"/>
      <c r="H53"/>
      <c r="I53"/>
      <c r="J53" s="27"/>
      <c r="K53" s="27"/>
    </row>
    <row r="54" spans="2:11" s="19" customFormat="1" x14ac:dyDescent="0.25">
      <c r="B54"/>
      <c r="C54"/>
      <c r="D54"/>
      <c r="E54"/>
      <c r="F54"/>
      <c r="G54"/>
      <c r="H54"/>
      <c r="I54"/>
      <c r="J54" s="27"/>
      <c r="K54" s="27"/>
    </row>
    <row r="55" spans="2:11" s="19" customFormat="1" x14ac:dyDescent="0.25">
      <c r="B55"/>
      <c r="C55"/>
      <c r="D55"/>
      <c r="E55"/>
      <c r="F55"/>
      <c r="G55"/>
      <c r="H55"/>
      <c r="I55"/>
      <c r="J55" s="27"/>
      <c r="K55" s="27"/>
    </row>
    <row r="56" spans="2:11" s="19" customFormat="1" x14ac:dyDescent="0.25">
      <c r="B56"/>
      <c r="C56"/>
      <c r="D56"/>
      <c r="E56"/>
      <c r="F56"/>
      <c r="G56"/>
      <c r="H56"/>
      <c r="I56"/>
      <c r="J56" s="27"/>
      <c r="K56" s="27"/>
    </row>
    <row r="57" spans="2:11" s="19" customFormat="1" x14ac:dyDescent="0.25">
      <c r="B57"/>
      <c r="C57"/>
      <c r="D57"/>
      <c r="E57"/>
      <c r="F57"/>
      <c r="G57"/>
      <c r="H57"/>
      <c r="I57"/>
      <c r="J57" s="27"/>
      <c r="K57" s="27"/>
    </row>
    <row r="58" spans="2:11" s="19" customFormat="1" x14ac:dyDescent="0.25">
      <c r="B58"/>
      <c r="C58"/>
      <c r="D58"/>
      <c r="E58"/>
      <c r="F58"/>
      <c r="G58"/>
      <c r="H58"/>
      <c r="I58"/>
      <c r="J58" s="27"/>
      <c r="K58" s="27"/>
    </row>
    <row r="59" spans="2:11" s="19" customFormat="1" x14ac:dyDescent="0.25">
      <c r="B59"/>
      <c r="C59"/>
      <c r="D59"/>
      <c r="E59"/>
      <c r="F59"/>
      <c r="G59"/>
      <c r="H59"/>
      <c r="I59"/>
      <c r="J59" s="27"/>
      <c r="K59" s="27"/>
    </row>
    <row r="60" spans="2:11" s="19" customFormat="1" x14ac:dyDescent="0.25">
      <c r="B60"/>
      <c r="C60"/>
      <c r="D60"/>
      <c r="E60"/>
      <c r="F60"/>
      <c r="G60"/>
      <c r="H60"/>
      <c r="I60"/>
      <c r="J60" s="27"/>
      <c r="K60" s="27"/>
    </row>
    <row r="61" spans="2:11" s="19" customFormat="1" x14ac:dyDescent="0.25">
      <c r="B61"/>
      <c r="C61"/>
      <c r="D61"/>
      <c r="E61"/>
      <c r="F61"/>
      <c r="G61"/>
      <c r="H61"/>
      <c r="I61"/>
      <c r="J61" s="27"/>
      <c r="K61" s="27"/>
    </row>
    <row r="62" spans="2:11" s="19" customFormat="1" x14ac:dyDescent="0.25">
      <c r="B62"/>
      <c r="C62"/>
      <c r="D62"/>
      <c r="E62"/>
      <c r="F62"/>
      <c r="G62"/>
      <c r="H62"/>
      <c r="I62"/>
      <c r="J62" s="27"/>
      <c r="K62" s="27"/>
    </row>
    <row r="63" spans="2:11" s="19" customFormat="1" x14ac:dyDescent="0.25">
      <c r="B63"/>
      <c r="C63"/>
      <c r="D63"/>
      <c r="E63"/>
      <c r="F63"/>
      <c r="G63"/>
      <c r="H63"/>
      <c r="I63"/>
      <c r="J63" s="27"/>
      <c r="K63" s="27"/>
    </row>
    <row r="64" spans="2:11" s="19" customFormat="1" x14ac:dyDescent="0.25">
      <c r="B64"/>
      <c r="C64"/>
      <c r="D64"/>
      <c r="E64"/>
      <c r="F64"/>
      <c r="G64"/>
      <c r="H64"/>
      <c r="I64"/>
      <c r="J64" s="27"/>
      <c r="K64" s="27"/>
    </row>
    <row r="65" spans="2:11" s="19" customFormat="1" x14ac:dyDescent="0.25">
      <c r="B65"/>
      <c r="C65"/>
      <c r="D65"/>
      <c r="E65"/>
      <c r="F65"/>
      <c r="G65"/>
      <c r="H65"/>
      <c r="I65"/>
      <c r="J65" s="27"/>
      <c r="K65" s="27"/>
    </row>
    <row r="66" spans="2:11" s="19" customFormat="1" x14ac:dyDescent="0.25">
      <c r="B66"/>
      <c r="C66"/>
      <c r="D66"/>
      <c r="E66"/>
      <c r="F66"/>
      <c r="G66"/>
      <c r="H66"/>
      <c r="I66"/>
      <c r="J66" s="27"/>
      <c r="K66" s="27"/>
    </row>
    <row r="67" spans="2:11" s="19" customFormat="1" x14ac:dyDescent="0.25">
      <c r="B67"/>
      <c r="C67"/>
      <c r="D67"/>
      <c r="E67"/>
      <c r="F67"/>
      <c r="G67"/>
      <c r="H67"/>
      <c r="I67"/>
      <c r="J67" s="27"/>
      <c r="K67" s="27"/>
    </row>
    <row r="68" spans="2:11" s="19" customFormat="1" x14ac:dyDescent="0.25">
      <c r="B68"/>
      <c r="C68"/>
      <c r="D68"/>
      <c r="E68"/>
      <c r="F68"/>
      <c r="G68"/>
      <c r="H68"/>
      <c r="I68"/>
      <c r="J68" s="27"/>
      <c r="K68" s="27"/>
    </row>
    <row r="69" spans="2:11" s="19" customFormat="1" x14ac:dyDescent="0.25">
      <c r="B69"/>
      <c r="C69"/>
      <c r="D69"/>
      <c r="E69"/>
      <c r="F69"/>
      <c r="G69"/>
      <c r="H69"/>
      <c r="I69"/>
      <c r="J69" s="27"/>
      <c r="K69" s="27"/>
    </row>
    <row r="70" spans="2:11" s="19" customFormat="1" x14ac:dyDescent="0.25">
      <c r="B70"/>
      <c r="C70"/>
      <c r="D70"/>
      <c r="E70"/>
      <c r="F70"/>
      <c r="G70"/>
      <c r="H70"/>
      <c r="I70"/>
      <c r="J70" s="27"/>
      <c r="K70" s="27"/>
    </row>
    <row r="71" spans="2:11" s="19" customFormat="1" x14ac:dyDescent="0.25">
      <c r="B71"/>
      <c r="C71"/>
      <c r="D71"/>
      <c r="E71"/>
      <c r="F71"/>
      <c r="G71"/>
      <c r="H71"/>
      <c r="I71"/>
      <c r="J71" s="27"/>
      <c r="K71"/>
    </row>
    <row r="72" spans="2:11" s="19" customFormat="1" x14ac:dyDescent="0.25">
      <c r="B72"/>
      <c r="C72"/>
      <c r="D72"/>
      <c r="E72"/>
      <c r="F72"/>
      <c r="G72"/>
      <c r="H72"/>
      <c r="I72"/>
      <c r="J72" s="27"/>
      <c r="K72"/>
    </row>
    <row r="73" spans="2:11" s="19" customFormat="1" x14ac:dyDescent="0.25">
      <c r="B73"/>
      <c r="C73"/>
      <c r="D73"/>
      <c r="E73"/>
      <c r="F73"/>
      <c r="G73"/>
      <c r="H73"/>
      <c r="I73"/>
      <c r="J73" s="27"/>
      <c r="K73"/>
    </row>
    <row r="74" spans="2:11" s="19" customFormat="1" x14ac:dyDescent="0.25">
      <c r="B74"/>
      <c r="C74"/>
      <c r="D74"/>
      <c r="E74"/>
      <c r="F74"/>
      <c r="G74"/>
      <c r="H74"/>
      <c r="I74"/>
      <c r="J74" s="27"/>
      <c r="K74"/>
    </row>
    <row r="75" spans="2:11" s="19" customFormat="1" x14ac:dyDescent="0.25">
      <c r="B75"/>
      <c r="C75"/>
      <c r="D75"/>
      <c r="E75"/>
      <c r="F75"/>
      <c r="G75"/>
      <c r="H75"/>
      <c r="I75"/>
      <c r="J75" s="27"/>
      <c r="K75"/>
    </row>
    <row r="76" spans="2:11" s="19" customFormat="1" x14ac:dyDescent="0.25">
      <c r="B76"/>
      <c r="C76"/>
      <c r="D76"/>
      <c r="E76"/>
      <c r="F76"/>
      <c r="G76"/>
      <c r="H76"/>
      <c r="I76"/>
      <c r="J76" s="27"/>
      <c r="K76"/>
    </row>
    <row r="77" spans="2:11" s="19" customFormat="1" x14ac:dyDescent="0.25">
      <c r="B77"/>
      <c r="C77"/>
      <c r="D77"/>
      <c r="E77"/>
      <c r="F77"/>
      <c r="G77"/>
      <c r="H77"/>
      <c r="I77"/>
      <c r="J77" s="27"/>
      <c r="K77"/>
    </row>
    <row r="78" spans="2:11" s="19" customFormat="1" x14ac:dyDescent="0.25">
      <c r="B78"/>
      <c r="C78"/>
      <c r="D78"/>
      <c r="E78"/>
      <c r="F78"/>
      <c r="G78"/>
      <c r="H78"/>
      <c r="I78"/>
      <c r="J78" s="27"/>
      <c r="K78"/>
    </row>
    <row r="79" spans="2:11" s="19" customFormat="1" x14ac:dyDescent="0.25">
      <c r="B79"/>
      <c r="C79"/>
      <c r="D79"/>
      <c r="E79"/>
      <c r="F79"/>
      <c r="G79"/>
      <c r="H79"/>
      <c r="I79"/>
      <c r="J79" s="27"/>
      <c r="K79"/>
    </row>
    <row r="80" spans="2:11" s="19" customFormat="1" x14ac:dyDescent="0.25">
      <c r="B80"/>
      <c r="C80"/>
      <c r="D80"/>
      <c r="E80"/>
      <c r="F80"/>
      <c r="G80"/>
      <c r="H80"/>
      <c r="I80"/>
      <c r="J80" s="27"/>
      <c r="K80"/>
    </row>
    <row r="81" spans="2:11" s="19" customFormat="1" x14ac:dyDescent="0.25">
      <c r="B81"/>
      <c r="C81"/>
      <c r="D81"/>
      <c r="E81"/>
      <c r="F81"/>
      <c r="G81"/>
      <c r="H81"/>
      <c r="I81"/>
      <c r="J81" s="27"/>
      <c r="K81"/>
    </row>
    <row r="82" spans="2:11" s="19" customFormat="1" x14ac:dyDescent="0.25">
      <c r="B82"/>
      <c r="C82"/>
      <c r="D82"/>
      <c r="E82"/>
      <c r="F82"/>
      <c r="G82"/>
      <c r="H82"/>
      <c r="I82"/>
      <c r="J82" s="27"/>
      <c r="K82"/>
    </row>
    <row r="83" spans="2:11" s="19" customFormat="1" x14ac:dyDescent="0.25">
      <c r="B83"/>
      <c r="C83"/>
      <c r="D83"/>
      <c r="E83"/>
      <c r="F83"/>
      <c r="G83"/>
      <c r="H83"/>
      <c r="I83"/>
      <c r="J83" s="27"/>
      <c r="K83"/>
    </row>
    <row r="84" spans="2:11" s="19" customFormat="1" x14ac:dyDescent="0.25">
      <c r="B84"/>
      <c r="C84"/>
      <c r="D84"/>
      <c r="E84"/>
      <c r="F84"/>
      <c r="G84"/>
      <c r="H84"/>
      <c r="I84"/>
      <c r="J84" s="27"/>
      <c r="K84"/>
    </row>
    <row r="85" spans="2:11" s="19" customFormat="1" x14ac:dyDescent="0.25">
      <c r="B85"/>
      <c r="C85"/>
      <c r="D85"/>
      <c r="E85"/>
      <c r="F85"/>
      <c r="G85"/>
      <c r="H85"/>
      <c r="I85"/>
      <c r="J85" s="27"/>
      <c r="K85"/>
    </row>
    <row r="86" spans="2:11" s="19" customFormat="1" x14ac:dyDescent="0.25">
      <c r="B86"/>
      <c r="C86"/>
      <c r="D86"/>
      <c r="E86"/>
      <c r="F86"/>
      <c r="G86"/>
      <c r="H86"/>
      <c r="I86"/>
      <c r="J86" s="27"/>
      <c r="K86"/>
    </row>
    <row r="87" spans="2:11" s="19" customFormat="1" x14ac:dyDescent="0.25">
      <c r="B87"/>
      <c r="C87"/>
      <c r="D87"/>
      <c r="E87"/>
      <c r="F87"/>
      <c r="G87"/>
      <c r="H87"/>
      <c r="I87"/>
      <c r="J87" s="27"/>
      <c r="K87"/>
    </row>
    <row r="88" spans="2:11" s="19" customFormat="1" x14ac:dyDescent="0.25">
      <c r="B88"/>
      <c r="C88"/>
      <c r="D88"/>
      <c r="E88"/>
      <c r="F88"/>
      <c r="G88"/>
      <c r="H88"/>
      <c r="I88"/>
      <c r="J88" s="27"/>
      <c r="K88"/>
    </row>
    <row r="89" spans="2:11" s="19" customFormat="1" x14ac:dyDescent="0.25">
      <c r="B89"/>
      <c r="C89"/>
      <c r="D89"/>
      <c r="E89"/>
      <c r="F89"/>
      <c r="G89"/>
      <c r="H89"/>
      <c r="I89"/>
      <c r="J89" s="27"/>
      <c r="K89"/>
    </row>
    <row r="90" spans="2:11" s="19" customFormat="1" x14ac:dyDescent="0.25">
      <c r="B90"/>
      <c r="C90"/>
      <c r="D90"/>
      <c r="E90"/>
      <c r="F90"/>
      <c r="G90"/>
      <c r="H90"/>
      <c r="I90"/>
      <c r="J90" s="27"/>
      <c r="K90"/>
    </row>
    <row r="91" spans="2:11" s="19" customFormat="1" x14ac:dyDescent="0.25">
      <c r="B91"/>
      <c r="C91"/>
      <c r="D91"/>
      <c r="E91"/>
      <c r="F91"/>
      <c r="G91"/>
      <c r="H91"/>
      <c r="I91"/>
      <c r="J91" s="27"/>
      <c r="K91"/>
    </row>
    <row r="92" spans="2:11" s="19" customFormat="1" x14ac:dyDescent="0.25">
      <c r="B92"/>
      <c r="C92"/>
      <c r="D92"/>
      <c r="E92"/>
      <c r="F92"/>
      <c r="G92"/>
      <c r="H92"/>
      <c r="I92"/>
      <c r="J92" s="27"/>
      <c r="K92"/>
    </row>
    <row r="93" spans="2:11" s="19" customFormat="1" x14ac:dyDescent="0.25">
      <c r="B93"/>
      <c r="C93"/>
      <c r="D93"/>
      <c r="E93"/>
      <c r="F93"/>
      <c r="G93"/>
      <c r="H93"/>
      <c r="I93"/>
      <c r="J93" s="27"/>
      <c r="K93"/>
    </row>
    <row r="94" spans="2:11" s="19" customFormat="1" x14ac:dyDescent="0.25">
      <c r="B94"/>
      <c r="C94"/>
      <c r="D94"/>
      <c r="E94"/>
      <c r="F94"/>
      <c r="G94"/>
      <c r="H94"/>
      <c r="I94"/>
      <c r="J94" s="27"/>
      <c r="K94"/>
    </row>
    <row r="95" spans="2:11" s="19" customFormat="1" x14ac:dyDescent="0.25">
      <c r="B95"/>
      <c r="C95"/>
      <c r="D95"/>
      <c r="E95"/>
      <c r="F95"/>
      <c r="G95"/>
      <c r="H95"/>
      <c r="I95"/>
      <c r="J95" s="27"/>
      <c r="K95"/>
    </row>
    <row r="96" spans="2:11" s="19" customFormat="1" x14ac:dyDescent="0.25">
      <c r="B96"/>
      <c r="C96"/>
      <c r="D96"/>
      <c r="E96"/>
      <c r="F96"/>
      <c r="G96"/>
      <c r="H96"/>
      <c r="I96"/>
      <c r="J96" s="27"/>
      <c r="K96"/>
    </row>
    <row r="97" spans="2:11" s="19" customFormat="1" x14ac:dyDescent="0.25">
      <c r="B97"/>
      <c r="C97"/>
      <c r="D97"/>
      <c r="E97"/>
      <c r="F97"/>
      <c r="G97"/>
      <c r="H97"/>
      <c r="I97"/>
      <c r="J97" s="27"/>
      <c r="K97"/>
    </row>
    <row r="98" spans="2:11" s="19" customFormat="1" x14ac:dyDescent="0.25">
      <c r="B98"/>
      <c r="C98"/>
      <c r="D98"/>
      <c r="E98"/>
      <c r="F98"/>
      <c r="G98"/>
      <c r="H98"/>
      <c r="I98"/>
      <c r="J98" s="27"/>
      <c r="K98"/>
    </row>
    <row r="99" spans="2:11" s="19" customFormat="1" x14ac:dyDescent="0.25">
      <c r="B99"/>
      <c r="C99"/>
      <c r="D99"/>
      <c r="E99"/>
      <c r="F99"/>
      <c r="G99"/>
      <c r="H99"/>
      <c r="I99"/>
      <c r="J99" s="27"/>
      <c r="K99"/>
    </row>
    <row r="100" spans="2:11" s="19" customFormat="1" x14ac:dyDescent="0.25">
      <c r="B100"/>
      <c r="C100"/>
      <c r="D100"/>
      <c r="E100"/>
      <c r="F100"/>
      <c r="G100"/>
      <c r="H100"/>
      <c r="I100"/>
      <c r="J100" s="27"/>
      <c r="K100"/>
    </row>
    <row r="101" spans="2:11" s="19" customFormat="1" x14ac:dyDescent="0.25">
      <c r="B101"/>
      <c r="C101"/>
      <c r="D101"/>
      <c r="E101"/>
      <c r="F101"/>
      <c r="G101"/>
      <c r="H101"/>
      <c r="I101"/>
      <c r="J101" s="27"/>
      <c r="K101"/>
    </row>
    <row r="102" spans="2:11" s="19" customFormat="1" x14ac:dyDescent="0.25">
      <c r="B102"/>
      <c r="C102"/>
      <c r="D102"/>
      <c r="E102"/>
      <c r="F102"/>
      <c r="G102"/>
      <c r="H102"/>
      <c r="I102"/>
      <c r="J102" s="27"/>
      <c r="K102"/>
    </row>
    <row r="103" spans="2:11" s="19" customFormat="1" x14ac:dyDescent="0.25">
      <c r="B103"/>
      <c r="C103"/>
      <c r="D103"/>
      <c r="E103"/>
      <c r="F103"/>
      <c r="G103"/>
      <c r="H103"/>
      <c r="I103"/>
      <c r="J103" s="27"/>
      <c r="K103"/>
    </row>
    <row r="104" spans="2:11" s="19" customFormat="1" x14ac:dyDescent="0.25">
      <c r="B104"/>
      <c r="C104"/>
      <c r="D104"/>
      <c r="E104"/>
      <c r="F104"/>
      <c r="G104"/>
      <c r="H104"/>
      <c r="I104"/>
      <c r="J104" s="27"/>
      <c r="K104"/>
    </row>
    <row r="105" spans="2:11" s="19" customFormat="1" x14ac:dyDescent="0.25">
      <c r="B105"/>
      <c r="C105"/>
      <c r="D105"/>
      <c r="E105"/>
      <c r="F105"/>
      <c r="G105"/>
      <c r="H105"/>
      <c r="I105"/>
      <c r="J105" s="27"/>
      <c r="K105"/>
    </row>
    <row r="106" spans="2:11" s="19" customFormat="1" x14ac:dyDescent="0.25">
      <c r="B106"/>
      <c r="C106"/>
      <c r="D106"/>
      <c r="E106"/>
      <c r="F106"/>
      <c r="G106"/>
      <c r="H106"/>
      <c r="I106"/>
      <c r="J106" s="27"/>
      <c r="K106"/>
    </row>
    <row r="107" spans="2:11" s="19" customFormat="1" x14ac:dyDescent="0.25">
      <c r="B107"/>
      <c r="C107"/>
      <c r="D107"/>
      <c r="E107"/>
      <c r="F107"/>
      <c r="G107"/>
      <c r="H107"/>
      <c r="I107"/>
      <c r="J107" s="27"/>
      <c r="K107"/>
    </row>
    <row r="108" spans="2:11" s="19" customFormat="1" x14ac:dyDescent="0.25">
      <c r="B108"/>
      <c r="C108"/>
      <c r="D108"/>
      <c r="E108"/>
      <c r="F108"/>
      <c r="G108"/>
      <c r="H108"/>
      <c r="I108"/>
      <c r="J108" s="27"/>
      <c r="K108"/>
    </row>
    <row r="109" spans="2:11" s="19" customFormat="1" x14ac:dyDescent="0.25">
      <c r="B109"/>
      <c r="C109"/>
      <c r="D109"/>
      <c r="E109"/>
      <c r="F109"/>
      <c r="G109"/>
      <c r="H109"/>
      <c r="I109"/>
      <c r="J109" s="27"/>
      <c r="K109"/>
    </row>
    <row r="110" spans="2:11" s="19" customFormat="1" x14ac:dyDescent="0.25">
      <c r="B110"/>
      <c r="C110"/>
      <c r="D110"/>
      <c r="E110"/>
      <c r="F110"/>
      <c r="G110"/>
      <c r="H110"/>
      <c r="I110"/>
      <c r="J110" s="27"/>
      <c r="K110"/>
    </row>
    <row r="111" spans="2:11" s="19" customFormat="1" x14ac:dyDescent="0.25">
      <c r="B111"/>
      <c r="C111"/>
      <c r="D111"/>
      <c r="E111"/>
      <c r="F111"/>
      <c r="G111"/>
      <c r="H111"/>
      <c r="I111"/>
      <c r="J111" s="27"/>
      <c r="K111"/>
    </row>
    <row r="112" spans="2:11" s="19" customFormat="1" x14ac:dyDescent="0.25">
      <c r="B112"/>
      <c r="C112"/>
      <c r="D112"/>
      <c r="E112"/>
      <c r="F112"/>
      <c r="G112"/>
      <c r="H112"/>
      <c r="I112"/>
      <c r="J112" s="27"/>
      <c r="K112"/>
    </row>
    <row r="113" spans="2:11" s="19" customFormat="1" x14ac:dyDescent="0.25">
      <c r="B113"/>
      <c r="C113"/>
      <c r="D113"/>
      <c r="E113"/>
      <c r="F113"/>
      <c r="G113"/>
      <c r="H113"/>
      <c r="I113"/>
      <c r="J113" s="27"/>
      <c r="K113"/>
    </row>
    <row r="114" spans="2:11" s="19" customFormat="1" x14ac:dyDescent="0.25">
      <c r="B114"/>
      <c r="C114"/>
      <c r="D114"/>
      <c r="E114"/>
      <c r="F114"/>
      <c r="G114"/>
      <c r="H114"/>
      <c r="I114"/>
      <c r="J114" s="27"/>
      <c r="K114"/>
    </row>
    <row r="115" spans="2:11" s="19" customFormat="1" x14ac:dyDescent="0.25">
      <c r="B115"/>
      <c r="C115"/>
      <c r="D115"/>
      <c r="E115"/>
      <c r="F115"/>
      <c r="G115"/>
      <c r="H115"/>
      <c r="I115"/>
      <c r="J115" s="27"/>
      <c r="K115"/>
    </row>
    <row r="116" spans="2:11" s="19" customFormat="1" x14ac:dyDescent="0.25">
      <c r="B116"/>
      <c r="C116"/>
      <c r="D116"/>
      <c r="E116"/>
      <c r="F116"/>
      <c r="G116"/>
      <c r="H116"/>
      <c r="I116"/>
      <c r="J116" s="27"/>
      <c r="K116"/>
    </row>
    <row r="117" spans="2:11" s="19" customFormat="1" x14ac:dyDescent="0.25">
      <c r="B117"/>
      <c r="C117"/>
      <c r="D117"/>
      <c r="E117"/>
      <c r="F117"/>
      <c r="G117"/>
      <c r="H117"/>
      <c r="I117"/>
      <c r="J117" s="27"/>
      <c r="K117"/>
    </row>
    <row r="118" spans="2:11" s="19" customFormat="1" x14ac:dyDescent="0.25">
      <c r="B118"/>
      <c r="C118"/>
      <c r="D118"/>
      <c r="E118"/>
      <c r="F118"/>
      <c r="G118"/>
      <c r="H118"/>
      <c r="I118"/>
      <c r="J118" s="27"/>
      <c r="K118"/>
    </row>
    <row r="119" spans="2:11" s="19" customFormat="1" x14ac:dyDescent="0.25">
      <c r="B119"/>
      <c r="C119"/>
      <c r="D119"/>
      <c r="E119"/>
      <c r="F119"/>
      <c r="G119"/>
      <c r="H119"/>
      <c r="I119"/>
      <c r="J119" s="27"/>
      <c r="K119"/>
    </row>
    <row r="120" spans="2:11" s="19" customFormat="1" x14ac:dyDescent="0.25">
      <c r="B120"/>
      <c r="C120"/>
      <c r="D120"/>
      <c r="E120"/>
      <c r="F120"/>
      <c r="G120"/>
      <c r="H120"/>
      <c r="I120"/>
      <c r="J120" s="27"/>
      <c r="K120"/>
    </row>
    <row r="121" spans="2:11" s="19" customFormat="1" x14ac:dyDescent="0.25">
      <c r="B121"/>
      <c r="C121"/>
      <c r="D121"/>
      <c r="E121"/>
      <c r="F121"/>
      <c r="G121"/>
      <c r="H121"/>
      <c r="I121"/>
      <c r="J121" s="27"/>
      <c r="K121"/>
    </row>
    <row r="122" spans="2:11" s="19" customFormat="1" x14ac:dyDescent="0.25">
      <c r="B122"/>
      <c r="C122"/>
      <c r="D122"/>
      <c r="E122"/>
      <c r="F122"/>
      <c r="G122"/>
      <c r="H122"/>
      <c r="I122"/>
      <c r="J122" s="27"/>
      <c r="K122"/>
    </row>
    <row r="123" spans="2:11" s="19" customFormat="1" x14ac:dyDescent="0.25">
      <c r="B123"/>
      <c r="C123"/>
      <c r="D123"/>
      <c r="E123"/>
      <c r="F123"/>
      <c r="G123"/>
      <c r="H123"/>
      <c r="I123"/>
      <c r="J123" s="27"/>
      <c r="K123"/>
    </row>
    <row r="124" spans="2:11" s="19" customFormat="1" x14ac:dyDescent="0.25">
      <c r="B124"/>
      <c r="C124"/>
      <c r="D124"/>
      <c r="E124"/>
      <c r="F124"/>
      <c r="G124"/>
      <c r="H124"/>
      <c r="I124"/>
      <c r="J124" s="27"/>
      <c r="K124"/>
    </row>
    <row r="125" spans="2:11" s="19" customFormat="1" x14ac:dyDescent="0.25">
      <c r="B125"/>
      <c r="C125"/>
      <c r="D125"/>
      <c r="E125"/>
      <c r="F125"/>
      <c r="G125"/>
      <c r="H125"/>
      <c r="I125"/>
      <c r="J125" s="27"/>
      <c r="K125"/>
    </row>
    <row r="126" spans="2:11" s="19" customFormat="1" x14ac:dyDescent="0.25">
      <c r="B126"/>
      <c r="C126"/>
      <c r="D126"/>
      <c r="E126"/>
      <c r="F126"/>
      <c r="G126"/>
      <c r="H126"/>
      <c r="I126"/>
      <c r="J126" s="27"/>
      <c r="K126"/>
    </row>
    <row r="127" spans="2:11" s="19" customFormat="1" x14ac:dyDescent="0.25">
      <c r="B127"/>
      <c r="C127"/>
      <c r="D127"/>
      <c r="E127"/>
      <c r="F127"/>
      <c r="G127"/>
      <c r="H127"/>
      <c r="I127"/>
      <c r="J127" s="27"/>
      <c r="K127"/>
    </row>
    <row r="128" spans="2:11" s="19" customFormat="1" x14ac:dyDescent="0.25">
      <c r="B128"/>
      <c r="C128"/>
      <c r="D128"/>
      <c r="E128"/>
      <c r="F128"/>
      <c r="G128"/>
      <c r="H128"/>
      <c r="I128"/>
      <c r="J128" s="27"/>
      <c r="K128"/>
    </row>
    <row r="129" spans="2:11" s="19" customFormat="1" x14ac:dyDescent="0.25">
      <c r="B129"/>
      <c r="C129"/>
      <c r="D129"/>
      <c r="E129"/>
      <c r="F129"/>
      <c r="G129"/>
      <c r="H129"/>
      <c r="I129"/>
      <c r="J129" s="27"/>
      <c r="K129"/>
    </row>
    <row r="130" spans="2:11" s="19" customFormat="1" x14ac:dyDescent="0.25">
      <c r="B130"/>
      <c r="C130"/>
      <c r="D130"/>
      <c r="E130"/>
      <c r="F130"/>
      <c r="G130"/>
      <c r="H130"/>
      <c r="I130"/>
      <c r="J130" s="27"/>
      <c r="K130"/>
    </row>
    <row r="131" spans="2:11" s="19" customFormat="1" x14ac:dyDescent="0.25">
      <c r="B131"/>
      <c r="C131"/>
      <c r="D131"/>
      <c r="E131"/>
      <c r="F131"/>
      <c r="G131"/>
      <c r="H131"/>
      <c r="I131"/>
      <c r="J131" s="27"/>
      <c r="K131"/>
    </row>
    <row r="132" spans="2:11" s="19" customFormat="1" x14ac:dyDescent="0.25">
      <c r="B132"/>
      <c r="C132"/>
      <c r="D132"/>
      <c r="E132"/>
      <c r="F132"/>
      <c r="G132"/>
      <c r="H132"/>
      <c r="I132"/>
      <c r="J132" s="27"/>
      <c r="K132"/>
    </row>
    <row r="133" spans="2:11" s="19" customFormat="1" x14ac:dyDescent="0.25">
      <c r="B133"/>
      <c r="C133"/>
      <c r="D133"/>
      <c r="E133"/>
      <c r="F133"/>
      <c r="G133"/>
      <c r="H133"/>
      <c r="I133"/>
      <c r="J133" s="27"/>
      <c r="K133"/>
    </row>
    <row r="134" spans="2:11" s="19" customFormat="1" x14ac:dyDescent="0.25">
      <c r="B134"/>
      <c r="C134"/>
      <c r="D134"/>
      <c r="E134"/>
      <c r="F134"/>
      <c r="G134"/>
      <c r="H134"/>
      <c r="I134"/>
      <c r="J134" s="27"/>
      <c r="K134"/>
    </row>
    <row r="135" spans="2:11" s="19" customFormat="1" x14ac:dyDescent="0.25">
      <c r="B135"/>
      <c r="C135"/>
      <c r="D135"/>
      <c r="E135"/>
      <c r="F135"/>
      <c r="G135"/>
      <c r="H135"/>
      <c r="I135"/>
      <c r="J135" s="27"/>
      <c r="K135"/>
    </row>
    <row r="136" spans="2:11" s="19" customFormat="1" x14ac:dyDescent="0.25">
      <c r="B136"/>
      <c r="C136"/>
      <c r="D136"/>
      <c r="E136"/>
      <c r="F136"/>
      <c r="G136"/>
      <c r="H136"/>
      <c r="I136"/>
      <c r="J136" s="27"/>
      <c r="K136"/>
    </row>
    <row r="137" spans="2:11" s="19" customFormat="1" x14ac:dyDescent="0.25">
      <c r="B137"/>
      <c r="C137"/>
      <c r="D137"/>
      <c r="E137"/>
      <c r="F137"/>
      <c r="G137"/>
      <c r="H137"/>
      <c r="I137"/>
      <c r="J137" s="27"/>
      <c r="K137"/>
    </row>
    <row r="138" spans="2:11" s="19" customFormat="1" x14ac:dyDescent="0.25">
      <c r="B138"/>
      <c r="C138"/>
      <c r="D138"/>
      <c r="E138"/>
      <c r="F138"/>
      <c r="G138"/>
      <c r="H138"/>
      <c r="I138"/>
      <c r="J138" s="27"/>
      <c r="K138"/>
    </row>
    <row r="139" spans="2:11" s="19" customFormat="1" x14ac:dyDescent="0.25">
      <c r="B139"/>
      <c r="C139"/>
      <c r="D139"/>
      <c r="E139"/>
      <c r="F139"/>
      <c r="G139"/>
      <c r="H139"/>
      <c r="I139"/>
      <c r="J139" s="27"/>
      <c r="K139"/>
    </row>
    <row r="140" spans="2:11" s="19" customFormat="1" x14ac:dyDescent="0.25">
      <c r="B140"/>
      <c r="C140"/>
      <c r="D140"/>
      <c r="E140"/>
      <c r="F140"/>
      <c r="G140"/>
      <c r="H140"/>
      <c r="I140"/>
      <c r="J140" s="27"/>
      <c r="K140"/>
    </row>
    <row r="141" spans="2:11" s="19" customFormat="1" x14ac:dyDescent="0.25">
      <c r="B141"/>
      <c r="C141"/>
      <c r="D141"/>
      <c r="E141"/>
      <c r="F141"/>
      <c r="G141"/>
      <c r="H141"/>
      <c r="I141"/>
      <c r="J141" s="27"/>
      <c r="K141"/>
    </row>
    <row r="142" spans="2:11" s="19" customFormat="1" x14ac:dyDescent="0.25">
      <c r="B142"/>
      <c r="C142"/>
      <c r="D142"/>
      <c r="E142"/>
      <c r="F142"/>
      <c r="G142"/>
      <c r="H142"/>
      <c r="I142"/>
      <c r="J142" s="27"/>
      <c r="K142"/>
    </row>
    <row r="143" spans="2:11" s="19" customFormat="1" x14ac:dyDescent="0.25">
      <c r="B143"/>
      <c r="C143"/>
      <c r="D143"/>
      <c r="E143"/>
      <c r="F143"/>
      <c r="G143"/>
      <c r="H143"/>
      <c r="I143"/>
      <c r="J143" s="27"/>
      <c r="K143"/>
    </row>
    <row r="144" spans="2:11" s="19" customFormat="1" x14ac:dyDescent="0.25">
      <c r="B144"/>
      <c r="C144"/>
      <c r="D144"/>
      <c r="E144"/>
      <c r="F144"/>
      <c r="G144"/>
      <c r="H144"/>
      <c r="I144"/>
      <c r="J144" s="27"/>
      <c r="K144"/>
    </row>
    <row r="145" spans="2:11" s="19" customFormat="1" x14ac:dyDescent="0.25">
      <c r="B145"/>
      <c r="C145"/>
      <c r="D145"/>
      <c r="E145"/>
      <c r="F145"/>
      <c r="G145"/>
      <c r="H145"/>
      <c r="I145"/>
      <c r="J145" s="27"/>
      <c r="K145"/>
    </row>
    <row r="146" spans="2:11" s="19" customFormat="1" x14ac:dyDescent="0.25">
      <c r="B146"/>
      <c r="C146"/>
      <c r="D146"/>
      <c r="E146"/>
      <c r="F146"/>
      <c r="G146"/>
      <c r="H146"/>
      <c r="I146"/>
      <c r="J146" s="27"/>
      <c r="K146"/>
    </row>
    <row r="147" spans="2:11" s="19" customFormat="1" x14ac:dyDescent="0.25">
      <c r="B147"/>
      <c r="C147"/>
      <c r="D147"/>
      <c r="E147"/>
      <c r="F147"/>
      <c r="G147"/>
      <c r="H147"/>
      <c r="I147"/>
      <c r="J147" s="27"/>
      <c r="K147"/>
    </row>
    <row r="148" spans="2:11" s="19" customFormat="1" x14ac:dyDescent="0.25">
      <c r="B148"/>
      <c r="C148"/>
      <c r="D148"/>
      <c r="E148"/>
      <c r="F148"/>
      <c r="G148"/>
      <c r="H148"/>
      <c r="I148"/>
      <c r="J148" s="27"/>
      <c r="K148"/>
    </row>
    <row r="149" spans="2:11" s="19" customFormat="1" x14ac:dyDescent="0.25">
      <c r="B149"/>
      <c r="C149"/>
      <c r="D149"/>
      <c r="E149"/>
      <c r="F149"/>
      <c r="G149"/>
      <c r="H149"/>
      <c r="I149"/>
      <c r="J149" s="27"/>
      <c r="K149"/>
    </row>
    <row r="150" spans="2:11" s="19" customFormat="1" x14ac:dyDescent="0.25">
      <c r="B150"/>
      <c r="C150"/>
      <c r="D150"/>
      <c r="E150"/>
      <c r="F150"/>
      <c r="G150"/>
      <c r="H150"/>
      <c r="I150"/>
      <c r="J150" s="27"/>
      <c r="K150"/>
    </row>
    <row r="151" spans="2:11" s="19" customFormat="1" x14ac:dyDescent="0.25">
      <c r="B151"/>
      <c r="C151"/>
      <c r="D151"/>
      <c r="E151"/>
      <c r="F151"/>
      <c r="G151"/>
      <c r="H151"/>
      <c r="I151"/>
      <c r="J151" s="27"/>
      <c r="K151"/>
    </row>
    <row r="152" spans="2:11" s="19" customFormat="1" x14ac:dyDescent="0.25">
      <c r="B152"/>
      <c r="C152"/>
      <c r="D152"/>
      <c r="E152"/>
      <c r="F152"/>
      <c r="G152"/>
      <c r="H152"/>
      <c r="I152"/>
      <c r="J152" s="27"/>
      <c r="K152"/>
    </row>
    <row r="153" spans="2:11" s="19" customFormat="1" x14ac:dyDescent="0.25">
      <c r="B153"/>
      <c r="C153"/>
      <c r="D153"/>
      <c r="E153"/>
      <c r="F153"/>
      <c r="G153"/>
      <c r="H153"/>
      <c r="I153"/>
      <c r="J153" s="27"/>
      <c r="K153"/>
    </row>
    <row r="154" spans="2:11" s="19" customFormat="1" x14ac:dyDescent="0.25">
      <c r="B154"/>
      <c r="C154"/>
      <c r="D154"/>
      <c r="E154"/>
      <c r="F154"/>
      <c r="G154"/>
      <c r="H154"/>
      <c r="I154"/>
      <c r="J154" s="27"/>
      <c r="K154"/>
    </row>
    <row r="155" spans="2:11" s="19" customFormat="1" x14ac:dyDescent="0.25">
      <c r="B155"/>
      <c r="C155"/>
      <c r="D155"/>
      <c r="E155"/>
      <c r="F155"/>
      <c r="G155"/>
      <c r="H155"/>
      <c r="I155"/>
      <c r="J155" s="27"/>
      <c r="K155"/>
    </row>
    <row r="156" spans="2:11" s="19" customFormat="1" x14ac:dyDescent="0.25">
      <c r="B156"/>
      <c r="C156"/>
      <c r="D156"/>
      <c r="E156"/>
      <c r="F156"/>
      <c r="G156"/>
      <c r="H156"/>
      <c r="I156"/>
      <c r="J156" s="27"/>
      <c r="K156"/>
    </row>
    <row r="157" spans="2:11" s="19" customFormat="1" x14ac:dyDescent="0.25">
      <c r="B157"/>
      <c r="C157"/>
      <c r="D157"/>
      <c r="E157"/>
      <c r="F157"/>
      <c r="G157"/>
      <c r="H157"/>
      <c r="I157"/>
      <c r="J157" s="27"/>
      <c r="K157"/>
    </row>
    <row r="158" spans="2:11" s="19" customFormat="1" x14ac:dyDescent="0.25">
      <c r="B158"/>
      <c r="C158"/>
      <c r="D158"/>
      <c r="E158"/>
      <c r="F158"/>
      <c r="G158"/>
      <c r="H158"/>
      <c r="I158"/>
      <c r="J158" s="27"/>
      <c r="K158"/>
    </row>
    <row r="159" spans="2:11" s="19" customFormat="1" x14ac:dyDescent="0.25">
      <c r="B159"/>
      <c r="C159"/>
      <c r="D159"/>
      <c r="E159"/>
      <c r="F159"/>
      <c r="G159"/>
      <c r="H159"/>
      <c r="I159"/>
      <c r="J159" s="27"/>
      <c r="K159"/>
    </row>
    <row r="160" spans="2:11" s="19" customFormat="1" x14ac:dyDescent="0.25">
      <c r="B160"/>
      <c r="C160"/>
      <c r="D160"/>
      <c r="E160"/>
      <c r="F160"/>
      <c r="G160"/>
      <c r="H160"/>
      <c r="I160"/>
      <c r="J160" s="27"/>
      <c r="K160"/>
    </row>
    <row r="161" spans="2:11" s="19" customFormat="1" x14ac:dyDescent="0.25">
      <c r="B161"/>
      <c r="C161"/>
      <c r="D161"/>
      <c r="E161"/>
      <c r="F161"/>
      <c r="G161"/>
      <c r="H161"/>
      <c r="I161"/>
      <c r="J161" s="27"/>
      <c r="K161"/>
    </row>
    <row r="162" spans="2:11" s="19" customFormat="1" x14ac:dyDescent="0.25">
      <c r="B162"/>
      <c r="C162"/>
      <c r="D162"/>
      <c r="E162"/>
      <c r="F162"/>
      <c r="G162"/>
      <c r="H162"/>
      <c r="I162"/>
      <c r="J162" s="27"/>
      <c r="K162"/>
    </row>
    <row r="163" spans="2:11" s="19" customFormat="1" x14ac:dyDescent="0.25">
      <c r="B163"/>
      <c r="C163"/>
      <c r="D163"/>
      <c r="E163"/>
      <c r="F163"/>
      <c r="G163"/>
      <c r="H163"/>
      <c r="I163"/>
      <c r="J163" s="27"/>
      <c r="K163"/>
    </row>
    <row r="164" spans="2:11" s="19" customFormat="1" x14ac:dyDescent="0.25">
      <c r="B164"/>
      <c r="C164"/>
      <c r="D164"/>
      <c r="E164"/>
      <c r="F164"/>
      <c r="G164"/>
      <c r="H164"/>
      <c r="I164"/>
      <c r="J164" s="27"/>
      <c r="K164"/>
    </row>
    <row r="165" spans="2:11" s="19" customFormat="1" x14ac:dyDescent="0.25">
      <c r="B165"/>
      <c r="C165"/>
      <c r="D165"/>
      <c r="E165"/>
      <c r="F165"/>
      <c r="G165"/>
      <c r="H165"/>
      <c r="I165"/>
      <c r="J165" s="27"/>
      <c r="K165"/>
    </row>
    <row r="166" spans="2:11" s="19" customFormat="1" x14ac:dyDescent="0.25">
      <c r="B166"/>
      <c r="C166"/>
      <c r="D166"/>
      <c r="E166"/>
      <c r="F166"/>
      <c r="G166"/>
      <c r="H166"/>
      <c r="I166"/>
      <c r="J166" s="27"/>
      <c r="K166"/>
    </row>
    <row r="167" spans="2:11" s="19" customFormat="1" x14ac:dyDescent="0.25">
      <c r="B167"/>
      <c r="C167"/>
      <c r="D167"/>
      <c r="E167"/>
      <c r="F167"/>
      <c r="G167"/>
      <c r="H167"/>
      <c r="I167"/>
      <c r="J167" s="27"/>
      <c r="K167"/>
    </row>
    <row r="168" spans="2:11" s="19" customFormat="1" x14ac:dyDescent="0.25">
      <c r="B168"/>
      <c r="C168"/>
      <c r="D168"/>
      <c r="E168"/>
      <c r="F168"/>
      <c r="G168"/>
      <c r="H168"/>
      <c r="I168"/>
      <c r="J168" s="27"/>
      <c r="K168"/>
    </row>
    <row r="169" spans="2:11" s="19" customFormat="1" x14ac:dyDescent="0.25">
      <c r="B169"/>
      <c r="C169"/>
      <c r="D169"/>
      <c r="E169"/>
      <c r="F169"/>
      <c r="G169"/>
      <c r="H169"/>
      <c r="I169"/>
      <c r="J169" s="27"/>
      <c r="K169"/>
    </row>
    <row r="170" spans="2:11" s="19" customFormat="1" x14ac:dyDescent="0.25">
      <c r="B170"/>
      <c r="C170"/>
      <c r="D170"/>
      <c r="E170"/>
      <c r="F170"/>
      <c r="G170"/>
      <c r="H170"/>
      <c r="I170"/>
      <c r="J170" s="27"/>
      <c r="K170"/>
    </row>
    <row r="171" spans="2:11" s="19" customFormat="1" x14ac:dyDescent="0.25">
      <c r="B171"/>
      <c r="C171"/>
      <c r="D171"/>
      <c r="E171"/>
      <c r="F171"/>
      <c r="G171"/>
      <c r="H171"/>
      <c r="I171"/>
      <c r="J171" s="27"/>
      <c r="K171"/>
    </row>
    <row r="172" spans="2:11" s="19" customFormat="1" x14ac:dyDescent="0.25">
      <c r="B172"/>
      <c r="C172"/>
      <c r="D172"/>
      <c r="E172"/>
      <c r="F172"/>
      <c r="G172"/>
      <c r="H172"/>
      <c r="I172"/>
      <c r="J172" s="27"/>
      <c r="K172"/>
    </row>
    <row r="173" spans="2:11" s="19" customFormat="1" x14ac:dyDescent="0.25">
      <c r="B173"/>
      <c r="C173"/>
      <c r="D173"/>
      <c r="E173"/>
      <c r="F173"/>
      <c r="G173"/>
      <c r="H173"/>
      <c r="I173"/>
      <c r="J173" s="27"/>
      <c r="K173"/>
    </row>
    <row r="174" spans="2:11" s="19" customFormat="1" x14ac:dyDescent="0.25">
      <c r="B174"/>
      <c r="C174"/>
      <c r="D174"/>
      <c r="E174"/>
      <c r="F174"/>
      <c r="G174"/>
      <c r="H174"/>
      <c r="I174"/>
      <c r="J174" s="27"/>
      <c r="K174"/>
    </row>
    <row r="175" spans="2:11" s="19" customFormat="1" x14ac:dyDescent="0.25">
      <c r="B175"/>
      <c r="C175"/>
      <c r="D175"/>
      <c r="E175"/>
      <c r="F175"/>
      <c r="G175"/>
      <c r="H175"/>
      <c r="I175"/>
      <c r="J175" s="27"/>
      <c r="K175"/>
    </row>
    <row r="176" spans="2:11" s="19" customFormat="1" x14ac:dyDescent="0.25">
      <c r="B176"/>
      <c r="C176"/>
      <c r="D176"/>
      <c r="E176"/>
      <c r="F176"/>
      <c r="G176"/>
      <c r="H176"/>
      <c r="I176"/>
      <c r="J176" s="27"/>
      <c r="K176"/>
    </row>
    <row r="177" spans="2:11" s="19" customFormat="1" x14ac:dyDescent="0.25">
      <c r="B177"/>
      <c r="C177"/>
      <c r="D177"/>
      <c r="E177"/>
      <c r="F177"/>
      <c r="G177"/>
      <c r="H177"/>
      <c r="I177"/>
      <c r="J177" s="27"/>
      <c r="K177"/>
    </row>
    <row r="178" spans="2:11" s="19" customFormat="1" x14ac:dyDescent="0.25">
      <c r="B178"/>
      <c r="C178"/>
      <c r="D178"/>
      <c r="E178"/>
      <c r="F178"/>
      <c r="G178"/>
      <c r="H178"/>
      <c r="I178"/>
      <c r="J178" s="27"/>
      <c r="K178"/>
    </row>
    <row r="179" spans="2:11" s="19" customFormat="1" x14ac:dyDescent="0.25">
      <c r="B179"/>
      <c r="C179"/>
      <c r="D179"/>
      <c r="E179"/>
      <c r="F179"/>
      <c r="G179"/>
      <c r="H179"/>
      <c r="I179"/>
      <c r="J179" s="27"/>
      <c r="K179"/>
    </row>
    <row r="180" spans="2:11" s="19" customFormat="1" x14ac:dyDescent="0.25">
      <c r="B180"/>
      <c r="C180"/>
      <c r="D180"/>
      <c r="E180"/>
      <c r="F180"/>
      <c r="G180"/>
      <c r="H180"/>
      <c r="I180"/>
      <c r="J180" s="27"/>
      <c r="K180"/>
    </row>
    <row r="181" spans="2:11" s="19" customFormat="1" x14ac:dyDescent="0.25">
      <c r="B181"/>
      <c r="C181"/>
      <c r="D181"/>
      <c r="E181"/>
      <c r="F181"/>
      <c r="G181"/>
      <c r="H181"/>
      <c r="I181"/>
      <c r="J181" s="27"/>
      <c r="K181"/>
    </row>
    <row r="182" spans="2:11" s="19" customFormat="1" x14ac:dyDescent="0.25">
      <c r="B182"/>
      <c r="C182"/>
      <c r="D182"/>
      <c r="E182"/>
      <c r="F182"/>
      <c r="G182"/>
      <c r="H182"/>
      <c r="I182"/>
      <c r="J182" s="27"/>
      <c r="K182"/>
    </row>
    <row r="183" spans="2:11" s="19" customFormat="1" x14ac:dyDescent="0.25">
      <c r="B183"/>
      <c r="C183"/>
      <c r="D183"/>
      <c r="E183"/>
      <c r="F183"/>
      <c r="G183"/>
      <c r="H183"/>
      <c r="I183"/>
      <c r="J183" s="27"/>
      <c r="K183"/>
    </row>
    <row r="184" spans="2:11" s="19" customFormat="1" x14ac:dyDescent="0.25">
      <c r="B184"/>
      <c r="C184"/>
      <c r="D184"/>
      <c r="E184"/>
      <c r="F184"/>
      <c r="G184"/>
      <c r="H184"/>
      <c r="I184"/>
      <c r="J184" s="27"/>
      <c r="K184"/>
    </row>
    <row r="185" spans="2:11" s="19" customFormat="1" x14ac:dyDescent="0.25">
      <c r="B185"/>
      <c r="C185"/>
      <c r="D185"/>
      <c r="E185"/>
      <c r="F185"/>
      <c r="G185"/>
      <c r="H185"/>
      <c r="I185"/>
      <c r="J185" s="27"/>
      <c r="K185"/>
    </row>
    <row r="186" spans="2:11" s="19" customFormat="1" x14ac:dyDescent="0.25">
      <c r="B186"/>
      <c r="C186"/>
      <c r="D186"/>
      <c r="E186"/>
      <c r="F186"/>
      <c r="G186"/>
      <c r="H186"/>
      <c r="I186"/>
      <c r="J186" s="27"/>
      <c r="K186"/>
    </row>
    <row r="187" spans="2:11" s="19" customFormat="1" x14ac:dyDescent="0.25">
      <c r="B187"/>
      <c r="C187"/>
      <c r="D187"/>
      <c r="E187"/>
      <c r="F187"/>
      <c r="G187"/>
      <c r="H187"/>
      <c r="I187"/>
      <c r="J187" s="27"/>
      <c r="K187"/>
    </row>
    <row r="188" spans="2:11" s="19" customFormat="1" x14ac:dyDescent="0.25">
      <c r="B188"/>
      <c r="C188"/>
      <c r="D188"/>
      <c r="E188"/>
      <c r="F188"/>
      <c r="G188"/>
      <c r="H188"/>
      <c r="I188"/>
      <c r="J188" s="27"/>
      <c r="K188"/>
    </row>
    <row r="189" spans="2:11" s="19" customFormat="1" x14ac:dyDescent="0.25">
      <c r="B189"/>
      <c r="C189"/>
      <c r="D189"/>
      <c r="E189"/>
      <c r="F189"/>
      <c r="G189"/>
      <c r="H189"/>
      <c r="I189"/>
      <c r="J189" s="27"/>
      <c r="K189"/>
    </row>
    <row r="190" spans="2:11" s="19" customFormat="1" x14ac:dyDescent="0.25">
      <c r="B190"/>
      <c r="C190"/>
      <c r="D190"/>
      <c r="E190"/>
      <c r="F190"/>
      <c r="G190"/>
      <c r="H190"/>
      <c r="I190"/>
      <c r="J190" s="27"/>
      <c r="K190"/>
    </row>
    <row r="191" spans="2:11" s="19" customFormat="1" x14ac:dyDescent="0.25">
      <c r="B191"/>
      <c r="C191"/>
      <c r="D191"/>
      <c r="E191"/>
      <c r="F191"/>
      <c r="G191"/>
      <c r="H191"/>
      <c r="I191"/>
      <c r="J191" s="27"/>
      <c r="K191"/>
    </row>
    <row r="192" spans="2:11" s="19" customFormat="1" x14ac:dyDescent="0.25">
      <c r="B192"/>
      <c r="C192"/>
      <c r="D192"/>
      <c r="E192"/>
      <c r="F192"/>
      <c r="G192"/>
      <c r="H192"/>
      <c r="I192"/>
      <c r="J192" s="27"/>
      <c r="K192"/>
    </row>
    <row r="193" spans="2:11" s="19" customFormat="1" x14ac:dyDescent="0.25">
      <c r="B193"/>
      <c r="C193"/>
      <c r="D193"/>
      <c r="E193"/>
      <c r="F193"/>
      <c r="G193"/>
      <c r="H193"/>
      <c r="I193"/>
      <c r="J193" s="27"/>
      <c r="K193"/>
    </row>
    <row r="194" spans="2:11" s="19" customFormat="1" x14ac:dyDescent="0.25">
      <c r="B194"/>
      <c r="C194"/>
      <c r="D194"/>
      <c r="E194"/>
      <c r="F194"/>
      <c r="G194"/>
      <c r="H194"/>
      <c r="I194"/>
      <c r="J194" s="27"/>
      <c r="K194"/>
    </row>
    <row r="195" spans="2:11" s="19" customFormat="1" x14ac:dyDescent="0.25">
      <c r="B195"/>
      <c r="C195"/>
      <c r="D195"/>
      <c r="E195"/>
      <c r="F195"/>
      <c r="G195"/>
      <c r="H195"/>
      <c r="I195"/>
      <c r="J195" s="27"/>
      <c r="K195"/>
    </row>
    <row r="196" spans="2:11" s="19" customFormat="1" x14ac:dyDescent="0.25">
      <c r="B196"/>
      <c r="C196"/>
      <c r="D196"/>
      <c r="E196"/>
      <c r="F196"/>
      <c r="G196"/>
      <c r="H196"/>
      <c r="I196"/>
      <c r="J196" s="27"/>
      <c r="K196"/>
    </row>
    <row r="197" spans="2:11" s="19" customFormat="1" x14ac:dyDescent="0.25">
      <c r="B197"/>
      <c r="C197"/>
      <c r="D197"/>
      <c r="E197"/>
      <c r="F197"/>
      <c r="G197"/>
      <c r="H197"/>
      <c r="I197"/>
      <c r="J197" s="27"/>
      <c r="K197"/>
    </row>
    <row r="198" spans="2:11" s="19" customFormat="1" x14ac:dyDescent="0.25">
      <c r="B198"/>
      <c r="C198"/>
      <c r="D198"/>
      <c r="E198"/>
      <c r="F198"/>
      <c r="G198"/>
      <c r="H198"/>
      <c r="I198"/>
      <c r="J198" s="27"/>
      <c r="K198"/>
    </row>
    <row r="199" spans="2:11" s="19" customFormat="1" x14ac:dyDescent="0.25">
      <c r="B199"/>
      <c r="C199"/>
      <c r="D199"/>
      <c r="E199"/>
      <c r="F199"/>
      <c r="G199"/>
      <c r="H199"/>
      <c r="I199"/>
      <c r="J199" s="27"/>
      <c r="K199"/>
    </row>
    <row r="200" spans="2:11" s="19" customFormat="1" x14ac:dyDescent="0.25">
      <c r="B200"/>
      <c r="C200"/>
      <c r="D200"/>
      <c r="E200"/>
      <c r="F200"/>
      <c r="G200"/>
      <c r="H200"/>
      <c r="I200"/>
      <c r="J200" s="27"/>
      <c r="K200"/>
    </row>
    <row r="201" spans="2:11" s="19" customFormat="1" x14ac:dyDescent="0.25">
      <c r="B201"/>
      <c r="C201"/>
      <c r="D201"/>
      <c r="E201"/>
      <c r="F201"/>
      <c r="G201"/>
      <c r="H201"/>
      <c r="I201"/>
      <c r="J201" s="27"/>
      <c r="K201"/>
    </row>
    <row r="202" spans="2:11" s="19" customFormat="1" x14ac:dyDescent="0.25">
      <c r="B202"/>
      <c r="C202"/>
      <c r="D202"/>
      <c r="E202"/>
      <c r="F202"/>
      <c r="G202"/>
      <c r="H202"/>
      <c r="I202"/>
      <c r="J202" s="27"/>
      <c r="K202"/>
    </row>
    <row r="203" spans="2:11" s="19" customFormat="1" x14ac:dyDescent="0.25">
      <c r="B203"/>
      <c r="C203"/>
      <c r="D203"/>
      <c r="E203"/>
      <c r="F203"/>
      <c r="G203"/>
      <c r="H203"/>
      <c r="I203"/>
      <c r="J203" s="27"/>
      <c r="K203"/>
    </row>
    <row r="204" spans="2:11" s="19" customFormat="1" x14ac:dyDescent="0.25">
      <c r="B204"/>
      <c r="C204"/>
      <c r="D204"/>
      <c r="E204"/>
      <c r="F204"/>
      <c r="G204"/>
      <c r="H204"/>
      <c r="I204"/>
      <c r="J204" s="27"/>
      <c r="K204"/>
    </row>
    <row r="205" spans="2:11" s="19" customFormat="1" x14ac:dyDescent="0.25">
      <c r="B205"/>
      <c r="C205"/>
      <c r="D205"/>
      <c r="E205"/>
      <c r="F205"/>
      <c r="G205"/>
      <c r="H205"/>
      <c r="I205"/>
      <c r="J205" s="27"/>
      <c r="K205"/>
    </row>
    <row r="206" spans="2:11" s="19" customFormat="1" x14ac:dyDescent="0.25">
      <c r="B206"/>
      <c r="C206"/>
      <c r="D206"/>
      <c r="E206"/>
      <c r="F206"/>
      <c r="G206"/>
      <c r="H206"/>
      <c r="I206"/>
      <c r="J206" s="27"/>
      <c r="K206"/>
    </row>
    <row r="207" spans="2:11" s="19" customFormat="1" x14ac:dyDescent="0.25">
      <c r="B207"/>
      <c r="C207"/>
      <c r="D207"/>
      <c r="E207"/>
      <c r="F207"/>
      <c r="G207"/>
      <c r="H207"/>
      <c r="I207"/>
      <c r="J207" s="27"/>
      <c r="K207"/>
    </row>
    <row r="208" spans="2:11" s="19" customFormat="1" x14ac:dyDescent="0.25">
      <c r="B208"/>
      <c r="C208"/>
      <c r="D208"/>
      <c r="E208"/>
      <c r="F208"/>
      <c r="G208"/>
      <c r="H208"/>
      <c r="I208"/>
      <c r="J208" s="27"/>
      <c r="K208"/>
    </row>
    <row r="209" spans="2:11" s="19" customFormat="1" x14ac:dyDescent="0.25">
      <c r="B209"/>
      <c r="C209"/>
      <c r="D209"/>
      <c r="E209"/>
      <c r="F209"/>
      <c r="G209"/>
      <c r="H209"/>
      <c r="I209"/>
      <c r="J209" s="27"/>
      <c r="K209"/>
    </row>
    <row r="210" spans="2:11" s="19" customFormat="1" x14ac:dyDescent="0.25">
      <c r="B210"/>
      <c r="C210"/>
      <c r="D210"/>
      <c r="E210"/>
      <c r="F210"/>
      <c r="G210"/>
      <c r="H210"/>
      <c r="I210"/>
      <c r="J210" s="27"/>
      <c r="K210"/>
    </row>
    <row r="211" spans="2:11" s="19" customFormat="1" x14ac:dyDescent="0.25">
      <c r="B211"/>
      <c r="C211"/>
      <c r="D211"/>
      <c r="E211"/>
      <c r="F211"/>
      <c r="G211"/>
      <c r="H211"/>
      <c r="I211"/>
      <c r="J211" s="27"/>
      <c r="K211"/>
    </row>
    <row r="212" spans="2:11" s="19" customFormat="1" x14ac:dyDescent="0.25">
      <c r="B212"/>
      <c r="C212"/>
      <c r="D212"/>
      <c r="E212"/>
      <c r="F212"/>
      <c r="G212"/>
      <c r="H212"/>
      <c r="I212"/>
      <c r="J212" s="27"/>
      <c r="K212"/>
    </row>
    <row r="213" spans="2:11" s="19" customFormat="1" x14ac:dyDescent="0.25">
      <c r="B213"/>
      <c r="C213"/>
      <c r="D213"/>
      <c r="E213"/>
      <c r="F213"/>
      <c r="G213"/>
      <c r="H213"/>
      <c r="I213"/>
      <c r="J213" s="27"/>
      <c r="K213"/>
    </row>
    <row r="214" spans="2:11" s="19" customFormat="1" x14ac:dyDescent="0.25">
      <c r="B214"/>
      <c r="C214"/>
      <c r="D214"/>
      <c r="E214"/>
      <c r="F214"/>
      <c r="G214"/>
      <c r="H214"/>
      <c r="I214"/>
      <c r="J214" s="27"/>
      <c r="K214"/>
    </row>
    <row r="215" spans="2:11" s="19" customFormat="1" x14ac:dyDescent="0.25">
      <c r="B215"/>
      <c r="C215"/>
      <c r="D215"/>
      <c r="E215"/>
      <c r="F215"/>
      <c r="G215"/>
      <c r="H215"/>
      <c r="I215"/>
      <c r="J215" s="27"/>
      <c r="K215"/>
    </row>
    <row r="216" spans="2:11" s="19" customFormat="1" x14ac:dyDescent="0.25">
      <c r="B216"/>
      <c r="C216"/>
      <c r="D216"/>
      <c r="E216"/>
      <c r="F216"/>
      <c r="G216"/>
      <c r="H216"/>
      <c r="I216"/>
      <c r="J216" s="27"/>
      <c r="K216"/>
    </row>
    <row r="217" spans="2:11" s="19" customFormat="1" x14ac:dyDescent="0.25">
      <c r="B217"/>
      <c r="C217"/>
      <c r="D217"/>
      <c r="E217"/>
      <c r="F217"/>
      <c r="G217"/>
      <c r="H217"/>
      <c r="I217"/>
      <c r="J217" s="27"/>
      <c r="K217"/>
    </row>
    <row r="218" spans="2:11" s="19" customFormat="1" x14ac:dyDescent="0.25">
      <c r="B218"/>
      <c r="C218"/>
      <c r="D218"/>
      <c r="E218"/>
      <c r="F218"/>
      <c r="G218"/>
      <c r="H218"/>
      <c r="I218"/>
      <c r="J218" s="27"/>
      <c r="K218"/>
    </row>
    <row r="219" spans="2:11" s="19" customFormat="1" x14ac:dyDescent="0.25">
      <c r="B219"/>
      <c r="C219"/>
      <c r="D219"/>
      <c r="E219"/>
      <c r="F219"/>
      <c r="G219"/>
      <c r="H219"/>
      <c r="I219"/>
      <c r="J219" s="27"/>
      <c r="K219"/>
    </row>
    <row r="220" spans="2:11" s="19" customFormat="1" x14ac:dyDescent="0.25">
      <c r="B220"/>
      <c r="C220"/>
      <c r="D220"/>
      <c r="E220"/>
      <c r="F220"/>
      <c r="G220"/>
      <c r="H220"/>
      <c r="I220"/>
      <c r="J220" s="27"/>
      <c r="K220"/>
    </row>
    <row r="221" spans="2:11" s="19" customFormat="1" x14ac:dyDescent="0.25">
      <c r="B221"/>
      <c r="C221"/>
      <c r="D221"/>
      <c r="E221"/>
      <c r="F221"/>
      <c r="G221"/>
      <c r="H221"/>
      <c r="I221"/>
      <c r="J221" s="27"/>
      <c r="K221"/>
    </row>
    <row r="222" spans="2:11" s="19" customFormat="1" x14ac:dyDescent="0.25">
      <c r="B222"/>
      <c r="C222"/>
      <c r="D222"/>
      <c r="E222"/>
      <c r="F222"/>
      <c r="G222"/>
      <c r="H222"/>
      <c r="I222"/>
      <c r="J222" s="27"/>
      <c r="K222"/>
    </row>
    <row r="223" spans="2:11" s="19" customFormat="1" x14ac:dyDescent="0.25">
      <c r="B223"/>
      <c r="C223"/>
      <c r="D223"/>
      <c r="E223"/>
      <c r="F223"/>
      <c r="G223"/>
      <c r="H223"/>
      <c r="I223"/>
      <c r="J223" s="27"/>
      <c r="K223"/>
    </row>
    <row r="224" spans="2:11" s="19" customFormat="1" x14ac:dyDescent="0.25">
      <c r="B224"/>
      <c r="C224"/>
      <c r="D224"/>
      <c r="E224"/>
      <c r="F224"/>
      <c r="G224"/>
      <c r="H224"/>
      <c r="I224"/>
      <c r="J224" s="27"/>
      <c r="K224"/>
    </row>
    <row r="225" spans="2:12" s="19" customFormat="1" x14ac:dyDescent="0.25">
      <c r="B225"/>
      <c r="C225"/>
      <c r="D225"/>
      <c r="E225"/>
      <c r="F225"/>
      <c r="G225"/>
      <c r="H225"/>
      <c r="I225"/>
      <c r="J225" s="27"/>
      <c r="K225"/>
    </row>
    <row r="226" spans="2:12" s="19" customFormat="1" x14ac:dyDescent="0.25">
      <c r="B226"/>
      <c r="C226"/>
      <c r="D226"/>
      <c r="E226"/>
      <c r="F226"/>
      <c r="G226"/>
      <c r="H226"/>
      <c r="I226"/>
      <c r="J226" s="27"/>
      <c r="K226"/>
    </row>
    <row r="227" spans="2:12" s="19" customFormat="1" x14ac:dyDescent="0.25">
      <c r="B227"/>
      <c r="C227"/>
      <c r="D227"/>
      <c r="E227"/>
      <c r="F227"/>
      <c r="G227"/>
      <c r="H227"/>
      <c r="I227"/>
      <c r="J227" s="27"/>
      <c r="K227"/>
    </row>
    <row r="228" spans="2:12" s="19" customFormat="1" x14ac:dyDescent="0.25">
      <c r="B228"/>
      <c r="C228"/>
      <c r="D228"/>
      <c r="E228"/>
      <c r="F228"/>
      <c r="G228"/>
      <c r="H228"/>
      <c r="I228"/>
      <c r="J228" s="27"/>
      <c r="K228"/>
    </row>
    <row r="229" spans="2:12" s="19" customFormat="1" x14ac:dyDescent="0.25">
      <c r="B229"/>
      <c r="C229"/>
      <c r="D229"/>
      <c r="E229"/>
      <c r="F229"/>
      <c r="G229"/>
      <c r="H229"/>
      <c r="I229"/>
      <c r="J229" s="27"/>
      <c r="K229"/>
    </row>
    <row r="230" spans="2:12" s="19" customFormat="1" x14ac:dyDescent="0.25">
      <c r="B230"/>
      <c r="C230"/>
      <c r="D230"/>
      <c r="E230"/>
      <c r="F230"/>
      <c r="G230"/>
      <c r="H230"/>
      <c r="I230"/>
      <c r="J230" s="27"/>
      <c r="K230"/>
    </row>
    <row r="231" spans="2:12" s="19" customFormat="1" x14ac:dyDescent="0.25">
      <c r="B231"/>
      <c r="C231"/>
      <c r="D231"/>
      <c r="E231"/>
      <c r="F231"/>
      <c r="G231"/>
      <c r="H231"/>
      <c r="I231"/>
      <c r="J231" s="27"/>
      <c r="K231"/>
    </row>
    <row r="232" spans="2:12" s="19" customFormat="1" x14ac:dyDescent="0.25">
      <c r="B232"/>
      <c r="C232"/>
      <c r="D232"/>
      <c r="E232"/>
      <c r="F232"/>
      <c r="G232"/>
      <c r="H232"/>
      <c r="I232"/>
      <c r="J232" s="27"/>
      <c r="K232"/>
    </row>
    <row r="233" spans="2:12" s="19" customFormat="1" x14ac:dyDescent="0.25">
      <c r="B233"/>
      <c r="C233"/>
      <c r="D233"/>
      <c r="E233"/>
      <c r="F233"/>
      <c r="G233"/>
      <c r="H233"/>
      <c r="I233"/>
      <c r="J233" s="27"/>
      <c r="K233"/>
    </row>
    <row r="234" spans="2:12" s="19" customFormat="1" x14ac:dyDescent="0.25">
      <c r="B234"/>
      <c r="C234"/>
      <c r="D234"/>
      <c r="E234"/>
      <c r="F234"/>
      <c r="G234"/>
      <c r="H234"/>
      <c r="I234"/>
      <c r="J234" s="27"/>
      <c r="K234"/>
    </row>
    <row r="235" spans="2:12" s="19" customFormat="1" x14ac:dyDescent="0.25">
      <c r="B235"/>
      <c r="C235"/>
      <c r="D235"/>
      <c r="E235"/>
      <c r="F235"/>
      <c r="G235"/>
      <c r="H235"/>
      <c r="I235"/>
      <c r="J235" s="27"/>
      <c r="K235"/>
    </row>
    <row r="236" spans="2:12" s="19" customFormat="1" x14ac:dyDescent="0.25">
      <c r="B236"/>
      <c r="C236"/>
      <c r="D236"/>
      <c r="E236"/>
      <c r="F236"/>
      <c r="G236"/>
      <c r="H236"/>
      <c r="I236"/>
      <c r="J236" s="27"/>
      <c r="K236"/>
    </row>
    <row r="237" spans="2:12" s="19" customFormat="1" x14ac:dyDescent="0.25">
      <c r="B237"/>
      <c r="C237"/>
      <c r="D237"/>
      <c r="E237"/>
      <c r="F237"/>
      <c r="G237"/>
      <c r="H237"/>
      <c r="I237"/>
      <c r="J237" s="27"/>
      <c r="K237"/>
    </row>
    <row r="238" spans="2:12" x14ac:dyDescent="0.25">
      <c r="B238"/>
      <c r="C238"/>
      <c r="D238"/>
      <c r="E238"/>
      <c r="F238"/>
      <c r="G238"/>
      <c r="H238"/>
      <c r="I238"/>
      <c r="J238" s="27"/>
      <c r="K238"/>
      <c r="L238" s="19"/>
    </row>
    <row r="239" spans="2:12" x14ac:dyDescent="0.25">
      <c r="B239"/>
      <c r="C239"/>
      <c r="D239"/>
      <c r="E239"/>
      <c r="F239"/>
      <c r="G239"/>
      <c r="H239"/>
      <c r="I239"/>
      <c r="J239" s="27"/>
      <c r="K239"/>
    </row>
    <row r="240" spans="2:12" x14ac:dyDescent="0.25">
      <c r="B240"/>
      <c r="C240"/>
      <c r="D240"/>
      <c r="E240"/>
      <c r="F240"/>
      <c r="G240"/>
      <c r="H240"/>
      <c r="I240"/>
      <c r="J240" s="27"/>
      <c r="K240"/>
    </row>
    <row r="241" spans="2:11" x14ac:dyDescent="0.25">
      <c r="B241"/>
      <c r="C241"/>
      <c r="D241"/>
      <c r="E241"/>
      <c r="F241"/>
      <c r="G241"/>
      <c r="H241"/>
      <c r="I241"/>
      <c r="J241" s="27"/>
      <c r="K241"/>
    </row>
    <row r="242" spans="2:11" x14ac:dyDescent="0.25">
      <c r="B242"/>
      <c r="C242"/>
      <c r="D242"/>
      <c r="E242"/>
      <c r="F242"/>
      <c r="G242"/>
      <c r="H242"/>
      <c r="I242"/>
      <c r="J242" s="27"/>
      <c r="K242"/>
    </row>
    <row r="243" spans="2:11" x14ac:dyDescent="0.25">
      <c r="B243"/>
      <c r="C243"/>
      <c r="D243"/>
      <c r="E243"/>
      <c r="F243"/>
      <c r="G243"/>
      <c r="H243"/>
      <c r="I243"/>
      <c r="J243" s="27"/>
      <c r="K243"/>
    </row>
    <row r="244" spans="2:11" x14ac:dyDescent="0.25">
      <c r="B244"/>
      <c r="C244"/>
      <c r="D244"/>
      <c r="E244"/>
      <c r="F244"/>
      <c r="G244"/>
      <c r="H244"/>
      <c r="I244"/>
      <c r="J244" s="27"/>
      <c r="K244"/>
    </row>
    <row r="245" spans="2:11" x14ac:dyDescent="0.25">
      <c r="B245"/>
      <c r="C245"/>
      <c r="D245"/>
      <c r="E245"/>
      <c r="F245"/>
      <c r="G245"/>
      <c r="H245"/>
      <c r="I245"/>
      <c r="J245" s="27"/>
      <c r="K245"/>
    </row>
    <row r="246" spans="2:11" x14ac:dyDescent="0.25">
      <c r="B246"/>
      <c r="C246"/>
      <c r="D246"/>
      <c r="E246"/>
      <c r="F246"/>
      <c r="G246"/>
      <c r="H246"/>
      <c r="I246"/>
      <c r="J246" s="27"/>
      <c r="K246"/>
    </row>
    <row r="247" spans="2:11" x14ac:dyDescent="0.25">
      <c r="B247"/>
      <c r="C247"/>
      <c r="D247"/>
      <c r="E247"/>
      <c r="F247"/>
      <c r="G247"/>
      <c r="H247"/>
      <c r="I247"/>
      <c r="J247" s="27"/>
      <c r="K247"/>
    </row>
    <row r="248" spans="2:11" x14ac:dyDescent="0.25">
      <c r="B248"/>
      <c r="C248"/>
      <c r="D248"/>
      <c r="E248"/>
      <c r="F248"/>
      <c r="G248"/>
      <c r="H248"/>
      <c r="I248"/>
      <c r="J248" s="27"/>
      <c r="K248"/>
    </row>
    <row r="249" spans="2:11" x14ac:dyDescent="0.25">
      <c r="B249"/>
      <c r="C249"/>
      <c r="D249"/>
      <c r="E249"/>
      <c r="F249"/>
      <c r="G249"/>
      <c r="H249"/>
      <c r="I249"/>
      <c r="J249" s="27"/>
      <c r="K249"/>
    </row>
    <row r="250" spans="2:11" x14ac:dyDescent="0.25">
      <c r="B250"/>
      <c r="C250"/>
      <c r="D250"/>
      <c r="E250"/>
      <c r="F250"/>
      <c r="G250"/>
      <c r="H250"/>
      <c r="I250"/>
      <c r="J250" s="27"/>
      <c r="K250"/>
    </row>
    <row r="251" spans="2:11" x14ac:dyDescent="0.25">
      <c r="B251"/>
      <c r="C251"/>
      <c r="D251"/>
      <c r="E251"/>
      <c r="F251"/>
      <c r="G251"/>
      <c r="H251"/>
      <c r="I251"/>
      <c r="J251" s="27"/>
      <c r="K251"/>
    </row>
    <row r="252" spans="2:11" x14ac:dyDescent="0.25">
      <c r="B252"/>
      <c r="C252"/>
      <c r="D252"/>
      <c r="E252"/>
      <c r="F252"/>
      <c r="G252"/>
      <c r="H252"/>
      <c r="I252"/>
      <c r="J252" s="27"/>
      <c r="K252"/>
    </row>
    <row r="253" spans="2:11" x14ac:dyDescent="0.25">
      <c r="B253"/>
      <c r="C253"/>
      <c r="D253"/>
      <c r="E253"/>
      <c r="F253"/>
      <c r="G253"/>
      <c r="H253"/>
      <c r="I253"/>
      <c r="J253" s="27"/>
      <c r="K253"/>
    </row>
    <row r="254" spans="2:11" x14ac:dyDescent="0.25">
      <c r="B254"/>
      <c r="C254"/>
      <c r="D254"/>
      <c r="E254"/>
      <c r="F254"/>
      <c r="G254"/>
      <c r="H254"/>
      <c r="I254"/>
      <c r="J254" s="27"/>
      <c r="K254"/>
    </row>
    <row r="255" spans="2:11" x14ac:dyDescent="0.25">
      <c r="B255"/>
      <c r="C255"/>
      <c r="D255"/>
      <c r="E255"/>
      <c r="F255"/>
      <c r="G255"/>
      <c r="H255"/>
      <c r="I255"/>
      <c r="J255" s="27"/>
      <c r="K255"/>
    </row>
    <row r="256" spans="2:11" x14ac:dyDescent="0.25">
      <c r="B256"/>
      <c r="C256"/>
      <c r="D256"/>
      <c r="E256"/>
      <c r="F256"/>
      <c r="G256"/>
      <c r="H256"/>
      <c r="I256"/>
      <c r="J256" s="27"/>
      <c r="K256"/>
    </row>
    <row r="257" spans="2:11" x14ac:dyDescent="0.25">
      <c r="B257"/>
      <c r="C257"/>
      <c r="D257"/>
      <c r="E257"/>
      <c r="F257"/>
      <c r="G257"/>
      <c r="H257"/>
      <c r="I257"/>
      <c r="J257" s="27"/>
      <c r="K257"/>
    </row>
    <row r="258" spans="2:11" x14ac:dyDescent="0.25">
      <c r="B258"/>
      <c r="C258"/>
      <c r="D258"/>
      <c r="E258"/>
      <c r="F258"/>
      <c r="G258"/>
      <c r="H258"/>
      <c r="I258"/>
      <c r="J258" s="27"/>
      <c r="K258"/>
    </row>
    <row r="259" spans="2:11" x14ac:dyDescent="0.25">
      <c r="B259"/>
      <c r="C259"/>
      <c r="D259"/>
      <c r="E259"/>
      <c r="F259"/>
      <c r="G259"/>
      <c r="H259"/>
      <c r="I259"/>
      <c r="J259" s="27"/>
      <c r="K259"/>
    </row>
    <row r="260" spans="2:11" x14ac:dyDescent="0.25">
      <c r="B260"/>
      <c r="C260"/>
      <c r="D260"/>
      <c r="E260"/>
      <c r="F260"/>
      <c r="G260"/>
      <c r="H260"/>
      <c r="I260"/>
      <c r="J260" s="27"/>
      <c r="K260"/>
    </row>
    <row r="261" spans="2:11" x14ac:dyDescent="0.25">
      <c r="B261"/>
      <c r="C261"/>
      <c r="D261"/>
      <c r="E261"/>
      <c r="F261"/>
      <c r="G261"/>
      <c r="H261"/>
      <c r="I261"/>
      <c r="J261" s="27"/>
      <c r="K261"/>
    </row>
    <row r="262" spans="2:11" x14ac:dyDescent="0.25">
      <c r="B262"/>
      <c r="C262"/>
      <c r="D262"/>
      <c r="E262"/>
      <c r="F262"/>
      <c r="G262"/>
      <c r="H262"/>
      <c r="I262"/>
      <c r="J262" s="27"/>
      <c r="K262"/>
    </row>
    <row r="263" spans="2:11" x14ac:dyDescent="0.25">
      <c r="B263"/>
      <c r="C263"/>
      <c r="D263"/>
      <c r="E263"/>
      <c r="F263"/>
      <c r="G263"/>
      <c r="H263"/>
      <c r="I263"/>
      <c r="J263" s="27"/>
      <c r="K263"/>
    </row>
    <row r="264" spans="2:11" x14ac:dyDescent="0.25">
      <c r="B264"/>
      <c r="C264"/>
      <c r="D264"/>
      <c r="E264"/>
      <c r="F264"/>
      <c r="G264"/>
      <c r="H264"/>
      <c r="I264"/>
      <c r="J264" s="27"/>
      <c r="K264"/>
    </row>
    <row r="265" spans="2:11" x14ac:dyDescent="0.25">
      <c r="B265"/>
      <c r="C265"/>
      <c r="D265"/>
      <c r="E265"/>
      <c r="F265"/>
      <c r="G265"/>
      <c r="H265"/>
      <c r="I265"/>
      <c r="J265" s="27"/>
      <c r="K265"/>
    </row>
    <row r="266" spans="2:11" x14ac:dyDescent="0.25">
      <c r="B266"/>
      <c r="C266"/>
      <c r="D266"/>
      <c r="E266"/>
      <c r="F266"/>
      <c r="G266"/>
      <c r="H266"/>
      <c r="I266"/>
      <c r="J266" s="27"/>
      <c r="K266"/>
    </row>
    <row r="267" spans="2:11" x14ac:dyDescent="0.25">
      <c r="B267"/>
      <c r="C267"/>
      <c r="D267"/>
      <c r="E267"/>
      <c r="F267"/>
      <c r="G267"/>
      <c r="H267"/>
      <c r="I267"/>
      <c r="J267" s="27"/>
      <c r="K267"/>
    </row>
    <row r="268" spans="2:11" x14ac:dyDescent="0.25">
      <c r="B268"/>
      <c r="C268"/>
      <c r="D268"/>
      <c r="E268"/>
      <c r="F268"/>
      <c r="G268"/>
      <c r="H268"/>
      <c r="I268"/>
      <c r="J268" s="27"/>
      <c r="K268"/>
    </row>
    <row r="269" spans="2:11" x14ac:dyDescent="0.25">
      <c r="B269"/>
      <c r="C269"/>
      <c r="D269"/>
      <c r="E269"/>
      <c r="F269"/>
      <c r="G269"/>
      <c r="H269"/>
      <c r="I269"/>
      <c r="J269" s="27"/>
      <c r="K269"/>
    </row>
    <row r="270" spans="2:11" x14ac:dyDescent="0.25">
      <c r="B270"/>
      <c r="C270"/>
      <c r="D270"/>
      <c r="E270"/>
      <c r="F270"/>
      <c r="G270"/>
      <c r="H270"/>
      <c r="I270"/>
      <c r="J270" s="27"/>
      <c r="K270"/>
    </row>
    <row r="271" spans="2:11" x14ac:dyDescent="0.25">
      <c r="B271"/>
      <c r="C271"/>
      <c r="D271"/>
      <c r="E271"/>
      <c r="F271"/>
      <c r="G271"/>
      <c r="H271"/>
      <c r="I271"/>
      <c r="J271" s="27"/>
      <c r="K271"/>
    </row>
    <row r="272" spans="2:11" x14ac:dyDescent="0.25">
      <c r="B272"/>
      <c r="C272"/>
      <c r="D272"/>
      <c r="E272"/>
      <c r="F272"/>
      <c r="G272"/>
      <c r="H272"/>
      <c r="I272"/>
      <c r="J272" s="27"/>
      <c r="K272"/>
    </row>
    <row r="273" spans="2:11" x14ac:dyDescent="0.25">
      <c r="B273"/>
      <c r="C273"/>
      <c r="D273"/>
      <c r="E273"/>
      <c r="F273"/>
      <c r="G273"/>
      <c r="H273"/>
      <c r="I273"/>
      <c r="J273" s="27"/>
      <c r="K273"/>
    </row>
    <row r="274" spans="2:11" x14ac:dyDescent="0.25">
      <c r="B274"/>
      <c r="C274"/>
      <c r="D274"/>
      <c r="E274"/>
      <c r="F274"/>
      <c r="G274"/>
      <c r="H274"/>
      <c r="I274"/>
      <c r="J274" s="27"/>
      <c r="K274"/>
    </row>
    <row r="275" spans="2:11" x14ac:dyDescent="0.25">
      <c r="B275"/>
      <c r="C275"/>
      <c r="D275"/>
      <c r="E275"/>
      <c r="F275"/>
      <c r="G275"/>
      <c r="H275"/>
      <c r="I275"/>
      <c r="J275" s="27"/>
      <c r="K275"/>
    </row>
    <row r="276" spans="2:11" x14ac:dyDescent="0.25">
      <c r="B276"/>
      <c r="C276"/>
      <c r="D276"/>
      <c r="E276"/>
      <c r="F276"/>
      <c r="G276"/>
      <c r="H276"/>
      <c r="I276"/>
      <c r="J276" s="27"/>
      <c r="K276"/>
    </row>
    <row r="277" spans="2:11" x14ac:dyDescent="0.25">
      <c r="B277"/>
      <c r="C277"/>
      <c r="D277"/>
      <c r="E277"/>
      <c r="F277"/>
      <c r="G277"/>
      <c r="H277"/>
      <c r="I277"/>
      <c r="J277" s="27"/>
      <c r="K277"/>
    </row>
    <row r="278" spans="2:11" x14ac:dyDescent="0.25">
      <c r="B278"/>
      <c r="C278"/>
      <c r="D278"/>
      <c r="E278"/>
      <c r="F278"/>
      <c r="G278"/>
      <c r="H278"/>
      <c r="I278"/>
      <c r="J278" s="27"/>
      <c r="K278"/>
    </row>
    <row r="279" spans="2:11" x14ac:dyDescent="0.25">
      <c r="B279"/>
      <c r="C279"/>
      <c r="D279"/>
      <c r="E279"/>
      <c r="F279"/>
      <c r="G279"/>
      <c r="H279"/>
      <c r="I279"/>
      <c r="J279" s="27"/>
      <c r="K279"/>
    </row>
    <row r="280" spans="2:11" x14ac:dyDescent="0.25">
      <c r="B280"/>
      <c r="C280"/>
      <c r="D280"/>
      <c r="E280"/>
      <c r="F280"/>
      <c r="G280"/>
      <c r="H280"/>
      <c r="I280"/>
      <c r="J280" s="27"/>
      <c r="K280"/>
    </row>
    <row r="281" spans="2:11" x14ac:dyDescent="0.25">
      <c r="B281"/>
      <c r="C281"/>
      <c r="D281"/>
      <c r="E281"/>
      <c r="F281"/>
      <c r="G281"/>
      <c r="H281"/>
      <c r="I281"/>
      <c r="J281" s="27"/>
      <c r="K281"/>
    </row>
    <row r="282" spans="2:11" x14ac:dyDescent="0.25">
      <c r="B282"/>
      <c r="C282"/>
      <c r="D282"/>
      <c r="E282"/>
      <c r="F282"/>
      <c r="G282"/>
      <c r="H282"/>
      <c r="I282"/>
      <c r="J282" s="27"/>
      <c r="K282"/>
    </row>
    <row r="283" spans="2:11" x14ac:dyDescent="0.25">
      <c r="B283"/>
      <c r="C283"/>
      <c r="D283"/>
      <c r="E283"/>
      <c r="F283"/>
      <c r="G283"/>
      <c r="H283"/>
      <c r="I283"/>
      <c r="J283" s="27"/>
      <c r="K283"/>
    </row>
    <row r="284" spans="2:11" x14ac:dyDescent="0.25">
      <c r="B284"/>
      <c r="C284"/>
      <c r="D284"/>
      <c r="E284"/>
      <c r="F284"/>
      <c r="G284"/>
      <c r="H284"/>
      <c r="I284"/>
      <c r="J284" s="27"/>
      <c r="K284"/>
    </row>
    <row r="285" spans="2:11" x14ac:dyDescent="0.25">
      <c r="B285"/>
      <c r="C285"/>
      <c r="D285"/>
      <c r="E285"/>
      <c r="F285"/>
      <c r="G285"/>
      <c r="H285"/>
      <c r="I285"/>
      <c r="J285" s="27"/>
      <c r="K285"/>
    </row>
    <row r="286" spans="2:11" x14ac:dyDescent="0.25">
      <c r="B286"/>
      <c r="C286"/>
      <c r="D286"/>
      <c r="E286"/>
      <c r="F286"/>
      <c r="G286"/>
      <c r="H286"/>
      <c r="I286"/>
      <c r="J286" s="27"/>
      <c r="K286"/>
    </row>
    <row r="287" spans="2:11" x14ac:dyDescent="0.25">
      <c r="B287"/>
      <c r="C287"/>
      <c r="D287"/>
      <c r="E287"/>
      <c r="F287"/>
      <c r="G287"/>
      <c r="H287"/>
      <c r="I287"/>
      <c r="J287" s="27"/>
      <c r="K287"/>
    </row>
    <row r="288" spans="2:11" x14ac:dyDescent="0.25">
      <c r="B288"/>
      <c r="C288"/>
      <c r="D288"/>
      <c r="E288"/>
      <c r="F288"/>
      <c r="G288"/>
      <c r="H288"/>
      <c r="I288"/>
      <c r="J288" s="27"/>
      <c r="K288"/>
    </row>
    <row r="289" spans="2:11" x14ac:dyDescent="0.25">
      <c r="B289"/>
      <c r="C289"/>
      <c r="D289"/>
      <c r="E289"/>
      <c r="F289"/>
      <c r="G289"/>
      <c r="H289"/>
      <c r="I289"/>
      <c r="J289" s="27"/>
      <c r="K289"/>
    </row>
    <row r="290" spans="2:11" x14ac:dyDescent="0.25">
      <c r="B290"/>
      <c r="C290"/>
      <c r="D290"/>
      <c r="E290"/>
      <c r="F290"/>
      <c r="G290"/>
      <c r="H290"/>
      <c r="I290"/>
      <c r="J290" s="27"/>
      <c r="K290"/>
    </row>
    <row r="291" spans="2:11" x14ac:dyDescent="0.25">
      <c r="B291"/>
      <c r="C291"/>
      <c r="D291"/>
      <c r="E291"/>
      <c r="F291"/>
      <c r="G291"/>
      <c r="H291"/>
      <c r="I291"/>
      <c r="J291" s="27"/>
      <c r="K291"/>
    </row>
    <row r="292" spans="2:11" x14ac:dyDescent="0.25">
      <c r="B292"/>
      <c r="C292"/>
      <c r="D292"/>
      <c r="E292"/>
      <c r="F292"/>
      <c r="G292"/>
      <c r="H292"/>
      <c r="I292"/>
      <c r="J292" s="27"/>
      <c r="K292"/>
    </row>
    <row r="293" spans="2:11" x14ac:dyDescent="0.25">
      <c r="B293"/>
      <c r="C293"/>
      <c r="D293"/>
      <c r="E293"/>
      <c r="F293"/>
      <c r="G293"/>
      <c r="H293"/>
      <c r="I293"/>
      <c r="J293" s="27"/>
      <c r="K293"/>
    </row>
    <row r="294" spans="2:11" x14ac:dyDescent="0.25">
      <c r="B294"/>
      <c r="C294"/>
      <c r="D294"/>
      <c r="E294"/>
      <c r="F294"/>
      <c r="G294"/>
      <c r="H294"/>
      <c r="I294"/>
      <c r="J294" s="27"/>
      <c r="K294"/>
    </row>
    <row r="295" spans="2:11" x14ac:dyDescent="0.25">
      <c r="B295"/>
      <c r="C295"/>
      <c r="D295"/>
      <c r="E295"/>
      <c r="F295"/>
      <c r="G295"/>
      <c r="H295"/>
      <c r="I295"/>
      <c r="J295" s="27"/>
      <c r="K295"/>
    </row>
    <row r="296" spans="2:11" x14ac:dyDescent="0.25">
      <c r="B296"/>
      <c r="C296"/>
      <c r="D296"/>
      <c r="E296"/>
      <c r="F296"/>
      <c r="G296"/>
      <c r="H296"/>
      <c r="I296"/>
      <c r="J296" s="27"/>
      <c r="K296"/>
    </row>
    <row r="297" spans="2:11" x14ac:dyDescent="0.25">
      <c r="B297"/>
      <c r="C297"/>
      <c r="D297"/>
      <c r="E297"/>
      <c r="F297"/>
      <c r="G297"/>
      <c r="H297"/>
      <c r="I297"/>
      <c r="J297" s="27"/>
      <c r="K297"/>
    </row>
    <row r="298" spans="2:11" x14ac:dyDescent="0.25">
      <c r="B298"/>
      <c r="C298"/>
      <c r="D298"/>
      <c r="E298"/>
      <c r="F298"/>
      <c r="G298"/>
      <c r="H298"/>
      <c r="I298"/>
      <c r="J298" s="27"/>
      <c r="K298"/>
    </row>
    <row r="299" spans="2:11" x14ac:dyDescent="0.25">
      <c r="B299"/>
      <c r="C299"/>
      <c r="D299"/>
      <c r="E299"/>
      <c r="F299"/>
      <c r="G299"/>
      <c r="H299"/>
      <c r="I299"/>
      <c r="J299" s="27"/>
      <c r="K299"/>
    </row>
    <row r="300" spans="2:11" x14ac:dyDescent="0.25">
      <c r="B300"/>
      <c r="C300"/>
      <c r="D300"/>
      <c r="E300"/>
      <c r="F300"/>
      <c r="G300"/>
      <c r="H300"/>
      <c r="I300"/>
      <c r="J300" s="27"/>
      <c r="K300"/>
    </row>
    <row r="301" spans="2:11" x14ac:dyDescent="0.25">
      <c r="B301"/>
      <c r="C301"/>
      <c r="D301"/>
      <c r="E301"/>
      <c r="F301"/>
      <c r="G301"/>
      <c r="H301"/>
      <c r="I301"/>
      <c r="J301" s="27"/>
      <c r="K301"/>
    </row>
    <row r="302" spans="2:11" x14ac:dyDescent="0.25">
      <c r="B302"/>
      <c r="C302"/>
      <c r="D302"/>
      <c r="E302"/>
      <c r="F302"/>
      <c r="G302"/>
      <c r="H302"/>
      <c r="I302"/>
      <c r="J302" s="27"/>
      <c r="K302"/>
    </row>
    <row r="303" spans="2:11" x14ac:dyDescent="0.25">
      <c r="B303"/>
      <c r="C303"/>
      <c r="D303"/>
      <c r="E303"/>
      <c r="F303"/>
      <c r="G303"/>
      <c r="H303"/>
      <c r="I303"/>
      <c r="J303" s="27"/>
      <c r="K303"/>
    </row>
    <row r="304" spans="2:11" x14ac:dyDescent="0.25">
      <c r="B304"/>
      <c r="C304"/>
      <c r="D304"/>
      <c r="E304"/>
      <c r="F304"/>
      <c r="G304"/>
      <c r="H304"/>
      <c r="I304"/>
      <c r="J304" s="27"/>
      <c r="K304"/>
    </row>
    <row r="305" spans="2:11" x14ac:dyDescent="0.25">
      <c r="B305"/>
      <c r="C305"/>
      <c r="D305"/>
      <c r="E305"/>
      <c r="F305"/>
      <c r="G305"/>
      <c r="H305"/>
      <c r="I305"/>
      <c r="J305" s="27"/>
      <c r="K305"/>
    </row>
    <row r="306" spans="2:11" x14ac:dyDescent="0.25">
      <c r="B306"/>
      <c r="C306"/>
      <c r="D306"/>
      <c r="E306"/>
      <c r="F306"/>
      <c r="G306"/>
      <c r="H306"/>
      <c r="I306"/>
      <c r="J306" s="27"/>
      <c r="K306"/>
    </row>
    <row r="307" spans="2:11" x14ac:dyDescent="0.25">
      <c r="B307"/>
      <c r="C307"/>
      <c r="D307"/>
      <c r="E307"/>
      <c r="F307"/>
      <c r="G307"/>
      <c r="H307"/>
      <c r="I307"/>
      <c r="J307" s="27"/>
      <c r="K307"/>
    </row>
    <row r="308" spans="2:11" x14ac:dyDescent="0.25">
      <c r="B308"/>
      <c r="C308"/>
      <c r="D308"/>
      <c r="E308"/>
      <c r="F308"/>
      <c r="G308"/>
      <c r="H308"/>
      <c r="I308"/>
      <c r="J308" s="27"/>
      <c r="K308"/>
    </row>
    <row r="309" spans="2:11" x14ac:dyDescent="0.25">
      <c r="B309"/>
      <c r="C309"/>
      <c r="D309"/>
      <c r="E309"/>
      <c r="F309"/>
      <c r="G309"/>
      <c r="H309"/>
      <c r="I309"/>
      <c r="J309" s="27"/>
      <c r="K309"/>
    </row>
    <row r="310" spans="2:11" x14ac:dyDescent="0.25">
      <c r="B310"/>
      <c r="C310"/>
      <c r="D310"/>
      <c r="E310"/>
      <c r="F310"/>
      <c r="G310"/>
      <c r="H310"/>
      <c r="I310"/>
      <c r="J310" s="27"/>
      <c r="K310"/>
    </row>
    <row r="311" spans="2:11" x14ac:dyDescent="0.25">
      <c r="B311"/>
      <c r="C311"/>
      <c r="D311"/>
      <c r="E311"/>
      <c r="F311"/>
      <c r="G311"/>
      <c r="H311"/>
      <c r="I311"/>
      <c r="J311" s="27"/>
      <c r="K311"/>
    </row>
    <row r="312" spans="2:11" x14ac:dyDescent="0.25">
      <c r="B312"/>
      <c r="C312"/>
      <c r="D312"/>
      <c r="E312"/>
      <c r="F312"/>
      <c r="G312"/>
      <c r="H312"/>
      <c r="I312"/>
      <c r="J312" s="27"/>
      <c r="K312"/>
    </row>
    <row r="313" spans="2:11" x14ac:dyDescent="0.25">
      <c r="B313"/>
      <c r="C313"/>
      <c r="D313"/>
      <c r="E313"/>
      <c r="F313"/>
      <c r="G313"/>
      <c r="H313"/>
      <c r="I313"/>
      <c r="J313" s="27"/>
      <c r="K313"/>
    </row>
    <row r="314" spans="2:11" x14ac:dyDescent="0.25">
      <c r="B314"/>
      <c r="C314"/>
      <c r="D314"/>
      <c r="E314"/>
      <c r="F314"/>
      <c r="G314"/>
      <c r="H314"/>
      <c r="I314"/>
      <c r="J314" s="27"/>
      <c r="K314"/>
    </row>
    <row r="315" spans="2:11" x14ac:dyDescent="0.25">
      <c r="B315"/>
      <c r="C315"/>
      <c r="D315"/>
      <c r="E315"/>
      <c r="F315"/>
      <c r="G315"/>
      <c r="H315"/>
      <c r="I315"/>
      <c r="J315" s="27"/>
      <c r="K315"/>
    </row>
    <row r="316" spans="2:11" x14ac:dyDescent="0.25">
      <c r="B316"/>
      <c r="C316"/>
      <c r="D316"/>
      <c r="E316"/>
      <c r="F316"/>
      <c r="G316"/>
      <c r="H316"/>
      <c r="I316"/>
      <c r="J316" s="27"/>
      <c r="K316"/>
    </row>
    <row r="317" spans="2:11" x14ac:dyDescent="0.25">
      <c r="B317"/>
      <c r="C317"/>
      <c r="D317"/>
      <c r="E317"/>
      <c r="F317"/>
      <c r="G317"/>
      <c r="H317"/>
      <c r="I317"/>
      <c r="J317" s="27"/>
      <c r="K317"/>
    </row>
    <row r="318" spans="2:11" x14ac:dyDescent="0.25">
      <c r="B318"/>
      <c r="C318"/>
      <c r="D318"/>
      <c r="E318"/>
      <c r="F318"/>
      <c r="G318"/>
      <c r="H318"/>
      <c r="I318"/>
      <c r="J318" s="27"/>
      <c r="K318"/>
    </row>
    <row r="319" spans="2:11" x14ac:dyDescent="0.25">
      <c r="B319"/>
      <c r="C319"/>
      <c r="D319"/>
      <c r="E319"/>
      <c r="F319"/>
      <c r="G319"/>
      <c r="H319"/>
      <c r="I319"/>
      <c r="J319" s="27"/>
      <c r="K319"/>
    </row>
    <row r="320" spans="2:11" x14ac:dyDescent="0.25">
      <c r="B320"/>
      <c r="C320"/>
      <c r="D320"/>
      <c r="E320"/>
      <c r="F320"/>
      <c r="G320"/>
      <c r="H320"/>
      <c r="I320"/>
      <c r="J320" s="27"/>
      <c r="K320"/>
    </row>
    <row r="321" spans="2:11" x14ac:dyDescent="0.25">
      <c r="B321"/>
      <c r="C321"/>
      <c r="D321"/>
      <c r="E321"/>
      <c r="F321"/>
      <c r="G321"/>
      <c r="H321"/>
      <c r="I321"/>
      <c r="J321" s="27"/>
      <c r="K321"/>
    </row>
    <row r="322" spans="2:11" x14ac:dyDescent="0.25">
      <c r="B322"/>
      <c r="C322"/>
      <c r="D322"/>
      <c r="E322"/>
      <c r="F322"/>
      <c r="G322"/>
      <c r="H322"/>
      <c r="I322"/>
      <c r="J322" s="27"/>
      <c r="K322"/>
    </row>
    <row r="323" spans="2:11" x14ac:dyDescent="0.25">
      <c r="B323"/>
      <c r="C323"/>
      <c r="D323"/>
      <c r="E323"/>
      <c r="F323"/>
      <c r="G323"/>
      <c r="H323"/>
      <c r="I323"/>
      <c r="J323" s="27"/>
      <c r="K323"/>
    </row>
    <row r="324" spans="2:11" x14ac:dyDescent="0.25">
      <c r="B324"/>
      <c r="C324"/>
      <c r="D324"/>
      <c r="E324"/>
      <c r="F324"/>
      <c r="G324"/>
      <c r="H324"/>
      <c r="I324"/>
      <c r="J324" s="27"/>
      <c r="K324"/>
    </row>
    <row r="325" spans="2:11" x14ac:dyDescent="0.25">
      <c r="B325"/>
      <c r="C325"/>
      <c r="D325"/>
      <c r="E325"/>
      <c r="F325"/>
      <c r="G325"/>
      <c r="H325"/>
      <c r="I325"/>
      <c r="J325" s="27"/>
      <c r="K325"/>
    </row>
    <row r="326" spans="2:11" x14ac:dyDescent="0.25">
      <c r="B326"/>
      <c r="C326"/>
      <c r="D326"/>
      <c r="E326"/>
      <c r="F326"/>
      <c r="G326"/>
      <c r="H326"/>
      <c r="I326"/>
      <c r="J326" s="27"/>
      <c r="K326"/>
    </row>
    <row r="327" spans="2:11" x14ac:dyDescent="0.25">
      <c r="B327"/>
      <c r="C327"/>
      <c r="D327"/>
      <c r="E327"/>
      <c r="F327"/>
      <c r="G327"/>
      <c r="H327"/>
      <c r="I327"/>
      <c r="J327" s="27"/>
      <c r="K327"/>
    </row>
    <row r="328" spans="2:11" x14ac:dyDescent="0.25">
      <c r="B328"/>
      <c r="C328"/>
      <c r="D328"/>
      <c r="E328"/>
      <c r="F328"/>
      <c r="G328"/>
      <c r="H328"/>
      <c r="I328"/>
      <c r="J328" s="27"/>
      <c r="K328"/>
    </row>
    <row r="329" spans="2:11" x14ac:dyDescent="0.25">
      <c r="B329"/>
      <c r="C329"/>
      <c r="D329"/>
      <c r="E329"/>
      <c r="F329"/>
      <c r="G329"/>
      <c r="H329"/>
      <c r="I329"/>
      <c r="J329" s="27"/>
      <c r="K329"/>
    </row>
    <row r="330" spans="2:11" x14ac:dyDescent="0.25">
      <c r="B330"/>
      <c r="C330"/>
      <c r="D330"/>
      <c r="E330"/>
      <c r="F330"/>
      <c r="G330"/>
      <c r="H330"/>
      <c r="I330"/>
      <c r="J330" s="27"/>
      <c r="K330"/>
    </row>
    <row r="331" spans="2:11" x14ac:dyDescent="0.25">
      <c r="B331"/>
      <c r="C331"/>
      <c r="D331"/>
      <c r="E331"/>
      <c r="F331"/>
      <c r="G331"/>
      <c r="H331"/>
      <c r="I331"/>
      <c r="J331" s="27"/>
      <c r="K331"/>
    </row>
    <row r="332" spans="2:11" x14ac:dyDescent="0.25">
      <c r="B332"/>
      <c r="C332"/>
      <c r="D332"/>
      <c r="E332"/>
      <c r="F332"/>
      <c r="G332"/>
      <c r="H332"/>
      <c r="I332"/>
      <c r="J332" s="27"/>
      <c r="K332"/>
    </row>
    <row r="333" spans="2:11" x14ac:dyDescent="0.25">
      <c r="B333"/>
      <c r="C333"/>
      <c r="D333"/>
      <c r="E333"/>
      <c r="F333"/>
      <c r="G333"/>
      <c r="H333"/>
      <c r="I333"/>
      <c r="J333" s="27"/>
      <c r="K333"/>
    </row>
    <row r="334" spans="2:11" x14ac:dyDescent="0.25">
      <c r="B334"/>
      <c r="C334"/>
      <c r="D334"/>
      <c r="E334"/>
      <c r="F334"/>
      <c r="G334"/>
      <c r="H334"/>
      <c r="I334"/>
      <c r="J334" s="27"/>
      <c r="K334"/>
    </row>
    <row r="335" spans="2:11" x14ac:dyDescent="0.25">
      <c r="B335"/>
      <c r="C335"/>
      <c r="D335"/>
      <c r="E335"/>
      <c r="F335"/>
      <c r="G335"/>
      <c r="H335"/>
      <c r="I335"/>
      <c r="J335" s="27"/>
      <c r="K335"/>
    </row>
    <row r="336" spans="2:11" x14ac:dyDescent="0.25">
      <c r="B336"/>
      <c r="C336"/>
      <c r="D336"/>
      <c r="E336"/>
      <c r="F336"/>
      <c r="G336"/>
      <c r="H336"/>
      <c r="I336"/>
      <c r="J336" s="27"/>
      <c r="K336"/>
    </row>
    <row r="337" spans="2:11" x14ac:dyDescent="0.25">
      <c r="B337"/>
      <c r="C337"/>
      <c r="D337"/>
      <c r="E337"/>
      <c r="F337"/>
      <c r="G337"/>
      <c r="H337"/>
      <c r="I337"/>
      <c r="J337" s="27"/>
      <c r="K337"/>
    </row>
    <row r="338" spans="2:11" x14ac:dyDescent="0.25">
      <c r="B338"/>
      <c r="C338"/>
      <c r="D338"/>
      <c r="E338"/>
      <c r="F338"/>
      <c r="G338"/>
      <c r="H338"/>
      <c r="I338"/>
      <c r="J338" s="27"/>
      <c r="K338"/>
    </row>
    <row r="339" spans="2:11" x14ac:dyDescent="0.25">
      <c r="B339"/>
      <c r="C339"/>
      <c r="D339"/>
      <c r="E339"/>
      <c r="F339"/>
      <c r="G339"/>
      <c r="H339"/>
      <c r="I339"/>
      <c r="J339" s="27"/>
      <c r="K339"/>
    </row>
    <row r="340" spans="2:11" x14ac:dyDescent="0.25">
      <c r="B340"/>
      <c r="C340"/>
      <c r="D340"/>
      <c r="E340"/>
      <c r="F340"/>
      <c r="G340"/>
      <c r="H340"/>
      <c r="I340"/>
      <c r="J340" s="27"/>
      <c r="K340"/>
    </row>
    <row r="341" spans="2:11" x14ac:dyDescent="0.25">
      <c r="B341"/>
      <c r="C341"/>
      <c r="D341"/>
      <c r="E341"/>
      <c r="F341"/>
      <c r="G341"/>
      <c r="H341"/>
      <c r="I341"/>
      <c r="J341" s="27"/>
      <c r="K341"/>
    </row>
    <row r="342" spans="2:11" x14ac:dyDescent="0.25">
      <c r="B342"/>
      <c r="C342"/>
      <c r="D342"/>
      <c r="E342"/>
      <c r="F342"/>
      <c r="G342"/>
      <c r="H342"/>
      <c r="I342"/>
      <c r="J342" s="27"/>
      <c r="K342"/>
    </row>
    <row r="343" spans="2:11" x14ac:dyDescent="0.25">
      <c r="B343"/>
      <c r="C343"/>
      <c r="D343"/>
      <c r="E343"/>
      <c r="F343"/>
      <c r="G343"/>
      <c r="H343"/>
      <c r="I343"/>
      <c r="J343" s="27"/>
      <c r="K343"/>
    </row>
    <row r="344" spans="2:11" x14ac:dyDescent="0.25">
      <c r="B344"/>
      <c r="C344"/>
      <c r="D344"/>
      <c r="E344"/>
      <c r="F344"/>
      <c r="G344"/>
      <c r="H344"/>
      <c r="I344"/>
      <c r="J344" s="27"/>
      <c r="K344"/>
    </row>
    <row r="345" spans="2:11" x14ac:dyDescent="0.25">
      <c r="B345"/>
      <c r="C345"/>
      <c r="D345"/>
      <c r="E345"/>
      <c r="F345"/>
      <c r="G345"/>
      <c r="H345"/>
      <c r="I345"/>
      <c r="J345" s="27"/>
      <c r="K345"/>
    </row>
    <row r="346" spans="2:11" x14ac:dyDescent="0.25">
      <c r="B346"/>
      <c r="C346"/>
      <c r="D346"/>
      <c r="E346"/>
      <c r="F346"/>
      <c r="G346"/>
      <c r="H346"/>
      <c r="I346"/>
      <c r="J346" s="27"/>
      <c r="K346"/>
    </row>
    <row r="347" spans="2:11" x14ac:dyDescent="0.25">
      <c r="B347"/>
      <c r="C347"/>
      <c r="D347"/>
      <c r="E347"/>
      <c r="F347"/>
      <c r="G347"/>
      <c r="H347"/>
      <c r="I347"/>
      <c r="J347" s="27"/>
      <c r="K347"/>
    </row>
    <row r="348" spans="2:11" x14ac:dyDescent="0.25">
      <c r="B348"/>
      <c r="C348"/>
      <c r="D348"/>
      <c r="E348"/>
      <c r="F348"/>
      <c r="G348"/>
      <c r="H348"/>
      <c r="I348"/>
      <c r="J348" s="27"/>
      <c r="K348"/>
    </row>
    <row r="349" spans="2:11" x14ac:dyDescent="0.25">
      <c r="B349"/>
      <c r="C349"/>
      <c r="D349"/>
      <c r="E349"/>
      <c r="F349"/>
      <c r="G349"/>
      <c r="H349"/>
      <c r="I349"/>
      <c r="J349" s="27"/>
      <c r="K349"/>
    </row>
    <row r="350" spans="2:11" x14ac:dyDescent="0.25">
      <c r="B350"/>
      <c r="C350"/>
      <c r="D350"/>
      <c r="E350"/>
      <c r="F350"/>
      <c r="G350"/>
      <c r="H350"/>
      <c r="I350"/>
      <c r="J350" s="27"/>
      <c r="K350"/>
    </row>
    <row r="351" spans="2:11" x14ac:dyDescent="0.25">
      <c r="B351"/>
      <c r="C351"/>
      <c r="D351"/>
      <c r="E351"/>
      <c r="F351"/>
      <c r="G351"/>
      <c r="H351"/>
      <c r="I351"/>
      <c r="J351" s="27"/>
      <c r="K351"/>
    </row>
    <row r="352" spans="2:11" x14ac:dyDescent="0.25">
      <c r="B352"/>
      <c r="C352"/>
      <c r="D352"/>
      <c r="E352"/>
      <c r="F352"/>
      <c r="G352"/>
      <c r="H352"/>
      <c r="I352"/>
      <c r="J352" s="27"/>
      <c r="K352"/>
    </row>
    <row r="353" spans="2:11" x14ac:dyDescent="0.25">
      <c r="B353"/>
      <c r="C353"/>
      <c r="D353"/>
      <c r="E353"/>
      <c r="F353"/>
      <c r="G353"/>
      <c r="H353"/>
      <c r="I353"/>
      <c r="J353" s="27"/>
      <c r="K353"/>
    </row>
    <row r="354" spans="2:11" x14ac:dyDescent="0.25">
      <c r="B354"/>
      <c r="C354"/>
      <c r="D354"/>
      <c r="E354"/>
      <c r="F354"/>
      <c r="G354"/>
      <c r="H354"/>
      <c r="I354"/>
      <c r="J354" s="27"/>
      <c r="K354"/>
    </row>
    <row r="355" spans="2:11" x14ac:dyDescent="0.25">
      <c r="B355"/>
      <c r="C355"/>
      <c r="D355"/>
      <c r="E355"/>
      <c r="F355"/>
      <c r="G355"/>
      <c r="H355"/>
      <c r="I355"/>
      <c r="J355" s="27"/>
      <c r="K355"/>
    </row>
    <row r="356" spans="2:11" x14ac:dyDescent="0.25">
      <c r="B356"/>
      <c r="C356"/>
      <c r="D356"/>
      <c r="E356"/>
      <c r="F356"/>
      <c r="G356"/>
      <c r="H356"/>
      <c r="I356"/>
      <c r="J356" s="27"/>
      <c r="K356"/>
    </row>
    <row r="357" spans="2:11" x14ac:dyDescent="0.25">
      <c r="B357"/>
      <c r="C357"/>
      <c r="D357"/>
      <c r="E357"/>
      <c r="F357"/>
      <c r="G357"/>
      <c r="H357"/>
      <c r="I357"/>
      <c r="J357" s="27"/>
      <c r="K357"/>
    </row>
    <row r="358" spans="2:11" x14ac:dyDescent="0.25">
      <c r="B358"/>
      <c r="C358"/>
      <c r="D358"/>
      <c r="E358"/>
      <c r="F358"/>
      <c r="G358"/>
      <c r="H358"/>
      <c r="I358"/>
      <c r="J358" s="27"/>
      <c r="K358"/>
    </row>
    <row r="359" spans="2:11" x14ac:dyDescent="0.25">
      <c r="B359"/>
      <c r="C359"/>
      <c r="D359"/>
      <c r="E359"/>
      <c r="F359"/>
      <c r="G359"/>
      <c r="H359"/>
      <c r="I359"/>
      <c r="J359" s="27"/>
      <c r="K359"/>
    </row>
    <row r="360" spans="2:11" x14ac:dyDescent="0.25">
      <c r="B360"/>
      <c r="C360"/>
      <c r="D360"/>
      <c r="E360"/>
      <c r="F360"/>
      <c r="G360"/>
      <c r="H360"/>
      <c r="I360"/>
      <c r="J360" s="27"/>
      <c r="K360"/>
    </row>
    <row r="361" spans="2:11" x14ac:dyDescent="0.25">
      <c r="B361"/>
      <c r="C361"/>
      <c r="D361"/>
      <c r="E361"/>
      <c r="F361"/>
      <c r="G361"/>
      <c r="H361"/>
      <c r="I361"/>
      <c r="J361" s="27"/>
      <c r="K361"/>
    </row>
    <row r="362" spans="2:11" x14ac:dyDescent="0.25">
      <c r="B362"/>
      <c r="C362"/>
      <c r="D362"/>
      <c r="E362"/>
      <c r="F362"/>
      <c r="G362"/>
      <c r="H362"/>
      <c r="I362"/>
      <c r="J362" s="27"/>
      <c r="K362"/>
    </row>
    <row r="363" spans="2:11" x14ac:dyDescent="0.25">
      <c r="B363"/>
      <c r="C363"/>
      <c r="D363"/>
      <c r="E363"/>
      <c r="F363"/>
      <c r="G363"/>
      <c r="H363"/>
      <c r="I363"/>
      <c r="J363" s="27"/>
      <c r="K363"/>
    </row>
    <row r="364" spans="2:11" x14ac:dyDescent="0.25">
      <c r="B364"/>
      <c r="C364"/>
      <c r="D364"/>
      <c r="E364"/>
      <c r="F364"/>
      <c r="G364"/>
      <c r="H364"/>
      <c r="I364"/>
      <c r="J364" s="27"/>
      <c r="K364"/>
    </row>
    <row r="365" spans="2:11" x14ac:dyDescent="0.25">
      <c r="B365"/>
      <c r="C365"/>
      <c r="D365"/>
      <c r="E365"/>
      <c r="F365"/>
      <c r="G365"/>
      <c r="H365"/>
      <c r="I365"/>
      <c r="J365" s="27"/>
      <c r="K365"/>
    </row>
    <row r="366" spans="2:11" x14ac:dyDescent="0.25">
      <c r="B366"/>
      <c r="C366"/>
      <c r="D366"/>
      <c r="E366"/>
      <c r="F366"/>
      <c r="G366"/>
      <c r="H366"/>
      <c r="I366"/>
      <c r="J366" s="27"/>
      <c r="K366"/>
    </row>
    <row r="367" spans="2:11" x14ac:dyDescent="0.25">
      <c r="B367"/>
      <c r="C367"/>
      <c r="D367"/>
      <c r="E367"/>
      <c r="F367"/>
      <c r="G367"/>
      <c r="H367"/>
      <c r="I367"/>
      <c r="J367" s="27"/>
      <c r="K367"/>
    </row>
    <row r="368" spans="2:11" x14ac:dyDescent="0.25">
      <c r="B368"/>
      <c r="C368"/>
      <c r="D368"/>
      <c r="E368"/>
      <c r="F368"/>
      <c r="G368"/>
      <c r="H368"/>
      <c r="I368"/>
      <c r="J368" s="27"/>
      <c r="K368"/>
    </row>
    <row r="369" spans="2:11" x14ac:dyDescent="0.25">
      <c r="B369"/>
      <c r="C369"/>
      <c r="D369"/>
      <c r="E369"/>
      <c r="F369"/>
      <c r="G369"/>
      <c r="H369"/>
      <c r="I369"/>
      <c r="J369" s="27"/>
      <c r="K369"/>
    </row>
    <row r="370" spans="2:11" x14ac:dyDescent="0.25">
      <c r="B370"/>
      <c r="C370"/>
      <c r="D370"/>
      <c r="E370"/>
      <c r="F370"/>
      <c r="G370"/>
      <c r="H370"/>
      <c r="I370"/>
      <c r="J370" s="27"/>
      <c r="K370"/>
    </row>
    <row r="371" spans="2:11" x14ac:dyDescent="0.25">
      <c r="B371"/>
      <c r="C371"/>
      <c r="D371"/>
      <c r="E371"/>
      <c r="F371"/>
      <c r="G371"/>
      <c r="H371"/>
      <c r="I371"/>
      <c r="J371" s="27"/>
      <c r="K371"/>
    </row>
    <row r="372" spans="2:11" x14ac:dyDescent="0.25">
      <c r="B372"/>
      <c r="C372"/>
      <c r="D372"/>
      <c r="E372"/>
      <c r="F372"/>
      <c r="G372"/>
      <c r="H372"/>
      <c r="I372"/>
      <c r="J372" s="27"/>
      <c r="K372"/>
    </row>
    <row r="373" spans="2:11" x14ac:dyDescent="0.25">
      <c r="B373"/>
      <c r="C373"/>
      <c r="D373"/>
      <c r="E373"/>
      <c r="F373"/>
      <c r="G373"/>
      <c r="H373"/>
      <c r="I373"/>
      <c r="J373" s="27"/>
      <c r="K373"/>
    </row>
    <row r="374" spans="2:11" x14ac:dyDescent="0.25">
      <c r="B374"/>
      <c r="C374"/>
      <c r="D374"/>
      <c r="E374"/>
      <c r="F374"/>
      <c r="G374"/>
      <c r="H374"/>
      <c r="I374"/>
      <c r="J374" s="27"/>
      <c r="K374"/>
    </row>
    <row r="375" spans="2:11" x14ac:dyDescent="0.25">
      <c r="B375"/>
      <c r="C375"/>
      <c r="D375"/>
      <c r="E375"/>
      <c r="F375"/>
      <c r="G375"/>
      <c r="H375"/>
      <c r="I375"/>
      <c r="J375" s="27"/>
      <c r="K375"/>
    </row>
    <row r="376" spans="2:11" x14ac:dyDescent="0.25">
      <c r="B376"/>
      <c r="C376"/>
      <c r="D376"/>
      <c r="E376"/>
      <c r="F376"/>
      <c r="G376"/>
      <c r="H376"/>
      <c r="I376"/>
      <c r="J376" s="27"/>
      <c r="K376"/>
    </row>
    <row r="377" spans="2:11" x14ac:dyDescent="0.25">
      <c r="B377"/>
      <c r="C377"/>
      <c r="D377"/>
      <c r="E377"/>
      <c r="F377"/>
      <c r="G377"/>
      <c r="H377"/>
      <c r="I377"/>
      <c r="J377" s="27"/>
      <c r="K377"/>
    </row>
    <row r="378" spans="2:11" x14ac:dyDescent="0.25">
      <c r="B378"/>
      <c r="C378"/>
      <c r="D378"/>
      <c r="E378"/>
      <c r="F378"/>
      <c r="G378"/>
      <c r="H378"/>
      <c r="I378"/>
      <c r="J378" s="27"/>
      <c r="K378"/>
    </row>
    <row r="379" spans="2:11" x14ac:dyDescent="0.25">
      <c r="B379"/>
      <c r="C379"/>
      <c r="D379"/>
      <c r="E379"/>
      <c r="F379"/>
      <c r="G379"/>
      <c r="H379"/>
      <c r="I379"/>
      <c r="J379" s="27"/>
      <c r="K379"/>
    </row>
    <row r="380" spans="2:11" x14ac:dyDescent="0.25">
      <c r="B380"/>
      <c r="C380"/>
      <c r="D380"/>
      <c r="E380"/>
      <c r="F380"/>
      <c r="G380"/>
      <c r="H380"/>
      <c r="I380"/>
      <c r="J380" s="27"/>
      <c r="K380"/>
    </row>
    <row r="381" spans="2:11" x14ac:dyDescent="0.25">
      <c r="B381"/>
      <c r="C381"/>
      <c r="D381"/>
      <c r="E381"/>
      <c r="F381"/>
      <c r="G381"/>
      <c r="H381"/>
      <c r="I381"/>
      <c r="J381" s="27"/>
      <c r="K381"/>
    </row>
    <row r="382" spans="2:11" x14ac:dyDescent="0.25">
      <c r="B382"/>
      <c r="C382"/>
      <c r="D382"/>
      <c r="E382"/>
      <c r="F382"/>
      <c r="G382"/>
      <c r="H382"/>
      <c r="I382"/>
      <c r="J382" s="27"/>
      <c r="K382"/>
    </row>
    <row r="383" spans="2:11" x14ac:dyDescent="0.25">
      <c r="B383"/>
      <c r="C383"/>
      <c r="D383"/>
      <c r="E383"/>
      <c r="F383"/>
      <c r="G383"/>
      <c r="H383"/>
      <c r="I383"/>
      <c r="J383" s="27"/>
      <c r="K383"/>
    </row>
    <row r="384" spans="2:11" x14ac:dyDescent="0.25">
      <c r="B384"/>
      <c r="C384"/>
      <c r="D384"/>
      <c r="E384"/>
      <c r="F384"/>
      <c r="G384"/>
      <c r="H384"/>
      <c r="I384"/>
      <c r="J384" s="27"/>
      <c r="K384"/>
    </row>
    <row r="385" spans="2:11" x14ac:dyDescent="0.25">
      <c r="B385"/>
      <c r="C385"/>
      <c r="D385"/>
      <c r="E385"/>
      <c r="F385"/>
      <c r="G385"/>
      <c r="H385"/>
      <c r="I385"/>
      <c r="J385" s="27"/>
      <c r="K385"/>
    </row>
    <row r="386" spans="2:11" x14ac:dyDescent="0.25">
      <c r="B386"/>
      <c r="C386"/>
      <c r="D386"/>
      <c r="E386"/>
      <c r="F386"/>
      <c r="G386"/>
      <c r="H386"/>
      <c r="I386"/>
      <c r="J386" s="27"/>
      <c r="K386"/>
    </row>
    <row r="387" spans="2:11" x14ac:dyDescent="0.25">
      <c r="B387"/>
      <c r="C387"/>
      <c r="D387"/>
      <c r="E387"/>
      <c r="F387"/>
      <c r="G387"/>
      <c r="H387"/>
      <c r="I387"/>
      <c r="J387" s="27"/>
      <c r="K387"/>
    </row>
    <row r="388" spans="2:11" x14ac:dyDescent="0.25">
      <c r="B388"/>
      <c r="C388"/>
      <c r="D388"/>
      <c r="E388"/>
      <c r="F388"/>
      <c r="G388"/>
      <c r="H388"/>
      <c r="I388"/>
      <c r="J388" s="27"/>
      <c r="K388"/>
    </row>
    <row r="389" spans="2:11" x14ac:dyDescent="0.25">
      <c r="B389"/>
      <c r="C389"/>
      <c r="D389"/>
      <c r="E389"/>
      <c r="F389"/>
      <c r="G389"/>
      <c r="H389"/>
      <c r="I389"/>
      <c r="J389" s="27"/>
      <c r="K389"/>
    </row>
    <row r="390" spans="2:11" x14ac:dyDescent="0.25">
      <c r="B390"/>
      <c r="C390"/>
      <c r="D390"/>
      <c r="E390"/>
      <c r="F390"/>
      <c r="G390"/>
      <c r="H390"/>
      <c r="I390"/>
      <c r="J390" s="27"/>
      <c r="K390"/>
    </row>
    <row r="391" spans="2:11" x14ac:dyDescent="0.25">
      <c r="B391"/>
      <c r="C391"/>
      <c r="D391"/>
      <c r="E391"/>
      <c r="F391"/>
      <c r="G391"/>
      <c r="H391"/>
      <c r="I391"/>
      <c r="J391" s="27"/>
      <c r="K391"/>
    </row>
    <row r="392" spans="2:11" x14ac:dyDescent="0.25">
      <c r="B392"/>
      <c r="C392"/>
      <c r="D392"/>
      <c r="E392"/>
      <c r="F392"/>
      <c r="G392"/>
      <c r="H392"/>
      <c r="I392"/>
      <c r="J392" s="27"/>
      <c r="K392"/>
    </row>
    <row r="393" spans="2:11" x14ac:dyDescent="0.25">
      <c r="B393"/>
      <c r="C393"/>
      <c r="D393"/>
      <c r="E393"/>
      <c r="F393"/>
      <c r="G393"/>
      <c r="H393"/>
      <c r="I393"/>
      <c r="J393" s="27"/>
      <c r="K393"/>
    </row>
    <row r="394" spans="2:11" x14ac:dyDescent="0.25">
      <c r="B394"/>
      <c r="C394"/>
      <c r="D394"/>
      <c r="E394"/>
      <c r="F394"/>
      <c r="G394"/>
      <c r="H394"/>
      <c r="I394"/>
      <c r="J394" s="27"/>
      <c r="K394"/>
    </row>
    <row r="395" spans="2:11" x14ac:dyDescent="0.25">
      <c r="B395"/>
      <c r="C395"/>
      <c r="D395"/>
      <c r="E395"/>
      <c r="F395"/>
      <c r="G395"/>
      <c r="H395"/>
      <c r="I395"/>
      <c r="J395" s="27"/>
      <c r="K395"/>
    </row>
    <row r="396" spans="2:11" x14ac:dyDescent="0.25">
      <c r="B396"/>
      <c r="C396"/>
      <c r="D396"/>
      <c r="E396"/>
      <c r="F396"/>
      <c r="G396"/>
      <c r="H396"/>
      <c r="I396"/>
      <c r="J396" s="27"/>
      <c r="K396"/>
    </row>
    <row r="397" spans="2:11" x14ac:dyDescent="0.25">
      <c r="B397"/>
      <c r="C397"/>
      <c r="D397"/>
      <c r="E397"/>
      <c r="F397"/>
      <c r="G397"/>
      <c r="H397"/>
      <c r="I397"/>
      <c r="J397" s="27"/>
      <c r="K397"/>
    </row>
    <row r="398" spans="2:11" x14ac:dyDescent="0.25">
      <c r="B398"/>
      <c r="C398"/>
      <c r="D398"/>
      <c r="E398"/>
      <c r="F398"/>
      <c r="G398"/>
      <c r="H398"/>
      <c r="I398"/>
      <c r="J398" s="27"/>
      <c r="K398"/>
    </row>
    <row r="399" spans="2:11" x14ac:dyDescent="0.25">
      <c r="B399"/>
      <c r="C399"/>
      <c r="D399"/>
      <c r="E399"/>
      <c r="F399"/>
      <c r="G399"/>
      <c r="H399"/>
      <c r="I399"/>
      <c r="J399" s="27"/>
      <c r="K399"/>
    </row>
    <row r="400" spans="2:11" x14ac:dyDescent="0.25">
      <c r="B400"/>
      <c r="C400"/>
      <c r="D400"/>
      <c r="E400"/>
      <c r="F400"/>
      <c r="G400"/>
      <c r="H400"/>
      <c r="I400"/>
      <c r="J400" s="27"/>
      <c r="K400"/>
    </row>
    <row r="401" spans="2:11" x14ac:dyDescent="0.25">
      <c r="B401"/>
      <c r="C401"/>
      <c r="D401"/>
      <c r="E401"/>
      <c r="F401"/>
      <c r="G401"/>
      <c r="H401"/>
      <c r="I401"/>
      <c r="J401" s="27"/>
      <c r="K401"/>
    </row>
    <row r="402" spans="2:11" x14ac:dyDescent="0.25">
      <c r="B402"/>
      <c r="C402"/>
      <c r="D402"/>
      <c r="E402"/>
      <c r="F402"/>
      <c r="G402"/>
      <c r="H402"/>
      <c r="I402"/>
      <c r="J402" s="27"/>
      <c r="K402"/>
    </row>
    <row r="403" spans="2:11" x14ac:dyDescent="0.25">
      <c r="B403"/>
      <c r="C403"/>
      <c r="D403"/>
      <c r="E403"/>
      <c r="F403"/>
      <c r="G403"/>
      <c r="H403"/>
      <c r="I403"/>
      <c r="J403" s="27"/>
      <c r="K403"/>
    </row>
    <row r="404" spans="2:11" x14ac:dyDescent="0.25">
      <c r="B404"/>
      <c r="C404"/>
      <c r="D404"/>
      <c r="E404"/>
      <c r="F404"/>
      <c r="G404"/>
      <c r="H404"/>
      <c r="I404"/>
      <c r="J404" s="27"/>
      <c r="K404"/>
    </row>
    <row r="405" spans="2:11" x14ac:dyDescent="0.25">
      <c r="B405"/>
      <c r="C405"/>
      <c r="D405"/>
      <c r="E405"/>
      <c r="F405"/>
      <c r="G405"/>
      <c r="H405"/>
      <c r="I405"/>
      <c r="J405" s="27"/>
      <c r="K405"/>
    </row>
    <row r="406" spans="2:11" x14ac:dyDescent="0.25">
      <c r="B406"/>
      <c r="C406"/>
      <c r="D406"/>
      <c r="E406"/>
      <c r="F406"/>
      <c r="G406"/>
      <c r="H406"/>
      <c r="I406"/>
      <c r="J406" s="27"/>
      <c r="K406"/>
    </row>
    <row r="407" spans="2:11" x14ac:dyDescent="0.25">
      <c r="B407"/>
      <c r="C407"/>
      <c r="D407"/>
      <c r="E407"/>
      <c r="F407"/>
      <c r="G407"/>
      <c r="H407"/>
      <c r="I407"/>
      <c r="J407" s="27"/>
      <c r="K407"/>
    </row>
    <row r="408" spans="2:11" x14ac:dyDescent="0.25">
      <c r="B408"/>
      <c r="C408"/>
      <c r="D408"/>
      <c r="E408"/>
      <c r="F408"/>
      <c r="G408"/>
      <c r="H408"/>
      <c r="I408"/>
      <c r="J408" s="27"/>
      <c r="K408"/>
    </row>
    <row r="409" spans="2:11" x14ac:dyDescent="0.25">
      <c r="B409"/>
      <c r="C409"/>
      <c r="D409"/>
      <c r="E409"/>
      <c r="F409"/>
      <c r="G409"/>
      <c r="H409"/>
      <c r="I409"/>
      <c r="J409" s="27"/>
      <c r="K409"/>
    </row>
    <row r="410" spans="2:11" x14ac:dyDescent="0.25">
      <c r="B410"/>
      <c r="C410"/>
      <c r="D410"/>
      <c r="E410"/>
      <c r="F410"/>
      <c r="G410"/>
      <c r="H410"/>
      <c r="I410"/>
      <c r="J410" s="27"/>
      <c r="K410"/>
    </row>
    <row r="411" spans="2:11" x14ac:dyDescent="0.25">
      <c r="B411"/>
      <c r="C411"/>
      <c r="D411"/>
      <c r="E411"/>
      <c r="F411"/>
      <c r="G411"/>
      <c r="H411"/>
      <c r="I411"/>
      <c r="J411" s="27"/>
      <c r="K411"/>
    </row>
    <row r="412" spans="2:11" x14ac:dyDescent="0.25">
      <c r="B412"/>
      <c r="C412"/>
      <c r="D412"/>
      <c r="E412"/>
      <c r="F412"/>
      <c r="G412"/>
      <c r="H412"/>
      <c r="I412"/>
      <c r="J412" s="27"/>
      <c r="K412"/>
    </row>
    <row r="413" spans="2:11" x14ac:dyDescent="0.25">
      <c r="B413"/>
      <c r="C413"/>
      <c r="D413"/>
      <c r="E413"/>
      <c r="F413"/>
      <c r="G413"/>
      <c r="H413"/>
      <c r="I413"/>
      <c r="J413" s="27"/>
      <c r="K413"/>
    </row>
    <row r="414" spans="2:11" x14ac:dyDescent="0.25">
      <c r="B414"/>
      <c r="C414"/>
      <c r="D414"/>
      <c r="E414"/>
      <c r="F414"/>
      <c r="G414"/>
      <c r="H414"/>
      <c r="I414"/>
      <c r="J414" s="27"/>
      <c r="K414"/>
    </row>
    <row r="415" spans="2:11" x14ac:dyDescent="0.25">
      <c r="B415"/>
      <c r="C415"/>
      <c r="D415"/>
      <c r="E415"/>
      <c r="F415"/>
      <c r="G415"/>
      <c r="H415"/>
      <c r="I415"/>
      <c r="J415" s="27"/>
      <c r="K415"/>
    </row>
    <row r="416" spans="2:11" x14ac:dyDescent="0.25">
      <c r="B416"/>
      <c r="C416"/>
      <c r="D416"/>
      <c r="E416"/>
      <c r="F416"/>
      <c r="G416"/>
      <c r="H416"/>
      <c r="I416"/>
      <c r="J416" s="27"/>
      <c r="K416"/>
    </row>
    <row r="417" spans="2:11" x14ac:dyDescent="0.25">
      <c r="B417"/>
      <c r="C417"/>
      <c r="D417"/>
      <c r="E417"/>
      <c r="F417"/>
      <c r="G417"/>
      <c r="H417"/>
      <c r="I417"/>
      <c r="J417" s="27"/>
      <c r="K417"/>
    </row>
    <row r="418" spans="2:11" x14ac:dyDescent="0.25">
      <c r="B418"/>
      <c r="C418"/>
      <c r="D418"/>
      <c r="E418"/>
      <c r="F418"/>
      <c r="G418"/>
      <c r="H418"/>
      <c r="I418"/>
      <c r="J418" s="27"/>
      <c r="K418"/>
    </row>
    <row r="419" spans="2:11" x14ac:dyDescent="0.25">
      <c r="B419"/>
      <c r="C419"/>
      <c r="D419"/>
      <c r="E419"/>
      <c r="F419"/>
      <c r="G419"/>
      <c r="H419"/>
      <c r="I419"/>
      <c r="J419" s="27"/>
      <c r="K419"/>
    </row>
    <row r="420" spans="2:11" x14ac:dyDescent="0.25">
      <c r="B420"/>
      <c r="C420"/>
      <c r="D420"/>
      <c r="E420"/>
      <c r="F420"/>
      <c r="G420"/>
      <c r="H420"/>
      <c r="I420"/>
      <c r="J420" s="27"/>
      <c r="K420"/>
    </row>
    <row r="421" spans="2:11" x14ac:dyDescent="0.25">
      <c r="B421"/>
      <c r="C421"/>
      <c r="D421"/>
      <c r="E421"/>
      <c r="F421"/>
      <c r="G421"/>
      <c r="H421"/>
      <c r="I421"/>
      <c r="J421" s="27"/>
      <c r="K421"/>
    </row>
    <row r="422" spans="2:11" x14ac:dyDescent="0.25">
      <c r="B422"/>
      <c r="C422"/>
      <c r="D422"/>
      <c r="E422"/>
      <c r="F422"/>
      <c r="G422"/>
      <c r="H422"/>
      <c r="I422"/>
      <c r="J422" s="27"/>
      <c r="K422"/>
    </row>
    <row r="423" spans="2:11" x14ac:dyDescent="0.25">
      <c r="B423"/>
      <c r="C423"/>
      <c r="D423"/>
      <c r="E423"/>
      <c r="F423"/>
      <c r="G423"/>
      <c r="H423"/>
      <c r="I423"/>
      <c r="J423" s="27"/>
      <c r="K423"/>
    </row>
    <row r="424" spans="2:11" x14ac:dyDescent="0.25">
      <c r="B424"/>
      <c r="C424"/>
      <c r="D424"/>
      <c r="E424"/>
      <c r="F424"/>
      <c r="G424"/>
      <c r="H424"/>
      <c r="I424"/>
      <c r="J424" s="27"/>
      <c r="K424"/>
    </row>
    <row r="425" spans="2:11" x14ac:dyDescent="0.25">
      <c r="B425"/>
      <c r="C425"/>
      <c r="D425"/>
      <c r="E425"/>
      <c r="F425"/>
      <c r="G425"/>
      <c r="H425"/>
      <c r="I425"/>
      <c r="J425" s="27"/>
      <c r="K425"/>
    </row>
    <row r="426" spans="2:11" x14ac:dyDescent="0.25">
      <c r="B426"/>
      <c r="C426"/>
      <c r="D426"/>
      <c r="E426"/>
      <c r="F426"/>
      <c r="G426"/>
      <c r="H426"/>
      <c r="I426"/>
      <c r="J426" s="27"/>
      <c r="K426"/>
    </row>
    <row r="427" spans="2:11" x14ac:dyDescent="0.25">
      <c r="B427"/>
      <c r="C427"/>
      <c r="D427"/>
      <c r="E427"/>
      <c r="F427"/>
      <c r="G427"/>
      <c r="H427"/>
      <c r="I427"/>
      <c r="J427" s="27"/>
      <c r="K427"/>
    </row>
    <row r="428" spans="2:11" x14ac:dyDescent="0.25">
      <c r="B428"/>
      <c r="C428"/>
      <c r="D428"/>
      <c r="E428"/>
      <c r="F428"/>
      <c r="G428"/>
      <c r="H428"/>
      <c r="I428"/>
      <c r="J428" s="27"/>
      <c r="K428"/>
    </row>
    <row r="429" spans="2:11" x14ac:dyDescent="0.25">
      <c r="B429"/>
      <c r="C429"/>
      <c r="D429"/>
      <c r="E429"/>
      <c r="F429"/>
      <c r="G429"/>
      <c r="H429"/>
      <c r="I429"/>
      <c r="J429" s="27"/>
      <c r="K429"/>
    </row>
    <row r="430" spans="2:11" x14ac:dyDescent="0.25">
      <c r="B430"/>
      <c r="C430"/>
      <c r="D430"/>
      <c r="E430"/>
      <c r="F430"/>
      <c r="G430"/>
      <c r="H430"/>
      <c r="I430"/>
      <c r="J430" s="27"/>
      <c r="K430"/>
    </row>
    <row r="431" spans="2:11" x14ac:dyDescent="0.25">
      <c r="B431"/>
      <c r="C431"/>
      <c r="D431"/>
      <c r="E431"/>
      <c r="F431"/>
      <c r="G431"/>
      <c r="H431"/>
      <c r="I431"/>
      <c r="J431" s="27"/>
      <c r="K431"/>
    </row>
    <row r="432" spans="2:11" x14ac:dyDescent="0.25">
      <c r="B432"/>
      <c r="C432"/>
      <c r="D432"/>
      <c r="E432"/>
      <c r="F432"/>
      <c r="G432"/>
      <c r="H432"/>
      <c r="I432"/>
      <c r="J432" s="27"/>
      <c r="K432"/>
    </row>
    <row r="433" spans="2:11" x14ac:dyDescent="0.25">
      <c r="B433"/>
      <c r="C433"/>
      <c r="D433"/>
      <c r="E433"/>
      <c r="F433"/>
      <c r="G433"/>
      <c r="H433"/>
      <c r="I433"/>
      <c r="J433" s="27"/>
      <c r="K433"/>
    </row>
    <row r="434" spans="2:11" x14ac:dyDescent="0.25">
      <c r="B434"/>
      <c r="C434"/>
      <c r="D434"/>
      <c r="E434"/>
      <c r="F434"/>
      <c r="G434"/>
      <c r="H434"/>
      <c r="I434"/>
      <c r="J434" s="27"/>
      <c r="K434"/>
    </row>
    <row r="435" spans="2:11" x14ac:dyDescent="0.25">
      <c r="B435"/>
      <c r="C435"/>
      <c r="D435"/>
      <c r="E435"/>
      <c r="F435"/>
      <c r="G435"/>
      <c r="H435"/>
      <c r="I435"/>
      <c r="J435" s="27"/>
      <c r="K435"/>
    </row>
    <row r="436" spans="2:11" x14ac:dyDescent="0.25">
      <c r="B436"/>
      <c r="C436"/>
      <c r="D436"/>
      <c r="E436"/>
      <c r="F436"/>
      <c r="G436"/>
      <c r="H436"/>
      <c r="I436"/>
      <c r="J436" s="27"/>
      <c r="K436"/>
    </row>
    <row r="437" spans="2:11" x14ac:dyDescent="0.25">
      <c r="B437"/>
      <c r="C437"/>
      <c r="D437"/>
      <c r="E437"/>
      <c r="F437"/>
      <c r="G437"/>
      <c r="H437"/>
      <c r="I437"/>
      <c r="J437" s="27"/>
      <c r="K437"/>
    </row>
    <row r="438" spans="2:11" x14ac:dyDescent="0.25">
      <c r="B438"/>
      <c r="C438"/>
      <c r="D438"/>
      <c r="E438"/>
      <c r="F438"/>
      <c r="G438"/>
      <c r="H438"/>
      <c r="I438"/>
      <c r="J438" s="27"/>
      <c r="K438"/>
    </row>
    <row r="439" spans="2:11" x14ac:dyDescent="0.25">
      <c r="B439"/>
      <c r="C439"/>
      <c r="D439"/>
      <c r="E439"/>
      <c r="F439"/>
      <c r="G439"/>
      <c r="H439"/>
      <c r="I439"/>
      <c r="J439" s="27"/>
      <c r="K439"/>
    </row>
    <row r="440" spans="2:11" x14ac:dyDescent="0.25">
      <c r="B440"/>
      <c r="C440"/>
      <c r="D440"/>
      <c r="E440"/>
      <c r="F440"/>
      <c r="G440"/>
      <c r="H440"/>
      <c r="I440"/>
      <c r="J440" s="27"/>
      <c r="K440"/>
    </row>
    <row r="441" spans="2:11" x14ac:dyDescent="0.25">
      <c r="B441"/>
      <c r="C441"/>
      <c r="D441"/>
      <c r="E441"/>
      <c r="F441"/>
      <c r="G441"/>
      <c r="H441"/>
      <c r="I441"/>
      <c r="J441" s="27"/>
      <c r="K441"/>
    </row>
    <row r="442" spans="2:11" x14ac:dyDescent="0.25">
      <c r="B442"/>
      <c r="C442"/>
      <c r="D442"/>
      <c r="E442"/>
      <c r="F442"/>
      <c r="G442"/>
      <c r="H442"/>
      <c r="I442"/>
      <c r="J442" s="27"/>
      <c r="K442"/>
    </row>
    <row r="443" spans="2:11" x14ac:dyDescent="0.25">
      <c r="B443"/>
      <c r="C443"/>
      <c r="D443"/>
      <c r="E443"/>
      <c r="F443"/>
      <c r="G443"/>
      <c r="H443"/>
      <c r="I443"/>
      <c r="J443" s="27"/>
      <c r="K443"/>
    </row>
    <row r="444" spans="2:11" x14ac:dyDescent="0.25">
      <c r="B444"/>
      <c r="C444"/>
      <c r="D444"/>
      <c r="E444"/>
      <c r="F444"/>
      <c r="G444"/>
      <c r="H444"/>
      <c r="I444"/>
      <c r="J444" s="27"/>
      <c r="K444"/>
    </row>
    <row r="445" spans="2:11" x14ac:dyDescent="0.25">
      <c r="B445"/>
      <c r="C445"/>
      <c r="D445"/>
      <c r="E445"/>
      <c r="F445"/>
      <c r="G445"/>
      <c r="H445"/>
      <c r="I445"/>
      <c r="J445" s="27"/>
      <c r="K445"/>
    </row>
    <row r="446" spans="2:11" x14ac:dyDescent="0.25">
      <c r="B446"/>
      <c r="C446"/>
      <c r="D446"/>
      <c r="E446"/>
      <c r="F446"/>
      <c r="G446"/>
      <c r="H446"/>
      <c r="I446"/>
      <c r="J446" s="27"/>
      <c r="K446"/>
    </row>
    <row r="447" spans="2:11" x14ac:dyDescent="0.25">
      <c r="B447"/>
      <c r="C447"/>
      <c r="D447"/>
      <c r="E447"/>
      <c r="F447"/>
      <c r="G447"/>
      <c r="H447"/>
      <c r="I447"/>
      <c r="J447" s="27"/>
      <c r="K447"/>
    </row>
    <row r="448" spans="2:11" x14ac:dyDescent="0.25">
      <c r="B448"/>
      <c r="C448"/>
      <c r="D448"/>
      <c r="E448"/>
      <c r="F448"/>
      <c r="G448"/>
      <c r="H448"/>
      <c r="I448"/>
      <c r="J448" s="27"/>
      <c r="K448"/>
    </row>
    <row r="449" spans="2:11" x14ac:dyDescent="0.25">
      <c r="B449"/>
      <c r="C449"/>
      <c r="D449"/>
      <c r="E449"/>
      <c r="F449"/>
      <c r="G449"/>
      <c r="H449"/>
      <c r="I449"/>
      <c r="J449" s="27"/>
      <c r="K449"/>
    </row>
    <row r="450" spans="2:11" x14ac:dyDescent="0.25">
      <c r="B450"/>
      <c r="C450"/>
      <c r="D450"/>
      <c r="E450"/>
      <c r="F450"/>
      <c r="G450"/>
      <c r="H450"/>
      <c r="I450"/>
      <c r="J450" s="27"/>
      <c r="K450"/>
    </row>
    <row r="451" spans="2:11" x14ac:dyDescent="0.25">
      <c r="B451"/>
      <c r="C451"/>
      <c r="D451"/>
      <c r="E451"/>
      <c r="F451"/>
      <c r="G451"/>
      <c r="H451"/>
      <c r="I451"/>
      <c r="J451" s="27"/>
      <c r="K451"/>
    </row>
    <row r="452" spans="2:11" x14ac:dyDescent="0.25">
      <c r="B452"/>
      <c r="C452"/>
      <c r="D452"/>
      <c r="E452"/>
      <c r="F452"/>
      <c r="G452"/>
      <c r="H452"/>
      <c r="I452"/>
      <c r="J452" s="27"/>
      <c r="K452"/>
    </row>
    <row r="453" spans="2:11" x14ac:dyDescent="0.25">
      <c r="B453"/>
      <c r="C453"/>
      <c r="D453"/>
      <c r="E453"/>
      <c r="F453"/>
      <c r="G453"/>
      <c r="H453"/>
      <c r="I453"/>
      <c r="J453" s="27"/>
      <c r="K453"/>
    </row>
    <row r="454" spans="2:11" x14ac:dyDescent="0.25">
      <c r="B454"/>
      <c r="C454"/>
      <c r="D454"/>
      <c r="E454"/>
      <c r="F454"/>
      <c r="G454"/>
      <c r="H454"/>
      <c r="I454"/>
      <c r="J454" s="27"/>
      <c r="K454"/>
    </row>
    <row r="455" spans="2:11" x14ac:dyDescent="0.25">
      <c r="B455"/>
      <c r="C455"/>
      <c r="D455"/>
      <c r="E455"/>
      <c r="F455"/>
      <c r="G455"/>
      <c r="H455"/>
      <c r="I455"/>
      <c r="J455" s="27"/>
      <c r="K455"/>
    </row>
    <row r="456" spans="2:11" x14ac:dyDescent="0.25">
      <c r="B456"/>
      <c r="C456"/>
      <c r="D456"/>
      <c r="E456"/>
      <c r="F456"/>
      <c r="G456"/>
      <c r="H456"/>
      <c r="I456"/>
      <c r="J456" s="27"/>
      <c r="K456"/>
    </row>
    <row r="457" spans="2:11" x14ac:dyDescent="0.25">
      <c r="B457"/>
      <c r="C457"/>
      <c r="D457"/>
      <c r="E457"/>
      <c r="F457"/>
      <c r="G457"/>
      <c r="H457"/>
      <c r="I457"/>
      <c r="J457" s="27"/>
      <c r="K457"/>
    </row>
    <row r="458" spans="2:11" x14ac:dyDescent="0.25">
      <c r="B458"/>
      <c r="C458"/>
      <c r="D458"/>
      <c r="E458"/>
      <c r="F458"/>
      <c r="G458"/>
      <c r="H458"/>
      <c r="I458"/>
      <c r="J458" s="27"/>
      <c r="K458"/>
    </row>
    <row r="459" spans="2:11" x14ac:dyDescent="0.25">
      <c r="B459"/>
      <c r="C459"/>
      <c r="D459"/>
      <c r="E459"/>
      <c r="F459"/>
      <c r="G459"/>
      <c r="H459"/>
      <c r="I459"/>
      <c r="J459" s="27"/>
      <c r="K459"/>
    </row>
    <row r="460" spans="2:11" x14ac:dyDescent="0.25">
      <c r="B460"/>
      <c r="C460"/>
      <c r="D460"/>
      <c r="E460"/>
      <c r="F460"/>
      <c r="G460"/>
      <c r="H460"/>
      <c r="I460"/>
      <c r="J460" s="27"/>
      <c r="K460"/>
    </row>
    <row r="461" spans="2:11" x14ac:dyDescent="0.25">
      <c r="B461"/>
      <c r="C461"/>
      <c r="D461"/>
      <c r="E461"/>
      <c r="F461"/>
      <c r="G461"/>
      <c r="H461"/>
      <c r="I461"/>
      <c r="J461" s="27"/>
      <c r="K461"/>
    </row>
    <row r="462" spans="2:11" x14ac:dyDescent="0.25">
      <c r="B462"/>
      <c r="C462"/>
      <c r="D462"/>
      <c r="E462"/>
      <c r="F462"/>
      <c r="G462"/>
      <c r="H462"/>
      <c r="I462"/>
      <c r="J462" s="27"/>
      <c r="K462"/>
    </row>
    <row r="463" spans="2:11" x14ac:dyDescent="0.25">
      <c r="B463"/>
      <c r="C463"/>
      <c r="D463"/>
      <c r="E463"/>
      <c r="F463"/>
      <c r="G463"/>
      <c r="H463"/>
      <c r="I463"/>
      <c r="J463" s="27"/>
      <c r="K463"/>
    </row>
    <row r="464" spans="2:11" x14ac:dyDescent="0.25">
      <c r="B464"/>
      <c r="C464"/>
      <c r="D464"/>
      <c r="E464"/>
      <c r="F464"/>
      <c r="G464"/>
      <c r="H464"/>
      <c r="I464"/>
      <c r="J464" s="27"/>
      <c r="K464"/>
    </row>
    <row r="465" spans="2:11" x14ac:dyDescent="0.25">
      <c r="B465"/>
      <c r="C465"/>
      <c r="D465"/>
      <c r="E465"/>
      <c r="F465"/>
      <c r="G465"/>
      <c r="H465"/>
      <c r="I465"/>
      <c r="J465" s="27"/>
      <c r="K465"/>
    </row>
    <row r="466" spans="2:11" x14ac:dyDescent="0.25">
      <c r="B466"/>
      <c r="C466"/>
      <c r="D466"/>
      <c r="E466"/>
      <c r="F466"/>
      <c r="G466"/>
      <c r="H466"/>
      <c r="I466"/>
      <c r="J466" s="27"/>
      <c r="K466"/>
    </row>
    <row r="467" spans="2:11" x14ac:dyDescent="0.25">
      <c r="B467"/>
      <c r="C467"/>
      <c r="D467"/>
      <c r="E467"/>
      <c r="F467"/>
      <c r="G467"/>
      <c r="H467"/>
      <c r="I467"/>
      <c r="J467" s="27"/>
      <c r="K467"/>
    </row>
    <row r="468" spans="2:11" x14ac:dyDescent="0.25">
      <c r="B468"/>
      <c r="C468"/>
      <c r="D468"/>
      <c r="E468"/>
      <c r="F468"/>
      <c r="G468"/>
      <c r="H468"/>
      <c r="I468"/>
      <c r="J468" s="27"/>
      <c r="K468"/>
    </row>
    <row r="469" spans="2:11" x14ac:dyDescent="0.25">
      <c r="B469"/>
      <c r="C469"/>
      <c r="D469"/>
      <c r="E469"/>
      <c r="F469"/>
      <c r="G469"/>
      <c r="H469"/>
      <c r="I469"/>
      <c r="J469" s="27"/>
      <c r="K469"/>
    </row>
    <row r="470" spans="2:11" x14ac:dyDescent="0.25">
      <c r="B470"/>
      <c r="C470"/>
      <c r="D470"/>
      <c r="E470"/>
      <c r="F470"/>
      <c r="G470"/>
      <c r="H470"/>
      <c r="I470"/>
      <c r="J470" s="27"/>
      <c r="K470"/>
    </row>
    <row r="471" spans="2:11" x14ac:dyDescent="0.25">
      <c r="B471"/>
      <c r="C471"/>
      <c r="D471"/>
      <c r="E471"/>
      <c r="F471"/>
      <c r="G471"/>
      <c r="H471"/>
      <c r="I471"/>
      <c r="J471" s="27"/>
      <c r="K471"/>
    </row>
    <row r="472" spans="2:11" x14ac:dyDescent="0.25">
      <c r="B472"/>
      <c r="C472"/>
      <c r="D472"/>
      <c r="E472"/>
      <c r="F472"/>
      <c r="G472"/>
      <c r="H472"/>
      <c r="I472"/>
      <c r="J472" s="27"/>
      <c r="K472"/>
    </row>
    <row r="473" spans="2:11" x14ac:dyDescent="0.25">
      <c r="B473"/>
      <c r="C473"/>
      <c r="D473"/>
      <c r="E473"/>
      <c r="F473"/>
      <c r="G473"/>
      <c r="H473"/>
      <c r="I473"/>
      <c r="J473" s="27"/>
      <c r="K473"/>
    </row>
    <row r="474" spans="2:11" x14ac:dyDescent="0.25">
      <c r="B474"/>
      <c r="C474"/>
      <c r="D474"/>
      <c r="E474"/>
      <c r="F474"/>
      <c r="G474"/>
      <c r="H474"/>
      <c r="I474"/>
      <c r="J474" s="27"/>
      <c r="K474"/>
    </row>
    <row r="475" spans="2:11" x14ac:dyDescent="0.25">
      <c r="B475"/>
      <c r="C475"/>
      <c r="D475"/>
      <c r="E475"/>
      <c r="F475"/>
      <c r="G475"/>
      <c r="H475"/>
      <c r="I475"/>
      <c r="J475" s="27"/>
      <c r="K475"/>
    </row>
    <row r="476" spans="2:11" x14ac:dyDescent="0.25">
      <c r="B476"/>
      <c r="C476"/>
      <c r="D476"/>
      <c r="E476"/>
      <c r="F476"/>
      <c r="G476"/>
      <c r="H476"/>
      <c r="I476"/>
      <c r="J476" s="27"/>
      <c r="K476"/>
    </row>
    <row r="477" spans="2:11" x14ac:dyDescent="0.25">
      <c r="B477"/>
      <c r="C477"/>
      <c r="D477"/>
      <c r="E477"/>
      <c r="F477"/>
      <c r="G477"/>
      <c r="H477"/>
      <c r="I477"/>
      <c r="J477" s="27"/>
      <c r="K477"/>
    </row>
    <row r="478" spans="2:11" x14ac:dyDescent="0.25">
      <c r="B478"/>
      <c r="C478"/>
      <c r="D478"/>
      <c r="E478"/>
      <c r="F478"/>
      <c r="G478"/>
      <c r="H478"/>
      <c r="I478"/>
      <c r="J478" s="27"/>
      <c r="K478"/>
    </row>
    <row r="479" spans="2:11" x14ac:dyDescent="0.25">
      <c r="B479"/>
      <c r="C479"/>
      <c r="D479"/>
      <c r="E479"/>
      <c r="F479"/>
      <c r="G479"/>
      <c r="H479"/>
      <c r="I479"/>
      <c r="J479" s="27"/>
      <c r="K479"/>
    </row>
    <row r="480" spans="2:11" x14ac:dyDescent="0.25">
      <c r="B480"/>
      <c r="C480"/>
      <c r="D480"/>
      <c r="E480"/>
      <c r="F480"/>
      <c r="G480"/>
      <c r="H480"/>
      <c r="I480"/>
      <c r="J480" s="27"/>
      <c r="K480"/>
    </row>
    <row r="481" spans="2:11" x14ac:dyDescent="0.25">
      <c r="B481"/>
      <c r="C481"/>
      <c r="D481"/>
      <c r="E481"/>
      <c r="F481"/>
      <c r="G481"/>
      <c r="H481"/>
      <c r="I481"/>
      <c r="J481" s="27"/>
      <c r="K481"/>
    </row>
    <row r="482" spans="2:11" x14ac:dyDescent="0.25">
      <c r="B482"/>
      <c r="C482"/>
      <c r="D482"/>
      <c r="E482"/>
      <c r="F482"/>
      <c r="G482"/>
      <c r="H482"/>
      <c r="I482"/>
      <c r="J482" s="27"/>
      <c r="K482"/>
    </row>
    <row r="483" spans="2:11" x14ac:dyDescent="0.25">
      <c r="B483"/>
      <c r="C483"/>
      <c r="D483"/>
      <c r="E483"/>
      <c r="F483"/>
      <c r="G483"/>
      <c r="H483"/>
      <c r="I483"/>
      <c r="J483" s="27"/>
      <c r="K483"/>
    </row>
    <row r="484" spans="2:11" x14ac:dyDescent="0.25">
      <c r="B484"/>
      <c r="C484"/>
      <c r="D484"/>
      <c r="E484"/>
      <c r="F484"/>
      <c r="G484"/>
      <c r="H484"/>
      <c r="I484"/>
      <c r="J484" s="27"/>
      <c r="K484"/>
    </row>
    <row r="485" spans="2:11" x14ac:dyDescent="0.25">
      <c r="B485"/>
      <c r="C485"/>
      <c r="D485"/>
      <c r="E485"/>
      <c r="F485"/>
      <c r="G485"/>
      <c r="H485"/>
      <c r="I485"/>
      <c r="J485" s="27"/>
      <c r="K485"/>
    </row>
    <row r="486" spans="2:11" x14ac:dyDescent="0.25">
      <c r="B486"/>
      <c r="C486"/>
      <c r="D486"/>
      <c r="E486"/>
      <c r="F486"/>
      <c r="G486"/>
      <c r="H486"/>
      <c r="I486"/>
      <c r="J486" s="27"/>
      <c r="K486"/>
    </row>
    <row r="487" spans="2:11" x14ac:dyDescent="0.25">
      <c r="B487"/>
      <c r="C487"/>
      <c r="D487"/>
      <c r="E487"/>
      <c r="F487"/>
      <c r="G487"/>
      <c r="H487"/>
      <c r="I487"/>
      <c r="J487" s="27"/>
      <c r="K487"/>
    </row>
    <row r="488" spans="2:11" x14ac:dyDescent="0.25">
      <c r="B488"/>
      <c r="C488"/>
      <c r="D488"/>
      <c r="E488"/>
      <c r="F488"/>
      <c r="G488"/>
      <c r="H488"/>
      <c r="I488"/>
      <c r="J488" s="27"/>
      <c r="K488"/>
    </row>
    <row r="489" spans="2:11" x14ac:dyDescent="0.25">
      <c r="B489"/>
      <c r="C489"/>
      <c r="D489"/>
      <c r="E489"/>
      <c r="F489"/>
      <c r="G489"/>
      <c r="H489"/>
      <c r="I489"/>
      <c r="J489" s="27"/>
      <c r="K489"/>
    </row>
    <row r="490" spans="2:11" x14ac:dyDescent="0.25">
      <c r="B490"/>
      <c r="C490"/>
      <c r="D490"/>
      <c r="E490"/>
      <c r="F490"/>
      <c r="G490"/>
      <c r="H490"/>
      <c r="I490"/>
      <c r="J490" s="27"/>
      <c r="K490"/>
    </row>
    <row r="491" spans="2:11" x14ac:dyDescent="0.25">
      <c r="B491"/>
      <c r="C491"/>
      <c r="D491"/>
      <c r="E491"/>
      <c r="F491"/>
      <c r="G491"/>
      <c r="H491"/>
      <c r="I491"/>
      <c r="J491" s="27"/>
      <c r="K491"/>
    </row>
    <row r="492" spans="2:11" x14ac:dyDescent="0.25">
      <c r="B492"/>
      <c r="C492"/>
      <c r="D492"/>
      <c r="E492"/>
      <c r="F492"/>
      <c r="G492"/>
      <c r="H492"/>
      <c r="I492"/>
      <c r="J492" s="27"/>
      <c r="K492"/>
    </row>
    <row r="493" spans="2:11" x14ac:dyDescent="0.25">
      <c r="B493"/>
      <c r="C493"/>
      <c r="D493"/>
      <c r="E493"/>
      <c r="F493"/>
      <c r="G493"/>
      <c r="H493"/>
      <c r="I493"/>
      <c r="J493" s="27"/>
      <c r="K493"/>
    </row>
    <row r="494" spans="2:11" x14ac:dyDescent="0.25">
      <c r="B494"/>
      <c r="C494"/>
      <c r="D494"/>
      <c r="E494"/>
      <c r="F494"/>
      <c r="G494"/>
      <c r="H494"/>
      <c r="I494"/>
      <c r="J494" s="27"/>
      <c r="K494"/>
    </row>
    <row r="495" spans="2:11" x14ac:dyDescent="0.25">
      <c r="B495"/>
      <c r="C495"/>
      <c r="D495"/>
      <c r="E495"/>
      <c r="F495"/>
      <c r="G495"/>
      <c r="H495"/>
      <c r="I495"/>
      <c r="J495" s="27"/>
      <c r="K495"/>
    </row>
    <row r="496" spans="2:11" x14ac:dyDescent="0.25">
      <c r="B496"/>
      <c r="C496"/>
      <c r="D496"/>
      <c r="E496"/>
      <c r="F496"/>
      <c r="G496"/>
      <c r="H496"/>
      <c r="I496"/>
      <c r="J496" s="27"/>
      <c r="K496"/>
    </row>
    <row r="497" spans="2:11" x14ac:dyDescent="0.25">
      <c r="B497"/>
      <c r="C497"/>
      <c r="D497"/>
      <c r="E497"/>
      <c r="F497"/>
      <c r="G497"/>
      <c r="H497"/>
      <c r="I497"/>
      <c r="J497" s="27"/>
      <c r="K497"/>
    </row>
    <row r="498" spans="2:11" x14ac:dyDescent="0.25">
      <c r="B498"/>
      <c r="C498"/>
      <c r="D498"/>
      <c r="E498"/>
      <c r="F498"/>
      <c r="G498"/>
      <c r="H498"/>
      <c r="I498"/>
      <c r="J498" s="27"/>
      <c r="K498"/>
    </row>
    <row r="499" spans="2:11" x14ac:dyDescent="0.25">
      <c r="B499"/>
      <c r="C499"/>
      <c r="D499"/>
      <c r="E499"/>
      <c r="F499"/>
      <c r="G499"/>
      <c r="H499"/>
      <c r="I499"/>
      <c r="J499" s="27"/>
      <c r="K499"/>
    </row>
    <row r="500" spans="2:11" x14ac:dyDescent="0.25">
      <c r="B500"/>
      <c r="C500"/>
      <c r="D500"/>
      <c r="E500"/>
      <c r="F500"/>
      <c r="G500"/>
      <c r="H500"/>
      <c r="I500"/>
      <c r="J500" s="27"/>
      <c r="K500"/>
    </row>
    <row r="501" spans="2:11" x14ac:dyDescent="0.25">
      <c r="B501"/>
      <c r="C501"/>
      <c r="D501"/>
      <c r="E501"/>
      <c r="F501"/>
      <c r="G501"/>
      <c r="H501"/>
      <c r="I501"/>
      <c r="J501" s="27"/>
      <c r="K501"/>
    </row>
    <row r="502" spans="2:11" x14ac:dyDescent="0.25">
      <c r="B502"/>
      <c r="C502"/>
      <c r="D502"/>
      <c r="E502"/>
      <c r="F502"/>
      <c r="G502"/>
      <c r="H502"/>
      <c r="I502"/>
      <c r="J502" s="27"/>
      <c r="K502"/>
    </row>
    <row r="503" spans="2:11" x14ac:dyDescent="0.25">
      <c r="B503"/>
      <c r="C503"/>
      <c r="D503"/>
      <c r="E503"/>
      <c r="F503"/>
      <c r="G503"/>
      <c r="H503"/>
      <c r="I503"/>
      <c r="J503" s="27"/>
      <c r="K503"/>
    </row>
    <row r="504" spans="2:11" x14ac:dyDescent="0.25">
      <c r="B504"/>
      <c r="C504"/>
      <c r="D504"/>
      <c r="E504"/>
      <c r="F504"/>
      <c r="G504"/>
      <c r="H504"/>
      <c r="I504"/>
      <c r="J504" s="27"/>
      <c r="K504"/>
    </row>
    <row r="505" spans="2:11" x14ac:dyDescent="0.25">
      <c r="B505"/>
      <c r="C505"/>
      <c r="D505"/>
      <c r="E505"/>
      <c r="F505"/>
      <c r="G505"/>
      <c r="H505"/>
      <c r="I505"/>
      <c r="J505" s="27"/>
      <c r="K505"/>
    </row>
    <row r="506" spans="2:11" x14ac:dyDescent="0.25">
      <c r="B506"/>
      <c r="C506"/>
      <c r="D506"/>
      <c r="E506"/>
      <c r="F506"/>
      <c r="G506"/>
      <c r="H506"/>
      <c r="I506"/>
      <c r="J506" s="27"/>
      <c r="K506"/>
    </row>
    <row r="507" spans="2:11" x14ac:dyDescent="0.25">
      <c r="B507"/>
      <c r="C507"/>
      <c r="D507"/>
      <c r="E507"/>
      <c r="F507"/>
      <c r="G507"/>
      <c r="H507"/>
      <c r="I507"/>
      <c r="J507" s="27"/>
      <c r="K507"/>
    </row>
    <row r="508" spans="2:11" x14ac:dyDescent="0.25">
      <c r="B508"/>
      <c r="C508"/>
      <c r="D508"/>
      <c r="E508"/>
      <c r="F508"/>
      <c r="G508"/>
      <c r="H508"/>
      <c r="I508"/>
      <c r="J508" s="27"/>
      <c r="K508"/>
    </row>
    <row r="509" spans="2:11" x14ac:dyDescent="0.25">
      <c r="B509"/>
      <c r="C509"/>
      <c r="D509"/>
      <c r="E509"/>
      <c r="F509"/>
      <c r="G509"/>
      <c r="H509"/>
      <c r="I509"/>
      <c r="J509" s="27"/>
      <c r="K509"/>
    </row>
    <row r="510" spans="2:11" x14ac:dyDescent="0.25">
      <c r="B510"/>
      <c r="C510"/>
      <c r="D510"/>
      <c r="E510"/>
      <c r="F510"/>
      <c r="G510"/>
      <c r="H510"/>
      <c r="I510"/>
      <c r="J510" s="27"/>
      <c r="K510"/>
    </row>
    <row r="511" spans="2:11" x14ac:dyDescent="0.25">
      <c r="B511"/>
      <c r="C511"/>
      <c r="D511"/>
      <c r="E511"/>
      <c r="F511"/>
      <c r="G511"/>
      <c r="H511"/>
      <c r="I511"/>
      <c r="J511" s="27"/>
      <c r="K511"/>
    </row>
    <row r="512" spans="2:11" x14ac:dyDescent="0.25">
      <c r="B512"/>
      <c r="C512"/>
      <c r="D512"/>
      <c r="E512"/>
      <c r="F512"/>
      <c r="G512"/>
      <c r="H512"/>
      <c r="I512"/>
      <c r="J512" s="27"/>
      <c r="K512"/>
    </row>
    <row r="513" spans="2:11" x14ac:dyDescent="0.25">
      <c r="B513"/>
      <c r="C513"/>
      <c r="D513"/>
      <c r="E513"/>
      <c r="F513"/>
      <c r="G513"/>
      <c r="H513"/>
      <c r="I513"/>
      <c r="J513" s="27"/>
      <c r="K513"/>
    </row>
    <row r="514" spans="2:11" x14ac:dyDescent="0.25">
      <c r="B514"/>
      <c r="C514"/>
      <c r="D514"/>
      <c r="E514"/>
      <c r="F514"/>
      <c r="G514"/>
      <c r="H514"/>
      <c r="I514"/>
      <c r="J514" s="27"/>
      <c r="K514"/>
    </row>
    <row r="515" spans="2:11" x14ac:dyDescent="0.25">
      <c r="B515"/>
      <c r="C515"/>
      <c r="D515"/>
      <c r="E515"/>
      <c r="F515"/>
      <c r="G515"/>
      <c r="H515"/>
      <c r="I515"/>
      <c r="J515" s="27"/>
      <c r="K515"/>
    </row>
    <row r="516" spans="2:11" x14ac:dyDescent="0.25">
      <c r="B516"/>
      <c r="C516"/>
      <c r="D516"/>
      <c r="E516"/>
      <c r="F516"/>
      <c r="G516"/>
      <c r="H516"/>
      <c r="I516"/>
      <c r="J516" s="27"/>
      <c r="K516"/>
    </row>
    <row r="517" spans="2:11" x14ac:dyDescent="0.25">
      <c r="B517"/>
      <c r="C517"/>
      <c r="D517"/>
      <c r="E517"/>
      <c r="F517"/>
      <c r="G517"/>
      <c r="H517"/>
      <c r="I517"/>
      <c r="J517" s="27"/>
      <c r="K517"/>
    </row>
    <row r="518" spans="2:11" x14ac:dyDescent="0.25">
      <c r="B518"/>
      <c r="C518"/>
      <c r="D518"/>
      <c r="E518"/>
      <c r="F518"/>
      <c r="G518"/>
      <c r="H518"/>
      <c r="I518"/>
      <c r="J518" s="27"/>
      <c r="K518"/>
    </row>
    <row r="519" spans="2:11" x14ac:dyDescent="0.25">
      <c r="B519"/>
      <c r="C519"/>
      <c r="D519"/>
      <c r="E519"/>
      <c r="F519"/>
      <c r="G519"/>
      <c r="H519"/>
      <c r="I519"/>
      <c r="J519" s="27"/>
      <c r="K519"/>
    </row>
    <row r="520" spans="2:11" x14ac:dyDescent="0.25">
      <c r="B520"/>
      <c r="C520"/>
      <c r="D520"/>
      <c r="E520"/>
      <c r="F520"/>
      <c r="G520"/>
      <c r="H520"/>
      <c r="I520"/>
      <c r="J520" s="27"/>
      <c r="K520"/>
    </row>
    <row r="521" spans="2:11" x14ac:dyDescent="0.25">
      <c r="B521"/>
      <c r="C521"/>
      <c r="D521"/>
      <c r="E521"/>
      <c r="F521"/>
      <c r="G521"/>
      <c r="H521"/>
      <c r="I521"/>
      <c r="J521" s="27"/>
      <c r="K521"/>
    </row>
    <row r="522" spans="2:11" x14ac:dyDescent="0.25">
      <c r="B522"/>
      <c r="C522"/>
      <c r="D522"/>
      <c r="E522"/>
      <c r="F522"/>
      <c r="G522"/>
      <c r="H522"/>
      <c r="I522"/>
      <c r="J522" s="27"/>
      <c r="K522"/>
    </row>
    <row r="523" spans="2:11" x14ac:dyDescent="0.25">
      <c r="B523"/>
      <c r="C523"/>
      <c r="D523"/>
      <c r="E523"/>
      <c r="F523"/>
      <c r="G523"/>
      <c r="H523"/>
      <c r="I523"/>
      <c r="J523" s="27"/>
      <c r="K523"/>
    </row>
    <row r="524" spans="2:11" x14ac:dyDescent="0.25">
      <c r="B524"/>
      <c r="C524"/>
      <c r="D524"/>
      <c r="E524"/>
      <c r="F524"/>
      <c r="G524"/>
      <c r="H524"/>
      <c r="I524"/>
      <c r="J524" s="27"/>
      <c r="K524"/>
    </row>
    <row r="525" spans="2:11" x14ac:dyDescent="0.25">
      <c r="B525"/>
      <c r="C525"/>
      <c r="D525"/>
      <c r="E525"/>
      <c r="F525"/>
      <c r="G525"/>
      <c r="H525"/>
      <c r="I525"/>
      <c r="J525" s="27"/>
      <c r="K525"/>
    </row>
    <row r="526" spans="2:11" x14ac:dyDescent="0.25">
      <c r="B526"/>
      <c r="C526"/>
      <c r="D526"/>
      <c r="E526"/>
      <c r="F526"/>
      <c r="G526"/>
      <c r="H526"/>
      <c r="I526"/>
      <c r="J526" s="27"/>
      <c r="K526"/>
    </row>
    <row r="527" spans="2:11" x14ac:dyDescent="0.25">
      <c r="B527"/>
      <c r="C527"/>
      <c r="D527"/>
      <c r="E527"/>
      <c r="F527"/>
      <c r="G527"/>
      <c r="H527"/>
      <c r="I527"/>
      <c r="J527" s="27"/>
      <c r="K527"/>
    </row>
    <row r="528" spans="2:11" x14ac:dyDescent="0.25">
      <c r="B528"/>
      <c r="C528"/>
      <c r="D528"/>
      <c r="E528"/>
      <c r="F528"/>
      <c r="G528"/>
      <c r="H528"/>
      <c r="I528"/>
      <c r="J528" s="27"/>
      <c r="K528"/>
    </row>
    <row r="529" spans="2:11" x14ac:dyDescent="0.25">
      <c r="B529"/>
      <c r="C529"/>
      <c r="D529"/>
      <c r="E529"/>
      <c r="F529"/>
      <c r="G529"/>
      <c r="H529"/>
      <c r="I529"/>
      <c r="J529" s="27"/>
      <c r="K529"/>
    </row>
    <row r="530" spans="2:11" x14ac:dyDescent="0.25">
      <c r="B530"/>
      <c r="C530"/>
      <c r="D530"/>
      <c r="E530"/>
      <c r="F530"/>
      <c r="G530"/>
      <c r="H530"/>
      <c r="I530"/>
      <c r="J530" s="27"/>
      <c r="K530"/>
    </row>
    <row r="531" spans="2:11" x14ac:dyDescent="0.25">
      <c r="B531"/>
      <c r="C531"/>
      <c r="D531"/>
      <c r="E531"/>
      <c r="F531"/>
      <c r="G531"/>
      <c r="H531"/>
      <c r="I531"/>
      <c r="J531" s="27"/>
      <c r="K531"/>
    </row>
    <row r="532" spans="2:11" x14ac:dyDescent="0.25">
      <c r="B532"/>
      <c r="C532"/>
      <c r="D532"/>
      <c r="E532"/>
      <c r="F532"/>
      <c r="G532"/>
      <c r="H532"/>
      <c r="I532"/>
      <c r="J532" s="27"/>
      <c r="K532"/>
    </row>
    <row r="533" spans="2:11" x14ac:dyDescent="0.25">
      <c r="B533"/>
      <c r="C533"/>
      <c r="D533"/>
      <c r="E533"/>
      <c r="F533"/>
      <c r="G533"/>
      <c r="H533"/>
      <c r="I533"/>
      <c r="J533" s="27"/>
      <c r="K533"/>
    </row>
    <row r="534" spans="2:11" x14ac:dyDescent="0.25">
      <c r="B534"/>
      <c r="C534"/>
      <c r="D534"/>
      <c r="E534"/>
      <c r="F534"/>
      <c r="G534"/>
      <c r="H534"/>
      <c r="I534"/>
      <c r="J534" s="27"/>
      <c r="K534"/>
    </row>
    <row r="535" spans="2:11" x14ac:dyDescent="0.25">
      <c r="B535"/>
      <c r="C535"/>
      <c r="D535"/>
      <c r="E535"/>
      <c r="F535"/>
      <c r="G535"/>
      <c r="H535"/>
      <c r="I535"/>
      <c r="J535" s="27"/>
      <c r="K535"/>
    </row>
    <row r="536" spans="2:11" x14ac:dyDescent="0.25">
      <c r="B536"/>
      <c r="C536"/>
      <c r="D536"/>
      <c r="E536"/>
      <c r="F536"/>
      <c r="G536"/>
      <c r="H536"/>
      <c r="I536"/>
      <c r="J536" s="27"/>
      <c r="K536"/>
    </row>
    <row r="537" spans="2:11" x14ac:dyDescent="0.25">
      <c r="B537"/>
      <c r="C537"/>
      <c r="D537"/>
      <c r="E537"/>
      <c r="F537"/>
      <c r="G537"/>
      <c r="H537"/>
      <c r="I537"/>
      <c r="J537" s="27"/>
      <c r="K537"/>
    </row>
    <row r="538" spans="2:11" x14ac:dyDescent="0.25">
      <c r="B538"/>
      <c r="C538"/>
      <c r="D538"/>
      <c r="E538"/>
      <c r="F538"/>
      <c r="G538"/>
      <c r="H538"/>
      <c r="I538"/>
      <c r="J538" s="27"/>
      <c r="K538"/>
    </row>
    <row r="539" spans="2:11" x14ac:dyDescent="0.25">
      <c r="B539"/>
      <c r="C539"/>
      <c r="D539"/>
      <c r="E539"/>
      <c r="F539"/>
      <c r="G539"/>
      <c r="H539"/>
      <c r="I539"/>
      <c r="J539" s="27"/>
      <c r="K539"/>
    </row>
    <row r="540" spans="2:11" x14ac:dyDescent="0.25">
      <c r="B540"/>
      <c r="C540"/>
      <c r="D540"/>
      <c r="E540"/>
      <c r="F540"/>
      <c r="G540"/>
      <c r="H540"/>
      <c r="I540"/>
      <c r="J540" s="27"/>
      <c r="K540"/>
    </row>
    <row r="541" spans="2:11" x14ac:dyDescent="0.25">
      <c r="B541"/>
      <c r="C541"/>
      <c r="D541"/>
      <c r="E541"/>
      <c r="F541"/>
      <c r="G541"/>
      <c r="H541"/>
      <c r="I541"/>
      <c r="J541" s="27"/>
      <c r="K541"/>
    </row>
    <row r="542" spans="2:11" x14ac:dyDescent="0.25">
      <c r="B542"/>
      <c r="C542"/>
      <c r="D542"/>
      <c r="E542"/>
      <c r="F542"/>
      <c r="G542"/>
      <c r="H542"/>
      <c r="I542"/>
      <c r="J542" s="27"/>
      <c r="K542"/>
    </row>
    <row r="543" spans="2:11" x14ac:dyDescent="0.25">
      <c r="B543"/>
      <c r="C543"/>
      <c r="D543"/>
      <c r="E543"/>
      <c r="F543"/>
      <c r="G543"/>
      <c r="H543"/>
      <c r="I543"/>
      <c r="J543" s="27"/>
      <c r="K543"/>
    </row>
    <row r="544" spans="2:11" x14ac:dyDescent="0.25">
      <c r="B544"/>
      <c r="C544"/>
      <c r="D544"/>
      <c r="E544"/>
      <c r="F544"/>
      <c r="G544"/>
      <c r="H544"/>
      <c r="I544"/>
      <c r="J544" s="27"/>
      <c r="K544"/>
    </row>
    <row r="545" spans="2:11" x14ac:dyDescent="0.25">
      <c r="B545"/>
      <c r="C545"/>
      <c r="D545"/>
      <c r="E545"/>
      <c r="F545"/>
      <c r="G545"/>
      <c r="H545"/>
      <c r="I545"/>
      <c r="J545" s="27"/>
      <c r="K545"/>
    </row>
    <row r="546" spans="2:11" x14ac:dyDescent="0.25">
      <c r="B546"/>
      <c r="C546"/>
      <c r="D546"/>
      <c r="E546"/>
      <c r="F546"/>
      <c r="G546"/>
      <c r="H546"/>
      <c r="I546"/>
      <c r="J546" s="27"/>
      <c r="K546"/>
    </row>
    <row r="547" spans="2:11" x14ac:dyDescent="0.25">
      <c r="B547"/>
      <c r="C547"/>
      <c r="D547"/>
      <c r="E547"/>
      <c r="F547"/>
      <c r="G547"/>
      <c r="H547"/>
      <c r="I547"/>
      <c r="J547" s="27"/>
      <c r="K547"/>
    </row>
    <row r="548" spans="2:11" x14ac:dyDescent="0.25">
      <c r="B548"/>
      <c r="C548"/>
      <c r="D548"/>
      <c r="E548"/>
      <c r="F548"/>
      <c r="G548"/>
      <c r="H548"/>
      <c r="I548"/>
      <c r="J548" s="27"/>
      <c r="K548"/>
    </row>
    <row r="549" spans="2:11" x14ac:dyDescent="0.25">
      <c r="B549"/>
      <c r="C549"/>
      <c r="D549"/>
      <c r="E549"/>
      <c r="F549"/>
      <c r="G549"/>
      <c r="H549"/>
      <c r="I549"/>
      <c r="J549" s="27"/>
      <c r="K549"/>
    </row>
    <row r="550" spans="2:11" x14ac:dyDescent="0.25">
      <c r="B550"/>
      <c r="C550"/>
      <c r="D550"/>
      <c r="E550"/>
      <c r="F550"/>
      <c r="G550"/>
      <c r="H550"/>
      <c r="I550"/>
      <c r="J550" s="27"/>
      <c r="K550"/>
    </row>
    <row r="551" spans="2:11" x14ac:dyDescent="0.25">
      <c r="B551"/>
      <c r="C551"/>
      <c r="D551"/>
      <c r="E551"/>
      <c r="F551"/>
      <c r="G551"/>
      <c r="H551"/>
      <c r="I551"/>
      <c r="J551" s="27"/>
      <c r="K551"/>
    </row>
    <row r="552" spans="2:11" x14ac:dyDescent="0.25">
      <c r="B552"/>
      <c r="C552"/>
      <c r="D552"/>
      <c r="E552"/>
      <c r="F552"/>
      <c r="G552"/>
      <c r="H552"/>
      <c r="I552"/>
      <c r="J552" s="27"/>
      <c r="K552"/>
    </row>
    <row r="553" spans="2:11" x14ac:dyDescent="0.25">
      <c r="B553"/>
      <c r="C553"/>
      <c r="D553"/>
      <c r="E553"/>
      <c r="F553"/>
      <c r="G553"/>
      <c r="H553"/>
      <c r="I553"/>
      <c r="J553" s="27"/>
      <c r="K553"/>
    </row>
    <row r="554" spans="2:11" x14ac:dyDescent="0.25">
      <c r="B554"/>
      <c r="C554"/>
      <c r="D554"/>
      <c r="E554"/>
      <c r="F554"/>
      <c r="G554"/>
      <c r="H554"/>
      <c r="I554"/>
      <c r="J554" s="27"/>
      <c r="K554"/>
    </row>
    <row r="555" spans="2:11" x14ac:dyDescent="0.25">
      <c r="B555"/>
      <c r="C555"/>
      <c r="D555"/>
      <c r="E555"/>
      <c r="F555"/>
      <c r="G555"/>
      <c r="H555"/>
      <c r="I555"/>
      <c r="J555" s="27"/>
      <c r="K555"/>
    </row>
    <row r="556" spans="2:11" x14ac:dyDescent="0.25">
      <c r="B556"/>
      <c r="C556"/>
      <c r="D556"/>
      <c r="E556"/>
      <c r="F556"/>
      <c r="G556"/>
      <c r="H556"/>
      <c r="I556"/>
      <c r="J556" s="27"/>
      <c r="K556"/>
    </row>
    <row r="557" spans="2:11" x14ac:dyDescent="0.25">
      <c r="B557"/>
      <c r="C557"/>
      <c r="D557"/>
      <c r="E557"/>
      <c r="F557"/>
      <c r="G557"/>
      <c r="H557"/>
      <c r="I557"/>
      <c r="J557" s="27"/>
      <c r="K557"/>
    </row>
    <row r="558" spans="2:11" x14ac:dyDescent="0.25">
      <c r="B558"/>
      <c r="C558"/>
      <c r="D558"/>
      <c r="E558"/>
      <c r="F558"/>
      <c r="G558"/>
      <c r="H558"/>
      <c r="I558"/>
      <c r="J558" s="27"/>
      <c r="K558"/>
    </row>
    <row r="559" spans="2:11" x14ac:dyDescent="0.25">
      <c r="B559"/>
      <c r="C559"/>
      <c r="D559"/>
      <c r="E559"/>
      <c r="F559"/>
      <c r="G559"/>
      <c r="H559"/>
      <c r="I559"/>
      <c r="J559" s="27"/>
      <c r="K559"/>
    </row>
    <row r="560" spans="2:11" x14ac:dyDescent="0.25">
      <c r="B560"/>
      <c r="C560"/>
      <c r="D560"/>
      <c r="E560"/>
      <c r="F560"/>
      <c r="G560"/>
      <c r="H560"/>
      <c r="I560"/>
      <c r="J560" s="27"/>
      <c r="K560"/>
    </row>
    <row r="561" spans="2:11" x14ac:dyDescent="0.25">
      <c r="B561"/>
      <c r="C561"/>
      <c r="D561"/>
      <c r="E561"/>
      <c r="F561"/>
      <c r="G561"/>
      <c r="H561"/>
      <c r="I561"/>
      <c r="J561" s="27"/>
      <c r="K561"/>
    </row>
    <row r="562" spans="2:11" x14ac:dyDescent="0.25">
      <c r="B562"/>
      <c r="C562"/>
      <c r="D562"/>
      <c r="E562"/>
      <c r="F562"/>
      <c r="G562"/>
      <c r="H562"/>
      <c r="I562"/>
      <c r="J562" s="27"/>
      <c r="K562"/>
    </row>
    <row r="563" spans="2:11" x14ac:dyDescent="0.25">
      <c r="B563"/>
      <c r="C563"/>
      <c r="D563"/>
      <c r="E563"/>
      <c r="F563"/>
      <c r="G563"/>
      <c r="H563"/>
      <c r="I563"/>
      <c r="J563" s="27"/>
      <c r="K563"/>
    </row>
    <row r="564" spans="2:11" x14ac:dyDescent="0.25">
      <c r="B564"/>
      <c r="C564"/>
      <c r="D564"/>
      <c r="E564"/>
      <c r="F564"/>
      <c r="G564"/>
      <c r="H564"/>
      <c r="I564"/>
      <c r="J564" s="27"/>
      <c r="K564"/>
    </row>
    <row r="565" spans="2:11" x14ac:dyDescent="0.25">
      <c r="B565"/>
      <c r="C565"/>
      <c r="D565"/>
      <c r="E565"/>
      <c r="F565"/>
      <c r="G565"/>
      <c r="H565"/>
      <c r="I565"/>
      <c r="J565" s="27"/>
      <c r="K565"/>
    </row>
    <row r="566" spans="2:11" x14ac:dyDescent="0.25">
      <c r="B566"/>
      <c r="C566"/>
      <c r="D566"/>
      <c r="E566"/>
      <c r="F566"/>
      <c r="G566"/>
      <c r="H566"/>
      <c r="I566"/>
      <c r="J566" s="27"/>
      <c r="K566"/>
    </row>
    <row r="567" spans="2:11" x14ac:dyDescent="0.25">
      <c r="B567"/>
      <c r="C567"/>
      <c r="D567"/>
      <c r="E567"/>
      <c r="F567"/>
      <c r="G567"/>
      <c r="H567"/>
      <c r="I567"/>
      <c r="J567" s="27"/>
      <c r="K567"/>
    </row>
    <row r="568" spans="2:11" x14ac:dyDescent="0.25">
      <c r="B568"/>
      <c r="C568"/>
      <c r="D568"/>
      <c r="E568"/>
      <c r="F568"/>
      <c r="G568"/>
      <c r="H568"/>
      <c r="I568"/>
      <c r="J568" s="27"/>
      <c r="K568"/>
    </row>
    <row r="569" spans="2:11" x14ac:dyDescent="0.25">
      <c r="B569"/>
      <c r="C569"/>
      <c r="D569"/>
      <c r="E569"/>
      <c r="F569"/>
      <c r="G569"/>
      <c r="H569"/>
      <c r="I569"/>
      <c r="J569" s="27"/>
      <c r="K569"/>
    </row>
    <row r="570" spans="2:11" x14ac:dyDescent="0.25">
      <c r="B570"/>
      <c r="C570"/>
      <c r="D570"/>
      <c r="E570"/>
      <c r="F570"/>
      <c r="G570"/>
      <c r="H570"/>
      <c r="I570"/>
      <c r="J570" s="27"/>
      <c r="K570"/>
    </row>
    <row r="571" spans="2:11" x14ac:dyDescent="0.25">
      <c r="B571"/>
      <c r="C571"/>
      <c r="D571"/>
      <c r="E571"/>
      <c r="F571"/>
      <c r="G571"/>
      <c r="H571"/>
      <c r="I571"/>
      <c r="J571" s="27"/>
      <c r="K571"/>
    </row>
    <row r="572" spans="2:11" x14ac:dyDescent="0.25">
      <c r="B572"/>
      <c r="C572"/>
      <c r="D572"/>
      <c r="E572"/>
      <c r="F572"/>
      <c r="G572"/>
      <c r="H572"/>
      <c r="I572"/>
      <c r="J572" s="27"/>
      <c r="K572"/>
    </row>
    <row r="573" spans="2:11" x14ac:dyDescent="0.25">
      <c r="B573"/>
      <c r="C573"/>
      <c r="D573"/>
      <c r="E573"/>
      <c r="F573"/>
      <c r="G573"/>
      <c r="H573"/>
      <c r="I573"/>
      <c r="J573" s="27"/>
      <c r="K573"/>
    </row>
    <row r="574" spans="2:11" x14ac:dyDescent="0.25">
      <c r="B574"/>
      <c r="C574"/>
      <c r="D574"/>
      <c r="E574"/>
      <c r="F574"/>
      <c r="G574"/>
      <c r="H574"/>
      <c r="I574"/>
      <c r="J574" s="27"/>
      <c r="K574"/>
    </row>
    <row r="575" spans="2:11" x14ac:dyDescent="0.25">
      <c r="B575"/>
      <c r="C575"/>
      <c r="D575"/>
      <c r="E575"/>
      <c r="F575"/>
      <c r="G575"/>
      <c r="H575"/>
      <c r="I575"/>
      <c r="J575" s="27"/>
      <c r="K575"/>
    </row>
    <row r="576" spans="2:11" x14ac:dyDescent="0.25">
      <c r="B576"/>
      <c r="C576"/>
      <c r="D576"/>
      <c r="E576"/>
      <c r="F576"/>
      <c r="G576"/>
      <c r="H576"/>
      <c r="I576"/>
      <c r="J576" s="27"/>
      <c r="K576"/>
    </row>
    <row r="577" spans="2:11" x14ac:dyDescent="0.25">
      <c r="B577"/>
      <c r="C577"/>
      <c r="D577"/>
      <c r="E577"/>
      <c r="F577"/>
      <c r="G577"/>
      <c r="H577"/>
      <c r="I577"/>
      <c r="J577" s="27"/>
      <c r="K577"/>
    </row>
    <row r="578" spans="2:11" x14ac:dyDescent="0.25">
      <c r="B578"/>
      <c r="C578"/>
      <c r="D578"/>
      <c r="E578"/>
      <c r="F578"/>
      <c r="G578"/>
      <c r="H578"/>
      <c r="I578"/>
      <c r="J578" s="27"/>
      <c r="K578"/>
    </row>
    <row r="579" spans="2:11" x14ac:dyDescent="0.25">
      <c r="B579"/>
      <c r="C579"/>
      <c r="D579"/>
      <c r="E579"/>
      <c r="F579"/>
      <c r="G579"/>
      <c r="H579"/>
      <c r="I579"/>
      <c r="J579" s="27"/>
      <c r="K579"/>
    </row>
    <row r="580" spans="2:11" x14ac:dyDescent="0.25">
      <c r="B580"/>
      <c r="C580"/>
      <c r="D580"/>
      <c r="E580"/>
      <c r="F580"/>
      <c r="G580"/>
      <c r="H580"/>
      <c r="I580"/>
      <c r="J580" s="27"/>
      <c r="K580"/>
    </row>
    <row r="581" spans="2:11" x14ac:dyDescent="0.25">
      <c r="B581"/>
      <c r="C581"/>
      <c r="D581"/>
      <c r="E581"/>
      <c r="F581"/>
      <c r="G581"/>
      <c r="H581"/>
      <c r="I581"/>
      <c r="J581" s="27"/>
      <c r="K581"/>
    </row>
    <row r="582" spans="2:11" x14ac:dyDescent="0.25">
      <c r="B582"/>
      <c r="C582"/>
      <c r="D582"/>
      <c r="E582"/>
      <c r="F582"/>
      <c r="G582"/>
      <c r="H582"/>
      <c r="I582"/>
      <c r="J582" s="27"/>
      <c r="K582"/>
    </row>
    <row r="583" spans="2:11" x14ac:dyDescent="0.25">
      <c r="B583"/>
      <c r="C583"/>
      <c r="D583"/>
      <c r="E583"/>
      <c r="F583"/>
      <c r="G583"/>
      <c r="H583"/>
      <c r="I583"/>
      <c r="J583" s="27"/>
      <c r="K583"/>
    </row>
    <row r="584" spans="2:11" x14ac:dyDescent="0.25">
      <c r="B584"/>
      <c r="C584"/>
      <c r="D584"/>
      <c r="E584"/>
      <c r="F584"/>
      <c r="G584"/>
      <c r="H584"/>
      <c r="I584"/>
      <c r="J584" s="27"/>
      <c r="K584"/>
    </row>
    <row r="585" spans="2:11" x14ac:dyDescent="0.25">
      <c r="B585"/>
      <c r="C585"/>
      <c r="D585"/>
      <c r="E585"/>
      <c r="F585"/>
      <c r="G585"/>
      <c r="H585"/>
      <c r="I585"/>
      <c r="J585" s="27"/>
      <c r="K585"/>
    </row>
    <row r="586" spans="2:11" x14ac:dyDescent="0.25">
      <c r="B586"/>
      <c r="C586"/>
      <c r="D586"/>
      <c r="E586"/>
      <c r="F586"/>
      <c r="G586"/>
      <c r="H586"/>
      <c r="I586"/>
      <c r="J586" s="27"/>
      <c r="K586"/>
    </row>
    <row r="587" spans="2:11" x14ac:dyDescent="0.25">
      <c r="B587"/>
      <c r="C587"/>
      <c r="D587"/>
      <c r="E587"/>
      <c r="F587"/>
      <c r="G587"/>
      <c r="H587"/>
      <c r="I587"/>
      <c r="J587" s="27"/>
      <c r="K587"/>
    </row>
    <row r="588" spans="2:11" x14ac:dyDescent="0.25">
      <c r="B588"/>
      <c r="C588"/>
      <c r="D588"/>
      <c r="E588"/>
      <c r="F588"/>
      <c r="G588"/>
      <c r="H588"/>
      <c r="I588"/>
      <c r="J588" s="27"/>
      <c r="K588"/>
    </row>
    <row r="589" spans="2:11" x14ac:dyDescent="0.25">
      <c r="B589"/>
      <c r="C589"/>
      <c r="D589"/>
      <c r="E589"/>
      <c r="F589"/>
      <c r="G589"/>
      <c r="H589"/>
      <c r="I589"/>
      <c r="J589" s="27"/>
      <c r="K589"/>
    </row>
    <row r="590" spans="2:11" x14ac:dyDescent="0.25">
      <c r="B590"/>
      <c r="C590"/>
      <c r="D590"/>
      <c r="E590"/>
      <c r="F590"/>
      <c r="G590"/>
      <c r="H590"/>
      <c r="I590"/>
      <c r="J590" s="27"/>
      <c r="K590"/>
    </row>
    <row r="591" spans="2:11" x14ac:dyDescent="0.25">
      <c r="B591"/>
      <c r="C591"/>
      <c r="D591"/>
      <c r="E591"/>
      <c r="F591"/>
      <c r="G591"/>
      <c r="H591"/>
      <c r="I591"/>
      <c r="J591" s="27"/>
      <c r="K591"/>
    </row>
    <row r="592" spans="2:11" x14ac:dyDescent="0.25">
      <c r="B592"/>
      <c r="C592"/>
      <c r="D592"/>
      <c r="E592"/>
      <c r="F592"/>
      <c r="G592"/>
      <c r="H592"/>
      <c r="I592"/>
      <c r="J592" s="27"/>
      <c r="K592"/>
    </row>
    <row r="593" spans="2:11" x14ac:dyDescent="0.25">
      <c r="B593"/>
      <c r="C593"/>
      <c r="D593"/>
      <c r="E593"/>
      <c r="F593"/>
      <c r="G593"/>
      <c r="H593"/>
      <c r="I593"/>
      <c r="J593" s="27"/>
      <c r="K593"/>
    </row>
    <row r="594" spans="2:11" x14ac:dyDescent="0.25">
      <c r="B594"/>
      <c r="C594"/>
      <c r="D594"/>
      <c r="E594"/>
      <c r="F594"/>
      <c r="G594"/>
      <c r="H594"/>
      <c r="I594"/>
      <c r="J594" s="27"/>
      <c r="K594"/>
    </row>
    <row r="595" spans="2:11" x14ac:dyDescent="0.25">
      <c r="B595"/>
      <c r="C595"/>
      <c r="D595"/>
      <c r="E595"/>
      <c r="F595"/>
      <c r="G595"/>
      <c r="H595"/>
      <c r="I595"/>
      <c r="J595" s="27"/>
      <c r="K595"/>
    </row>
    <row r="596" spans="2:11" x14ac:dyDescent="0.25">
      <c r="B596"/>
      <c r="C596"/>
      <c r="D596"/>
      <c r="E596"/>
      <c r="F596"/>
      <c r="G596"/>
      <c r="H596"/>
      <c r="I596"/>
      <c r="J596" s="27"/>
      <c r="K596"/>
    </row>
    <row r="597" spans="2:11" x14ac:dyDescent="0.25">
      <c r="B597"/>
      <c r="C597"/>
      <c r="D597"/>
      <c r="E597"/>
      <c r="F597"/>
      <c r="G597"/>
      <c r="H597"/>
      <c r="I597"/>
      <c r="J597" s="27"/>
      <c r="K597"/>
    </row>
    <row r="598" spans="2:11" x14ac:dyDescent="0.25">
      <c r="B598"/>
      <c r="C598"/>
      <c r="D598"/>
      <c r="E598"/>
      <c r="F598"/>
      <c r="G598"/>
      <c r="H598"/>
      <c r="I598"/>
      <c r="J598" s="27"/>
      <c r="K598"/>
    </row>
    <row r="599" spans="2:11" x14ac:dyDescent="0.25">
      <c r="B599"/>
      <c r="C599"/>
      <c r="D599"/>
      <c r="E599"/>
      <c r="F599"/>
      <c r="G599"/>
      <c r="H599"/>
      <c r="I599"/>
      <c r="J599" s="27"/>
      <c r="K599"/>
    </row>
    <row r="600" spans="2:11" x14ac:dyDescent="0.25">
      <c r="B600"/>
      <c r="C600"/>
      <c r="D600"/>
      <c r="E600"/>
      <c r="F600"/>
      <c r="G600"/>
      <c r="H600"/>
      <c r="I600"/>
      <c r="J600" s="27"/>
      <c r="K600"/>
    </row>
    <row r="601" spans="2:11" x14ac:dyDescent="0.25">
      <c r="B601"/>
      <c r="C601"/>
      <c r="D601"/>
      <c r="E601"/>
      <c r="F601"/>
      <c r="G601"/>
      <c r="H601"/>
      <c r="I601"/>
      <c r="J601" s="27"/>
      <c r="K601"/>
    </row>
    <row r="602" spans="2:11" x14ac:dyDescent="0.25">
      <c r="B602"/>
      <c r="C602"/>
      <c r="D602"/>
      <c r="E602"/>
      <c r="F602"/>
      <c r="G602"/>
      <c r="H602"/>
      <c r="I602"/>
      <c r="J602" s="27"/>
      <c r="K602"/>
    </row>
    <row r="603" spans="2:11" x14ac:dyDescent="0.25">
      <c r="B603"/>
      <c r="C603"/>
      <c r="D603"/>
      <c r="E603"/>
      <c r="F603"/>
      <c r="G603"/>
      <c r="H603"/>
      <c r="I603"/>
      <c r="J603" s="27"/>
      <c r="K603"/>
    </row>
    <row r="604" spans="2:11" x14ac:dyDescent="0.25">
      <c r="B604"/>
      <c r="C604"/>
      <c r="D604"/>
      <c r="E604"/>
      <c r="F604"/>
      <c r="G604"/>
      <c r="H604"/>
      <c r="I604"/>
      <c r="J604" s="27"/>
      <c r="K604"/>
    </row>
    <row r="605" spans="2:11" x14ac:dyDescent="0.25">
      <c r="B605"/>
      <c r="C605"/>
      <c r="D605"/>
      <c r="E605"/>
      <c r="F605"/>
      <c r="G605"/>
      <c r="H605"/>
      <c r="I605"/>
      <c r="J605" s="27"/>
      <c r="K605"/>
    </row>
    <row r="606" spans="2:11" x14ac:dyDescent="0.25">
      <c r="B606"/>
      <c r="C606"/>
      <c r="D606"/>
      <c r="E606"/>
      <c r="F606"/>
      <c r="G606"/>
      <c r="H606"/>
      <c r="I606"/>
      <c r="J606" s="27"/>
      <c r="K606"/>
    </row>
    <row r="607" spans="2:11" x14ac:dyDescent="0.25">
      <c r="B607"/>
      <c r="C607"/>
      <c r="D607"/>
      <c r="E607"/>
      <c r="F607"/>
      <c r="G607"/>
      <c r="H607"/>
      <c r="I607"/>
      <c r="J607" s="27"/>
      <c r="K607"/>
    </row>
    <row r="608" spans="2:11" x14ac:dyDescent="0.25">
      <c r="B608"/>
      <c r="C608"/>
      <c r="D608"/>
      <c r="E608"/>
      <c r="F608"/>
      <c r="G608"/>
      <c r="H608"/>
      <c r="I608"/>
      <c r="J608" s="27"/>
      <c r="K608"/>
    </row>
    <row r="609" spans="2:11" x14ac:dyDescent="0.25">
      <c r="B609"/>
      <c r="C609"/>
      <c r="D609"/>
      <c r="E609"/>
      <c r="F609"/>
      <c r="G609"/>
      <c r="H609"/>
      <c r="I609"/>
      <c r="J609" s="27"/>
      <c r="K609"/>
    </row>
    <row r="610" spans="2:11" x14ac:dyDescent="0.25">
      <c r="B610"/>
      <c r="C610"/>
      <c r="D610"/>
      <c r="E610"/>
      <c r="F610"/>
      <c r="G610"/>
      <c r="H610"/>
      <c r="I610"/>
      <c r="J610" s="27"/>
      <c r="K610"/>
    </row>
    <row r="611" spans="2:11" x14ac:dyDescent="0.25">
      <c r="B611"/>
      <c r="C611"/>
      <c r="D611"/>
      <c r="E611"/>
      <c r="F611"/>
      <c r="G611"/>
      <c r="H611"/>
      <c r="I611"/>
      <c r="J611" s="27"/>
      <c r="K611"/>
    </row>
    <row r="612" spans="2:11" x14ac:dyDescent="0.25">
      <c r="B612"/>
      <c r="C612"/>
      <c r="D612"/>
      <c r="E612"/>
      <c r="F612"/>
      <c r="G612"/>
      <c r="H612"/>
      <c r="I612"/>
      <c r="J612" s="27"/>
      <c r="K612"/>
    </row>
    <row r="613" spans="2:11" x14ac:dyDescent="0.25">
      <c r="B613"/>
      <c r="C613"/>
      <c r="D613"/>
      <c r="E613"/>
      <c r="F613"/>
      <c r="G613"/>
      <c r="H613"/>
      <c r="I613"/>
      <c r="J613" s="27"/>
      <c r="K613"/>
    </row>
    <row r="614" spans="2:11" x14ac:dyDescent="0.25">
      <c r="B614"/>
      <c r="C614"/>
      <c r="D614"/>
      <c r="E614"/>
      <c r="F614"/>
      <c r="G614"/>
      <c r="H614"/>
      <c r="I614"/>
      <c r="J614" s="27"/>
      <c r="K614"/>
    </row>
    <row r="615" spans="2:11" x14ac:dyDescent="0.25">
      <c r="B615"/>
      <c r="C615"/>
      <c r="D615"/>
      <c r="E615"/>
      <c r="F615"/>
      <c r="G615"/>
      <c r="H615"/>
      <c r="I615"/>
      <c r="J615" s="27"/>
      <c r="K615"/>
    </row>
    <row r="616" spans="2:11" x14ac:dyDescent="0.25">
      <c r="B616"/>
      <c r="C616"/>
      <c r="D616"/>
      <c r="E616"/>
      <c r="F616"/>
      <c r="G616"/>
      <c r="H616"/>
      <c r="I616"/>
      <c r="J616" s="27"/>
      <c r="K616"/>
    </row>
    <row r="617" spans="2:11" x14ac:dyDescent="0.25">
      <c r="B617"/>
      <c r="C617"/>
      <c r="D617"/>
      <c r="E617"/>
      <c r="F617"/>
      <c r="G617"/>
      <c r="H617"/>
      <c r="I617"/>
      <c r="J617" s="27"/>
      <c r="K617"/>
    </row>
    <row r="618" spans="2:11" x14ac:dyDescent="0.25">
      <c r="B618"/>
      <c r="C618"/>
      <c r="D618"/>
      <c r="E618"/>
      <c r="F618"/>
      <c r="G618"/>
      <c r="H618"/>
      <c r="I618"/>
      <c r="J618" s="27"/>
      <c r="K618"/>
    </row>
    <row r="619" spans="2:11" x14ac:dyDescent="0.25">
      <c r="B619"/>
      <c r="C619"/>
      <c r="D619"/>
      <c r="E619"/>
      <c r="F619"/>
      <c r="G619"/>
      <c r="H619"/>
      <c r="I619"/>
      <c r="J619" s="27"/>
      <c r="K619"/>
    </row>
    <row r="620" spans="2:11" x14ac:dyDescent="0.25">
      <c r="B620"/>
      <c r="C620"/>
      <c r="D620"/>
      <c r="E620"/>
      <c r="F620"/>
      <c r="G620"/>
      <c r="H620"/>
      <c r="I620"/>
      <c r="J620" s="27"/>
      <c r="K620"/>
    </row>
    <row r="621" spans="2:11" x14ac:dyDescent="0.25">
      <c r="B621"/>
      <c r="C621"/>
      <c r="D621"/>
      <c r="E621"/>
      <c r="F621"/>
      <c r="G621"/>
      <c r="H621"/>
      <c r="I621"/>
      <c r="J621" s="27"/>
      <c r="K621"/>
    </row>
    <row r="622" spans="2:11" x14ac:dyDescent="0.25">
      <c r="B622"/>
      <c r="C622"/>
      <c r="D622"/>
      <c r="E622"/>
      <c r="F622"/>
      <c r="G622"/>
      <c r="H622"/>
      <c r="I622"/>
      <c r="J622" s="27"/>
      <c r="K622"/>
    </row>
    <row r="623" spans="2:11" x14ac:dyDescent="0.25">
      <c r="B623"/>
      <c r="C623"/>
      <c r="D623"/>
      <c r="E623"/>
      <c r="F623"/>
      <c r="G623"/>
      <c r="H623"/>
      <c r="I623"/>
      <c r="J623" s="27"/>
      <c r="K623"/>
    </row>
    <row r="624" spans="2:11" x14ac:dyDescent="0.25">
      <c r="B624"/>
      <c r="C624"/>
      <c r="D624"/>
      <c r="E624"/>
      <c r="F624"/>
      <c r="G624"/>
      <c r="H624"/>
      <c r="I624"/>
      <c r="J624" s="27"/>
      <c r="K624"/>
    </row>
    <row r="625" spans="2:11" x14ac:dyDescent="0.25">
      <c r="B625"/>
      <c r="C625"/>
      <c r="D625"/>
      <c r="E625"/>
      <c r="F625"/>
      <c r="G625"/>
      <c r="H625"/>
      <c r="I625"/>
      <c r="J625" s="27"/>
      <c r="K625"/>
    </row>
    <row r="626" spans="2:11" x14ac:dyDescent="0.25">
      <c r="B626"/>
      <c r="C626"/>
      <c r="D626"/>
      <c r="E626"/>
      <c r="F626"/>
      <c r="G626"/>
      <c r="H626"/>
      <c r="I626"/>
      <c r="J626" s="27"/>
      <c r="K626"/>
    </row>
    <row r="627" spans="2:11" x14ac:dyDescent="0.25">
      <c r="B627"/>
      <c r="C627"/>
      <c r="D627"/>
      <c r="E627"/>
      <c r="F627"/>
      <c r="G627"/>
      <c r="H627"/>
      <c r="I627"/>
      <c r="J627" s="27"/>
      <c r="K627"/>
    </row>
    <row r="628" spans="2:11" x14ac:dyDescent="0.25">
      <c r="B628"/>
      <c r="C628"/>
      <c r="D628"/>
      <c r="E628"/>
      <c r="F628"/>
      <c r="G628"/>
      <c r="H628"/>
      <c r="I628"/>
      <c r="J628" s="27"/>
      <c r="K628"/>
    </row>
    <row r="629" spans="2:11" x14ac:dyDescent="0.25">
      <c r="B629"/>
      <c r="C629"/>
      <c r="D629"/>
      <c r="E629"/>
      <c r="F629"/>
      <c r="G629"/>
      <c r="H629"/>
      <c r="I629"/>
      <c r="J629" s="27"/>
      <c r="K629"/>
    </row>
    <row r="630" spans="2:11" x14ac:dyDescent="0.25">
      <c r="B630"/>
      <c r="C630"/>
      <c r="D630"/>
      <c r="E630"/>
      <c r="F630"/>
      <c r="G630"/>
      <c r="H630"/>
      <c r="I630"/>
      <c r="J630" s="27"/>
      <c r="K630"/>
    </row>
    <row r="631" spans="2:11" x14ac:dyDescent="0.25">
      <c r="B631"/>
      <c r="C631"/>
      <c r="D631"/>
      <c r="E631"/>
      <c r="F631"/>
      <c r="G631"/>
      <c r="H631"/>
      <c r="I631"/>
      <c r="J631" s="27"/>
      <c r="K631"/>
    </row>
    <row r="632" spans="2:11" x14ac:dyDescent="0.25">
      <c r="B632"/>
      <c r="C632"/>
      <c r="D632"/>
      <c r="E632"/>
      <c r="F632"/>
      <c r="G632"/>
      <c r="H632"/>
      <c r="I632"/>
      <c r="J632" s="27"/>
      <c r="K632"/>
    </row>
    <row r="633" spans="2:11" x14ac:dyDescent="0.25">
      <c r="B633"/>
      <c r="C633"/>
      <c r="D633"/>
      <c r="E633"/>
      <c r="F633"/>
      <c r="G633"/>
      <c r="H633"/>
      <c r="I633"/>
      <c r="J633" s="27"/>
      <c r="K633"/>
    </row>
    <row r="634" spans="2:11" x14ac:dyDescent="0.25">
      <c r="B634"/>
      <c r="C634"/>
      <c r="D634"/>
      <c r="E634"/>
      <c r="F634"/>
      <c r="G634"/>
      <c r="H634"/>
      <c r="I634"/>
      <c r="J634" s="27"/>
      <c r="K634"/>
    </row>
    <row r="635" spans="2:11" x14ac:dyDescent="0.25">
      <c r="B635"/>
      <c r="C635"/>
      <c r="D635"/>
      <c r="E635"/>
      <c r="F635"/>
      <c r="G635"/>
      <c r="H635"/>
      <c r="I635"/>
      <c r="J635" s="27"/>
      <c r="K635"/>
    </row>
    <row r="636" spans="2:11" x14ac:dyDescent="0.25">
      <c r="B636"/>
      <c r="C636"/>
      <c r="D636"/>
      <c r="E636"/>
      <c r="F636"/>
      <c r="G636"/>
      <c r="H636"/>
      <c r="I636"/>
      <c r="J636" s="27"/>
      <c r="K636"/>
    </row>
    <row r="637" spans="2:11" x14ac:dyDescent="0.25">
      <c r="B637"/>
      <c r="C637"/>
      <c r="D637"/>
      <c r="E637"/>
      <c r="F637"/>
      <c r="G637"/>
      <c r="H637"/>
      <c r="I637"/>
      <c r="J637" s="27"/>
      <c r="K637"/>
    </row>
    <row r="638" spans="2:11" x14ac:dyDescent="0.25">
      <c r="B638"/>
      <c r="C638"/>
      <c r="D638"/>
      <c r="E638"/>
      <c r="F638"/>
      <c r="G638"/>
      <c r="H638"/>
      <c r="I638"/>
      <c r="J638" s="27"/>
      <c r="K638"/>
    </row>
    <row r="639" spans="2:11" x14ac:dyDescent="0.25">
      <c r="B639"/>
      <c r="C639"/>
      <c r="D639"/>
      <c r="E639"/>
      <c r="F639"/>
      <c r="G639"/>
      <c r="H639"/>
      <c r="I639"/>
      <c r="J639" s="27"/>
      <c r="K639"/>
    </row>
    <row r="640" spans="2:11" x14ac:dyDescent="0.25">
      <c r="B640"/>
      <c r="C640"/>
      <c r="D640"/>
      <c r="E640"/>
      <c r="F640"/>
      <c r="G640"/>
      <c r="H640"/>
      <c r="I640"/>
      <c r="J640" s="27"/>
      <c r="K640"/>
    </row>
    <row r="641" spans="2:11" x14ac:dyDescent="0.25">
      <c r="B641"/>
      <c r="C641"/>
      <c r="D641"/>
      <c r="E641"/>
      <c r="F641"/>
      <c r="G641"/>
      <c r="H641"/>
      <c r="I641"/>
      <c r="J641" s="27"/>
      <c r="K641"/>
    </row>
    <row r="642" spans="2:11" x14ac:dyDescent="0.25">
      <c r="B642"/>
      <c r="C642"/>
      <c r="D642"/>
      <c r="E642"/>
      <c r="F642"/>
      <c r="G642"/>
      <c r="H642"/>
      <c r="I642"/>
      <c r="J642" s="27"/>
      <c r="K642"/>
    </row>
    <row r="643" spans="2:11" x14ac:dyDescent="0.25">
      <c r="B643"/>
      <c r="C643"/>
      <c r="D643"/>
      <c r="E643"/>
      <c r="F643"/>
      <c r="G643"/>
      <c r="H643"/>
      <c r="I643"/>
      <c r="J643" s="27"/>
      <c r="K643"/>
    </row>
    <row r="644" spans="2:11" x14ac:dyDescent="0.25">
      <c r="B644"/>
      <c r="C644"/>
      <c r="D644"/>
      <c r="E644"/>
      <c r="F644"/>
      <c r="G644"/>
      <c r="H644"/>
      <c r="I644"/>
      <c r="J644" s="27"/>
      <c r="K644"/>
    </row>
    <row r="645" spans="2:11" x14ac:dyDescent="0.25">
      <c r="B645"/>
      <c r="C645"/>
      <c r="D645"/>
      <c r="E645"/>
      <c r="F645"/>
      <c r="G645"/>
      <c r="H645"/>
      <c r="I645"/>
      <c r="J645" s="27"/>
      <c r="K645"/>
    </row>
    <row r="646" spans="2:11" x14ac:dyDescent="0.25">
      <c r="B646"/>
      <c r="C646"/>
      <c r="D646"/>
      <c r="E646"/>
      <c r="F646"/>
      <c r="G646"/>
      <c r="H646"/>
      <c r="I646"/>
      <c r="J646" s="27"/>
      <c r="K646"/>
    </row>
    <row r="647" spans="2:11" x14ac:dyDescent="0.25">
      <c r="B647"/>
      <c r="C647"/>
      <c r="D647"/>
      <c r="E647"/>
      <c r="F647"/>
      <c r="G647"/>
      <c r="H647"/>
      <c r="I647"/>
      <c r="J647" s="27"/>
      <c r="K647"/>
    </row>
    <row r="648" spans="2:11" x14ac:dyDescent="0.25">
      <c r="B648"/>
      <c r="C648"/>
      <c r="D648"/>
      <c r="E648"/>
      <c r="F648"/>
      <c r="G648"/>
      <c r="H648"/>
      <c r="I648"/>
      <c r="J648" s="27"/>
      <c r="K648"/>
    </row>
    <row r="649" spans="2:11" x14ac:dyDescent="0.25">
      <c r="B649"/>
      <c r="C649"/>
      <c r="D649"/>
      <c r="E649"/>
      <c r="F649"/>
      <c r="G649"/>
      <c r="H649"/>
      <c r="I649"/>
      <c r="J649" s="27"/>
      <c r="K649"/>
    </row>
    <row r="650" spans="2:11" x14ac:dyDescent="0.25">
      <c r="B650"/>
      <c r="C650"/>
      <c r="D650"/>
      <c r="E650"/>
      <c r="F650"/>
      <c r="G650"/>
      <c r="H650"/>
      <c r="I650"/>
      <c r="J650" s="27"/>
      <c r="K650"/>
    </row>
    <row r="651" spans="2:11" x14ac:dyDescent="0.25">
      <c r="B651"/>
      <c r="C651"/>
      <c r="D651"/>
      <c r="E651"/>
      <c r="F651"/>
      <c r="G651"/>
      <c r="H651"/>
      <c r="I651"/>
      <c r="J651" s="27"/>
      <c r="K651"/>
    </row>
    <row r="652" spans="2:11" x14ac:dyDescent="0.25">
      <c r="B652"/>
      <c r="C652"/>
      <c r="D652"/>
      <c r="E652"/>
      <c r="F652"/>
      <c r="G652"/>
      <c r="H652"/>
      <c r="I652"/>
      <c r="J652" s="27"/>
      <c r="K652"/>
    </row>
    <row r="653" spans="2:11" x14ac:dyDescent="0.25">
      <c r="B653"/>
      <c r="C653"/>
      <c r="D653"/>
      <c r="E653"/>
      <c r="F653"/>
      <c r="G653"/>
      <c r="H653"/>
      <c r="I653"/>
      <c r="J653" s="27"/>
      <c r="K653"/>
    </row>
    <row r="654" spans="2:11" x14ac:dyDescent="0.25">
      <c r="B654"/>
      <c r="C654"/>
      <c r="D654"/>
      <c r="E654"/>
      <c r="F654"/>
      <c r="G654"/>
      <c r="H654"/>
      <c r="I654"/>
      <c r="J654" s="27"/>
      <c r="K654"/>
    </row>
    <row r="655" spans="2:11" x14ac:dyDescent="0.25">
      <c r="B655"/>
      <c r="C655"/>
      <c r="D655"/>
      <c r="E655"/>
      <c r="F655"/>
      <c r="G655"/>
      <c r="H655"/>
      <c r="I655"/>
      <c r="J655" s="27"/>
      <c r="K655"/>
    </row>
    <row r="656" spans="2:11" x14ac:dyDescent="0.25">
      <c r="B656"/>
      <c r="C656"/>
      <c r="D656"/>
      <c r="E656"/>
      <c r="F656"/>
      <c r="G656"/>
      <c r="H656"/>
      <c r="I656"/>
      <c r="J656" s="27"/>
      <c r="K656"/>
    </row>
    <row r="657" spans="2:11" x14ac:dyDescent="0.25">
      <c r="B657"/>
      <c r="C657"/>
      <c r="D657"/>
      <c r="E657"/>
      <c r="F657"/>
      <c r="G657"/>
      <c r="H657"/>
      <c r="I657"/>
      <c r="J657" s="27"/>
      <c r="K657"/>
    </row>
    <row r="658" spans="2:11" x14ac:dyDescent="0.25">
      <c r="B658"/>
      <c r="C658"/>
      <c r="D658"/>
      <c r="E658"/>
      <c r="F658"/>
      <c r="G658"/>
      <c r="H658"/>
      <c r="I658"/>
      <c r="J658" s="27"/>
      <c r="K658"/>
    </row>
    <row r="659" spans="2:11" x14ac:dyDescent="0.25">
      <c r="B659"/>
      <c r="C659"/>
      <c r="D659"/>
      <c r="E659"/>
      <c r="F659"/>
      <c r="G659"/>
      <c r="H659"/>
      <c r="I659"/>
      <c r="J659" s="27"/>
      <c r="K659"/>
    </row>
    <row r="660" spans="2:11" x14ac:dyDescent="0.25">
      <c r="B660"/>
      <c r="C660"/>
      <c r="D660"/>
      <c r="E660"/>
      <c r="F660"/>
      <c r="G660"/>
      <c r="H660"/>
      <c r="I660"/>
      <c r="J660" s="27"/>
      <c r="K660"/>
    </row>
    <row r="661" spans="2:11" x14ac:dyDescent="0.25">
      <c r="B661"/>
      <c r="C661"/>
      <c r="D661"/>
      <c r="E661"/>
      <c r="F661"/>
      <c r="G661"/>
      <c r="H661"/>
      <c r="I661"/>
      <c r="J661" s="27"/>
      <c r="K661"/>
    </row>
    <row r="662" spans="2:11" x14ac:dyDescent="0.25">
      <c r="B662"/>
      <c r="C662"/>
      <c r="D662"/>
      <c r="E662"/>
      <c r="F662"/>
      <c r="G662"/>
      <c r="H662"/>
      <c r="I662"/>
      <c r="J662" s="27"/>
      <c r="K662"/>
    </row>
    <row r="663" spans="2:11" x14ac:dyDescent="0.25">
      <c r="B663"/>
      <c r="C663"/>
      <c r="D663"/>
      <c r="E663"/>
      <c r="F663"/>
      <c r="G663"/>
      <c r="H663"/>
      <c r="I663"/>
      <c r="J663" s="27"/>
      <c r="K663"/>
    </row>
    <row r="664" spans="2:11" x14ac:dyDescent="0.25">
      <c r="B664"/>
      <c r="C664"/>
      <c r="D664"/>
      <c r="E664"/>
      <c r="F664"/>
      <c r="G664"/>
      <c r="H664"/>
      <c r="I664"/>
      <c r="J664" s="27"/>
      <c r="K664"/>
    </row>
    <row r="665" spans="2:11" x14ac:dyDescent="0.25">
      <c r="B665"/>
      <c r="C665"/>
      <c r="D665"/>
      <c r="E665"/>
      <c r="F665"/>
      <c r="G665"/>
      <c r="H665"/>
      <c r="I665"/>
      <c r="J665" s="27"/>
      <c r="K665"/>
    </row>
    <row r="666" spans="2:11" x14ac:dyDescent="0.25">
      <c r="B666"/>
      <c r="C666"/>
      <c r="D666"/>
      <c r="E666"/>
      <c r="F666"/>
      <c r="G666"/>
      <c r="H666"/>
      <c r="I666"/>
      <c r="J666" s="27"/>
      <c r="K666"/>
    </row>
    <row r="667" spans="2:11" x14ac:dyDescent="0.25">
      <c r="B667"/>
      <c r="C667"/>
      <c r="D667"/>
      <c r="E667"/>
      <c r="F667"/>
      <c r="G667"/>
      <c r="H667"/>
      <c r="I667"/>
      <c r="J667" s="27"/>
      <c r="K667"/>
    </row>
    <row r="668" spans="2:11" x14ac:dyDescent="0.25">
      <c r="B668"/>
      <c r="C668"/>
      <c r="D668"/>
      <c r="E668"/>
      <c r="F668"/>
      <c r="G668"/>
      <c r="H668"/>
      <c r="I668"/>
      <c r="J668" s="27"/>
      <c r="K668"/>
    </row>
    <row r="669" spans="2:11" x14ac:dyDescent="0.25">
      <c r="B669"/>
      <c r="C669"/>
      <c r="D669"/>
      <c r="E669"/>
      <c r="F669"/>
      <c r="G669"/>
      <c r="H669"/>
      <c r="I669"/>
      <c r="J669" s="27"/>
      <c r="K669"/>
    </row>
    <row r="670" spans="2:11" x14ac:dyDescent="0.25">
      <c r="B670"/>
      <c r="C670"/>
      <c r="D670"/>
      <c r="E670"/>
      <c r="F670"/>
      <c r="G670"/>
      <c r="H670"/>
      <c r="I670"/>
      <c r="J670" s="27"/>
      <c r="K670"/>
    </row>
    <row r="671" spans="2:11" x14ac:dyDescent="0.25">
      <c r="B671"/>
      <c r="C671"/>
      <c r="D671"/>
      <c r="E671"/>
      <c r="F671"/>
      <c r="G671"/>
      <c r="H671"/>
      <c r="I671"/>
      <c r="J671" s="27"/>
      <c r="K671"/>
    </row>
    <row r="672" spans="2:11" x14ac:dyDescent="0.25">
      <c r="B672"/>
      <c r="C672"/>
      <c r="D672"/>
      <c r="E672"/>
      <c r="F672"/>
      <c r="G672"/>
      <c r="H672"/>
      <c r="I672"/>
      <c r="J672" s="27"/>
      <c r="K672"/>
    </row>
    <row r="673" spans="2:11" x14ac:dyDescent="0.25">
      <c r="B673"/>
      <c r="C673"/>
      <c r="D673"/>
      <c r="E673"/>
      <c r="F673"/>
      <c r="G673"/>
      <c r="H673"/>
      <c r="I673"/>
      <c r="J673" s="27"/>
      <c r="K673"/>
    </row>
    <row r="674" spans="2:11" x14ac:dyDescent="0.25">
      <c r="B674"/>
      <c r="C674"/>
      <c r="D674"/>
      <c r="E674"/>
      <c r="F674"/>
      <c r="G674"/>
      <c r="H674"/>
      <c r="I674"/>
      <c r="J674" s="27"/>
      <c r="K674"/>
    </row>
    <row r="675" spans="2:11" x14ac:dyDescent="0.25">
      <c r="B675"/>
      <c r="C675"/>
      <c r="D675"/>
      <c r="E675"/>
      <c r="F675"/>
      <c r="G675"/>
      <c r="H675"/>
      <c r="I675"/>
      <c r="J675" s="27"/>
      <c r="K675"/>
    </row>
    <row r="676" spans="2:11" x14ac:dyDescent="0.25">
      <c r="B676"/>
      <c r="C676"/>
      <c r="D676"/>
      <c r="E676"/>
      <c r="F676"/>
      <c r="G676"/>
      <c r="H676"/>
      <c r="I676"/>
      <c r="J676" s="27"/>
      <c r="K676"/>
    </row>
    <row r="677" spans="2:11" x14ac:dyDescent="0.25">
      <c r="B677"/>
      <c r="C677"/>
      <c r="D677"/>
      <c r="E677"/>
      <c r="F677"/>
      <c r="G677"/>
      <c r="H677"/>
      <c r="I677"/>
      <c r="J677" s="27"/>
      <c r="K677"/>
    </row>
    <row r="678" spans="2:11" x14ac:dyDescent="0.25">
      <c r="B678"/>
      <c r="C678"/>
      <c r="D678"/>
      <c r="E678"/>
      <c r="F678"/>
      <c r="G678"/>
      <c r="H678"/>
      <c r="I678"/>
      <c r="J678" s="27"/>
      <c r="K678"/>
    </row>
    <row r="679" spans="2:11" x14ac:dyDescent="0.25">
      <c r="B679"/>
      <c r="C679"/>
      <c r="D679"/>
      <c r="E679"/>
      <c r="F679"/>
      <c r="G679"/>
      <c r="H679"/>
      <c r="I679"/>
      <c r="J679" s="27"/>
      <c r="K679"/>
    </row>
    <row r="680" spans="2:11" x14ac:dyDescent="0.25">
      <c r="B680"/>
      <c r="C680"/>
      <c r="D680"/>
      <c r="E680"/>
      <c r="F680"/>
      <c r="G680"/>
      <c r="H680"/>
      <c r="I680"/>
      <c r="J680" s="27"/>
      <c r="K680"/>
    </row>
    <row r="681" spans="2:11" x14ac:dyDescent="0.25">
      <c r="B681"/>
      <c r="C681"/>
      <c r="D681"/>
      <c r="E681"/>
      <c r="F681"/>
      <c r="G681"/>
      <c r="H681"/>
      <c r="I681"/>
      <c r="J681" s="27"/>
      <c r="K681"/>
    </row>
    <row r="682" spans="2:11" x14ac:dyDescent="0.25">
      <c r="B682"/>
      <c r="C682"/>
      <c r="D682"/>
      <c r="E682"/>
      <c r="F682"/>
      <c r="G682"/>
      <c r="H682"/>
      <c r="I682"/>
      <c r="J682" s="27"/>
      <c r="K682"/>
    </row>
    <row r="683" spans="2:11" x14ac:dyDescent="0.25">
      <c r="B683"/>
      <c r="C683"/>
      <c r="D683"/>
      <c r="E683"/>
      <c r="F683"/>
      <c r="G683"/>
      <c r="H683"/>
      <c r="I683"/>
      <c r="J683" s="27"/>
      <c r="K683"/>
    </row>
    <row r="684" spans="2:11" x14ac:dyDescent="0.25">
      <c r="B684"/>
      <c r="C684"/>
      <c r="D684"/>
      <c r="E684"/>
      <c r="F684"/>
      <c r="G684"/>
      <c r="H684"/>
      <c r="I684"/>
      <c r="J684" s="27"/>
      <c r="K684"/>
    </row>
    <row r="685" spans="2:11" x14ac:dyDescent="0.25">
      <c r="B685"/>
      <c r="C685"/>
      <c r="D685"/>
      <c r="E685"/>
      <c r="F685"/>
      <c r="G685"/>
      <c r="H685"/>
      <c r="I685"/>
      <c r="J685" s="27"/>
      <c r="K685"/>
    </row>
    <row r="686" spans="2:11" x14ac:dyDescent="0.25">
      <c r="B686"/>
      <c r="C686"/>
      <c r="D686"/>
      <c r="E686"/>
      <c r="F686"/>
      <c r="G686"/>
      <c r="H686"/>
      <c r="I686"/>
      <c r="J686" s="27"/>
      <c r="K686"/>
    </row>
    <row r="687" spans="2:11" x14ac:dyDescent="0.25">
      <c r="B687"/>
      <c r="C687"/>
      <c r="D687"/>
      <c r="E687"/>
      <c r="F687"/>
      <c r="G687"/>
      <c r="H687"/>
      <c r="I687"/>
      <c r="J687" s="27"/>
      <c r="K687"/>
    </row>
    <row r="688" spans="2:11" x14ac:dyDescent="0.25">
      <c r="B688"/>
      <c r="C688"/>
      <c r="D688"/>
      <c r="E688"/>
      <c r="F688"/>
      <c r="G688"/>
      <c r="H688"/>
      <c r="I688"/>
      <c r="J688" s="27"/>
      <c r="K688"/>
    </row>
    <row r="689" spans="2:11" x14ac:dyDescent="0.25">
      <c r="B689"/>
      <c r="C689"/>
      <c r="D689"/>
      <c r="E689"/>
      <c r="F689"/>
      <c r="G689"/>
      <c r="H689"/>
      <c r="I689"/>
      <c r="J689" s="27"/>
      <c r="K689"/>
    </row>
    <row r="690" spans="2:11" x14ac:dyDescent="0.25">
      <c r="B690"/>
      <c r="C690"/>
      <c r="D690"/>
      <c r="E690"/>
      <c r="F690"/>
      <c r="G690"/>
      <c r="H690"/>
      <c r="I690"/>
      <c r="J690" s="27"/>
      <c r="K690"/>
    </row>
    <row r="691" spans="2:11" x14ac:dyDescent="0.25">
      <c r="B691"/>
      <c r="C691"/>
      <c r="D691"/>
      <c r="E691"/>
      <c r="F691"/>
      <c r="G691"/>
      <c r="H691"/>
      <c r="I691"/>
      <c r="J691" s="27"/>
      <c r="K691"/>
    </row>
    <row r="692" spans="2:11" x14ac:dyDescent="0.25">
      <c r="B692"/>
      <c r="C692"/>
      <c r="D692"/>
      <c r="E692"/>
      <c r="F692"/>
      <c r="G692"/>
      <c r="H692"/>
      <c r="I692"/>
      <c r="J692" s="27"/>
      <c r="K692"/>
    </row>
    <row r="693" spans="2:11" x14ac:dyDescent="0.25">
      <c r="B693"/>
      <c r="C693"/>
      <c r="D693"/>
      <c r="E693"/>
      <c r="F693"/>
      <c r="G693"/>
      <c r="H693"/>
      <c r="I693"/>
      <c r="J693" s="27"/>
      <c r="K693"/>
    </row>
    <row r="694" spans="2:11" x14ac:dyDescent="0.25">
      <c r="B694"/>
      <c r="C694"/>
      <c r="D694"/>
      <c r="E694"/>
      <c r="F694"/>
      <c r="G694"/>
      <c r="H694"/>
      <c r="I694"/>
      <c r="J694" s="27"/>
      <c r="K694"/>
    </row>
    <row r="695" spans="2:11" x14ac:dyDescent="0.25">
      <c r="B695"/>
      <c r="C695"/>
      <c r="D695"/>
      <c r="E695"/>
      <c r="F695"/>
      <c r="G695"/>
      <c r="H695"/>
      <c r="I695"/>
      <c r="J695" s="27"/>
      <c r="K695"/>
    </row>
    <row r="696" spans="2:11" x14ac:dyDescent="0.25">
      <c r="B696"/>
      <c r="C696"/>
      <c r="D696"/>
      <c r="E696"/>
      <c r="F696"/>
      <c r="G696"/>
      <c r="H696"/>
      <c r="I696"/>
      <c r="J696" s="27"/>
      <c r="K696"/>
    </row>
    <row r="697" spans="2:11" x14ac:dyDescent="0.25">
      <c r="B697"/>
      <c r="C697"/>
      <c r="D697"/>
      <c r="E697"/>
      <c r="F697"/>
      <c r="G697"/>
      <c r="H697"/>
      <c r="I697"/>
      <c r="J697" s="27"/>
      <c r="K697"/>
    </row>
    <row r="698" spans="2:11" x14ac:dyDescent="0.25">
      <c r="B698"/>
      <c r="C698"/>
      <c r="D698"/>
      <c r="E698"/>
      <c r="F698"/>
      <c r="G698"/>
      <c r="H698"/>
      <c r="I698"/>
      <c r="J698" s="27"/>
      <c r="K698"/>
    </row>
    <row r="699" spans="2:11" x14ac:dyDescent="0.25">
      <c r="B699"/>
      <c r="C699"/>
      <c r="D699"/>
      <c r="E699"/>
      <c r="F699"/>
      <c r="G699"/>
      <c r="H699"/>
      <c r="I699"/>
      <c r="J699" s="27"/>
      <c r="K699"/>
    </row>
    <row r="700" spans="2:11" x14ac:dyDescent="0.25">
      <c r="B700"/>
      <c r="C700"/>
      <c r="D700"/>
      <c r="E700"/>
      <c r="F700"/>
      <c r="G700"/>
      <c r="H700"/>
      <c r="I700"/>
      <c r="J700" s="27"/>
      <c r="K700"/>
    </row>
    <row r="701" spans="2:11" x14ac:dyDescent="0.25">
      <c r="B701"/>
      <c r="C701"/>
      <c r="D701"/>
      <c r="E701"/>
      <c r="F701"/>
      <c r="G701"/>
      <c r="H701"/>
      <c r="I701"/>
      <c r="J701" s="27"/>
      <c r="K701"/>
    </row>
    <row r="702" spans="2:11" x14ac:dyDescent="0.25">
      <c r="B702"/>
      <c r="C702"/>
      <c r="D702"/>
      <c r="E702"/>
      <c r="F702"/>
      <c r="G702"/>
      <c r="H702"/>
      <c r="I702"/>
      <c r="J702" s="27"/>
      <c r="K702"/>
    </row>
    <row r="703" spans="2:11" x14ac:dyDescent="0.25">
      <c r="B703"/>
      <c r="C703"/>
      <c r="D703"/>
      <c r="E703"/>
      <c r="F703"/>
      <c r="G703"/>
      <c r="H703"/>
      <c r="I703"/>
      <c r="J703" s="27"/>
      <c r="K703"/>
    </row>
    <row r="704" spans="2:11" x14ac:dyDescent="0.25">
      <c r="B704"/>
      <c r="C704"/>
      <c r="D704"/>
      <c r="E704"/>
      <c r="F704"/>
      <c r="G704"/>
      <c r="H704"/>
      <c r="I704"/>
      <c r="J704" s="27"/>
      <c r="K704"/>
    </row>
    <row r="705" spans="2:11" x14ac:dyDescent="0.25">
      <c r="B705"/>
      <c r="C705"/>
      <c r="D705"/>
      <c r="E705"/>
      <c r="F705"/>
      <c r="G705"/>
      <c r="H705"/>
      <c r="I705"/>
      <c r="J705" s="27"/>
      <c r="K705"/>
    </row>
    <row r="706" spans="2:11" x14ac:dyDescent="0.25">
      <c r="B706"/>
      <c r="C706"/>
      <c r="D706"/>
      <c r="E706"/>
      <c r="F706"/>
      <c r="G706"/>
      <c r="H706"/>
      <c r="I706"/>
      <c r="J706" s="27"/>
      <c r="K706"/>
    </row>
    <row r="707" spans="2:11" x14ac:dyDescent="0.25">
      <c r="B707"/>
      <c r="C707"/>
      <c r="D707"/>
      <c r="E707"/>
      <c r="F707"/>
      <c r="G707"/>
      <c r="H707"/>
      <c r="I707"/>
      <c r="J707" s="27"/>
      <c r="K707"/>
    </row>
    <row r="708" spans="2:11" x14ac:dyDescent="0.25">
      <c r="B708"/>
      <c r="C708"/>
      <c r="D708"/>
      <c r="E708"/>
      <c r="F708"/>
      <c r="G708"/>
      <c r="H708"/>
      <c r="I708"/>
      <c r="J708" s="27"/>
      <c r="K708"/>
    </row>
    <row r="709" spans="2:11" x14ac:dyDescent="0.25">
      <c r="B709"/>
      <c r="C709"/>
      <c r="D709"/>
      <c r="E709"/>
      <c r="F709"/>
      <c r="G709"/>
      <c r="H709"/>
      <c r="I709"/>
      <c r="J709" s="27"/>
      <c r="K709"/>
    </row>
    <row r="710" spans="2:11" x14ac:dyDescent="0.25">
      <c r="B710"/>
      <c r="C710"/>
      <c r="D710"/>
      <c r="E710"/>
      <c r="F710"/>
      <c r="G710"/>
      <c r="H710"/>
      <c r="I710"/>
      <c r="J710" s="27"/>
      <c r="K710"/>
    </row>
    <row r="711" spans="2:11" x14ac:dyDescent="0.25">
      <c r="B711"/>
      <c r="C711"/>
      <c r="D711"/>
      <c r="E711"/>
      <c r="F711"/>
      <c r="G711"/>
      <c r="H711"/>
      <c r="I711"/>
      <c r="J711" s="27"/>
      <c r="K711"/>
    </row>
    <row r="712" spans="2:11" x14ac:dyDescent="0.25">
      <c r="B712"/>
      <c r="C712"/>
      <c r="D712"/>
      <c r="E712"/>
      <c r="F712"/>
      <c r="G712"/>
      <c r="H712"/>
      <c r="I712"/>
      <c r="J712" s="27"/>
      <c r="K712"/>
    </row>
    <row r="713" spans="2:11" x14ac:dyDescent="0.25">
      <c r="B713"/>
      <c r="C713"/>
      <c r="D713"/>
      <c r="E713"/>
      <c r="F713"/>
      <c r="G713"/>
      <c r="H713"/>
      <c r="I713"/>
      <c r="J713" s="27"/>
      <c r="K713"/>
    </row>
    <row r="714" spans="2:11" x14ac:dyDescent="0.25">
      <c r="B714"/>
      <c r="C714"/>
      <c r="D714"/>
      <c r="E714"/>
      <c r="F714"/>
      <c r="G714"/>
      <c r="H714"/>
      <c r="I714"/>
      <c r="J714" s="27"/>
      <c r="K714"/>
    </row>
    <row r="715" spans="2:11" x14ac:dyDescent="0.25">
      <c r="B715"/>
      <c r="C715"/>
      <c r="D715"/>
      <c r="E715"/>
      <c r="F715"/>
      <c r="G715"/>
      <c r="H715"/>
      <c r="I715"/>
      <c r="J715" s="27"/>
      <c r="K715"/>
    </row>
    <row r="716" spans="2:11" x14ac:dyDescent="0.25">
      <c r="B716"/>
      <c r="C716"/>
      <c r="D716"/>
      <c r="E716"/>
      <c r="F716"/>
      <c r="G716"/>
      <c r="H716"/>
      <c r="I716"/>
      <c r="J716" s="27"/>
      <c r="K716"/>
    </row>
    <row r="717" spans="2:11" x14ac:dyDescent="0.25">
      <c r="B717"/>
      <c r="C717"/>
      <c r="D717"/>
      <c r="E717"/>
      <c r="F717"/>
      <c r="G717"/>
      <c r="H717"/>
      <c r="I717"/>
      <c r="J717" s="27"/>
      <c r="K717"/>
    </row>
    <row r="718" spans="2:11" x14ac:dyDescent="0.25">
      <c r="B718"/>
      <c r="C718"/>
      <c r="D718"/>
      <c r="E718"/>
      <c r="F718"/>
      <c r="G718"/>
      <c r="H718"/>
      <c r="I718"/>
      <c r="J718" s="27"/>
      <c r="K718"/>
    </row>
    <row r="719" spans="2:11" x14ac:dyDescent="0.25">
      <c r="B719"/>
      <c r="C719"/>
      <c r="D719"/>
      <c r="E719"/>
      <c r="F719"/>
      <c r="G719"/>
      <c r="H719"/>
      <c r="I719"/>
      <c r="J719" s="27"/>
      <c r="K719"/>
    </row>
    <row r="720" spans="2:11" x14ac:dyDescent="0.25">
      <c r="B720"/>
      <c r="C720"/>
      <c r="D720"/>
      <c r="E720"/>
      <c r="F720"/>
      <c r="G720"/>
      <c r="H720"/>
      <c r="I720"/>
      <c r="J720" s="27"/>
      <c r="K720"/>
    </row>
    <row r="721" spans="2:11" x14ac:dyDescent="0.25">
      <c r="B721"/>
      <c r="C721"/>
      <c r="D721"/>
      <c r="E721"/>
      <c r="F721"/>
      <c r="G721"/>
      <c r="H721"/>
      <c r="I721"/>
      <c r="J721" s="27"/>
      <c r="K721"/>
    </row>
    <row r="722" spans="2:11" x14ac:dyDescent="0.25">
      <c r="B722"/>
      <c r="C722"/>
      <c r="D722"/>
      <c r="E722"/>
      <c r="F722"/>
      <c r="G722"/>
      <c r="H722"/>
      <c r="I722"/>
      <c r="J722" s="27"/>
      <c r="K722"/>
    </row>
    <row r="723" spans="2:11" x14ac:dyDescent="0.25">
      <c r="B723"/>
      <c r="C723"/>
      <c r="D723"/>
      <c r="E723"/>
      <c r="F723"/>
      <c r="G723"/>
      <c r="H723"/>
      <c r="I723"/>
      <c r="J723" s="27"/>
      <c r="K723"/>
    </row>
    <row r="724" spans="2:11" x14ac:dyDescent="0.25">
      <c r="B724"/>
      <c r="C724"/>
      <c r="D724"/>
      <c r="E724"/>
      <c r="F724"/>
      <c r="G724"/>
      <c r="H724"/>
      <c r="I724"/>
      <c r="J724" s="27"/>
      <c r="K724"/>
    </row>
    <row r="725" spans="2:11" x14ac:dyDescent="0.25">
      <c r="B725"/>
      <c r="C725"/>
      <c r="D725"/>
      <c r="E725"/>
      <c r="F725"/>
      <c r="G725"/>
      <c r="H725"/>
      <c r="I725"/>
      <c r="J725" s="27"/>
      <c r="K725"/>
    </row>
    <row r="726" spans="2:11" x14ac:dyDescent="0.25">
      <c r="B726"/>
      <c r="C726"/>
      <c r="D726"/>
      <c r="E726"/>
      <c r="F726"/>
      <c r="G726"/>
      <c r="H726"/>
      <c r="I726"/>
      <c r="J726" s="27"/>
      <c r="K726"/>
    </row>
    <row r="727" spans="2:11" x14ac:dyDescent="0.25">
      <c r="B727"/>
      <c r="C727"/>
      <c r="D727"/>
      <c r="E727"/>
      <c r="F727"/>
      <c r="G727"/>
      <c r="H727"/>
      <c r="I727"/>
      <c r="J727" s="27"/>
      <c r="K727"/>
    </row>
    <row r="728" spans="2:11" x14ac:dyDescent="0.25">
      <c r="B728"/>
      <c r="C728"/>
      <c r="D728"/>
      <c r="E728"/>
      <c r="F728"/>
      <c r="G728"/>
      <c r="H728"/>
      <c r="I728"/>
      <c r="J728" s="27"/>
      <c r="K728"/>
    </row>
    <row r="729" spans="2:11" x14ac:dyDescent="0.25">
      <c r="B729"/>
      <c r="C729"/>
      <c r="D729"/>
      <c r="E729"/>
      <c r="F729"/>
      <c r="G729"/>
      <c r="H729"/>
      <c r="I729"/>
      <c r="J729" s="27"/>
      <c r="K729"/>
    </row>
    <row r="730" spans="2:11" x14ac:dyDescent="0.25">
      <c r="B730"/>
      <c r="C730"/>
      <c r="D730"/>
      <c r="E730"/>
      <c r="F730"/>
      <c r="G730"/>
      <c r="H730"/>
      <c r="I730"/>
      <c r="J730" s="27"/>
      <c r="K730"/>
    </row>
    <row r="731" spans="2:11" x14ac:dyDescent="0.25">
      <c r="B731"/>
      <c r="C731"/>
      <c r="D731"/>
      <c r="E731"/>
      <c r="F731"/>
      <c r="G731"/>
      <c r="H731"/>
      <c r="I731"/>
      <c r="J731" s="27"/>
      <c r="K731"/>
    </row>
    <row r="732" spans="2:11" x14ac:dyDescent="0.25">
      <c r="B732"/>
      <c r="C732"/>
      <c r="D732"/>
      <c r="E732"/>
      <c r="F732"/>
      <c r="G732"/>
      <c r="H732"/>
      <c r="I732"/>
      <c r="J732" s="27"/>
      <c r="K732"/>
    </row>
    <row r="733" spans="2:11" x14ac:dyDescent="0.25">
      <c r="B733"/>
      <c r="C733"/>
      <c r="D733"/>
      <c r="E733"/>
      <c r="F733"/>
      <c r="G733"/>
      <c r="H733"/>
      <c r="I733"/>
      <c r="J733" s="27"/>
      <c r="K733"/>
    </row>
    <row r="734" spans="2:11" x14ac:dyDescent="0.25">
      <c r="B734"/>
      <c r="C734"/>
      <c r="D734"/>
      <c r="E734"/>
      <c r="F734"/>
      <c r="G734"/>
      <c r="H734"/>
      <c r="I734"/>
      <c r="J734" s="27"/>
      <c r="K734"/>
    </row>
    <row r="735" spans="2:11" x14ac:dyDescent="0.25">
      <c r="B735"/>
      <c r="C735"/>
      <c r="D735"/>
      <c r="E735"/>
      <c r="F735"/>
      <c r="G735"/>
      <c r="H735"/>
      <c r="I735"/>
      <c r="J735" s="27"/>
      <c r="K735"/>
    </row>
    <row r="736" spans="2:11" x14ac:dyDescent="0.25">
      <c r="B736"/>
      <c r="C736"/>
      <c r="D736"/>
      <c r="E736"/>
      <c r="F736"/>
      <c r="G736"/>
      <c r="H736"/>
      <c r="I736"/>
      <c r="J736" s="27"/>
      <c r="K736"/>
    </row>
    <row r="737" spans="2:11" x14ac:dyDescent="0.25">
      <c r="B737"/>
      <c r="C737"/>
      <c r="D737"/>
      <c r="E737"/>
      <c r="F737"/>
      <c r="G737"/>
      <c r="H737"/>
      <c r="I737"/>
      <c r="J737" s="27"/>
      <c r="K737"/>
    </row>
    <row r="738" spans="2:11" x14ac:dyDescent="0.25">
      <c r="B738"/>
      <c r="C738"/>
      <c r="D738"/>
      <c r="E738"/>
      <c r="F738"/>
      <c r="G738"/>
      <c r="H738"/>
      <c r="I738"/>
      <c r="J738" s="27"/>
      <c r="K738"/>
    </row>
    <row r="739" spans="2:11" x14ac:dyDescent="0.25">
      <c r="B739"/>
      <c r="C739"/>
      <c r="D739"/>
      <c r="E739"/>
      <c r="F739"/>
      <c r="G739"/>
      <c r="H739"/>
      <c r="I739"/>
      <c r="J739" s="27"/>
      <c r="K739"/>
    </row>
    <row r="740" spans="2:11" x14ac:dyDescent="0.25">
      <c r="B740"/>
      <c r="C740"/>
      <c r="D740"/>
      <c r="E740"/>
      <c r="F740"/>
      <c r="G740"/>
      <c r="H740"/>
      <c r="I740"/>
      <c r="J740" s="27"/>
      <c r="K740"/>
    </row>
    <row r="741" spans="2:11" x14ac:dyDescent="0.25">
      <c r="B741"/>
      <c r="C741"/>
      <c r="D741"/>
      <c r="E741"/>
      <c r="F741"/>
      <c r="G741"/>
      <c r="H741"/>
      <c r="I741"/>
      <c r="J741" s="27"/>
      <c r="K741"/>
    </row>
    <row r="742" spans="2:11" x14ac:dyDescent="0.25">
      <c r="B742"/>
      <c r="C742"/>
      <c r="D742"/>
      <c r="E742"/>
      <c r="F742"/>
      <c r="G742"/>
      <c r="H742"/>
      <c r="I742"/>
      <c r="J742" s="27"/>
      <c r="K742"/>
    </row>
    <row r="743" spans="2:11" x14ac:dyDescent="0.25">
      <c r="B743"/>
      <c r="C743"/>
      <c r="D743"/>
      <c r="E743"/>
      <c r="F743"/>
      <c r="G743"/>
      <c r="H743"/>
      <c r="I743"/>
      <c r="J743" s="27"/>
      <c r="K743"/>
    </row>
    <row r="744" spans="2:11" x14ac:dyDescent="0.25">
      <c r="B744"/>
      <c r="C744"/>
      <c r="D744"/>
      <c r="E744"/>
      <c r="F744"/>
      <c r="G744"/>
      <c r="H744"/>
      <c r="I744"/>
      <c r="J744" s="27"/>
      <c r="K744"/>
    </row>
    <row r="745" spans="2:11" x14ac:dyDescent="0.25">
      <c r="B745"/>
      <c r="C745"/>
      <c r="D745"/>
      <c r="E745"/>
      <c r="F745"/>
      <c r="G745"/>
      <c r="H745"/>
      <c r="I745"/>
      <c r="J745" s="27"/>
      <c r="K745"/>
    </row>
    <row r="746" spans="2:11" x14ac:dyDescent="0.25">
      <c r="B746"/>
      <c r="C746"/>
      <c r="D746"/>
      <c r="E746"/>
      <c r="F746"/>
      <c r="G746"/>
      <c r="H746"/>
      <c r="I746"/>
      <c r="J746" s="27"/>
      <c r="K746"/>
    </row>
    <row r="747" spans="2:11" x14ac:dyDescent="0.25">
      <c r="B747"/>
      <c r="C747"/>
      <c r="D747"/>
      <c r="E747"/>
      <c r="F747"/>
      <c r="G747"/>
      <c r="H747"/>
      <c r="I747"/>
      <c r="J747" s="27"/>
      <c r="K747"/>
    </row>
    <row r="748" spans="2:11" x14ac:dyDescent="0.25">
      <c r="B748"/>
      <c r="C748"/>
      <c r="D748"/>
      <c r="E748"/>
      <c r="F748"/>
      <c r="G748"/>
      <c r="H748"/>
      <c r="I748"/>
      <c r="J748" s="27"/>
      <c r="K748"/>
    </row>
    <row r="749" spans="2:11" x14ac:dyDescent="0.25">
      <c r="B749"/>
      <c r="C749"/>
      <c r="D749"/>
      <c r="E749"/>
      <c r="F749"/>
      <c r="G749"/>
      <c r="H749"/>
      <c r="I749"/>
      <c r="J749" s="27"/>
      <c r="K749"/>
    </row>
    <row r="750" spans="2:11" x14ac:dyDescent="0.25">
      <c r="B750"/>
      <c r="C750"/>
      <c r="D750"/>
      <c r="E750"/>
      <c r="F750"/>
      <c r="G750"/>
      <c r="H750"/>
      <c r="I750"/>
      <c r="J750" s="27"/>
      <c r="K750"/>
    </row>
    <row r="751" spans="2:11" x14ac:dyDescent="0.25">
      <c r="B751"/>
      <c r="C751"/>
      <c r="D751"/>
      <c r="E751"/>
      <c r="F751"/>
      <c r="G751"/>
      <c r="H751"/>
      <c r="I751"/>
      <c r="J751" s="27"/>
      <c r="K751"/>
    </row>
    <row r="752" spans="2:11" x14ac:dyDescent="0.25">
      <c r="B752"/>
      <c r="C752"/>
      <c r="D752"/>
      <c r="E752"/>
      <c r="F752"/>
      <c r="G752"/>
      <c r="H752"/>
      <c r="I752"/>
      <c r="J752" s="27"/>
      <c r="K752"/>
    </row>
    <row r="753" spans="2:11" x14ac:dyDescent="0.25">
      <c r="B753"/>
      <c r="C753"/>
      <c r="D753"/>
      <c r="E753"/>
      <c r="F753"/>
      <c r="G753"/>
      <c r="H753"/>
      <c r="I753"/>
      <c r="J753" s="27"/>
      <c r="K753"/>
    </row>
    <row r="754" spans="2:11" x14ac:dyDescent="0.25">
      <c r="B754"/>
      <c r="C754"/>
      <c r="D754"/>
      <c r="E754"/>
      <c r="F754"/>
      <c r="G754"/>
      <c r="H754"/>
      <c r="I754"/>
      <c r="J754" s="27"/>
      <c r="K754"/>
    </row>
    <row r="755" spans="2:11" x14ac:dyDescent="0.25">
      <c r="B755"/>
      <c r="C755"/>
      <c r="D755"/>
      <c r="E755"/>
      <c r="F755"/>
      <c r="G755"/>
      <c r="H755"/>
      <c r="I755"/>
      <c r="J755" s="27"/>
      <c r="K755"/>
    </row>
    <row r="756" spans="2:11" x14ac:dyDescent="0.25">
      <c r="B756"/>
      <c r="C756"/>
      <c r="D756"/>
      <c r="E756"/>
      <c r="F756"/>
      <c r="G756"/>
      <c r="H756"/>
      <c r="I756"/>
      <c r="J756" s="27"/>
      <c r="K756"/>
    </row>
    <row r="757" spans="2:11" x14ac:dyDescent="0.25">
      <c r="B757"/>
      <c r="C757"/>
      <c r="D757"/>
      <c r="E757"/>
      <c r="F757"/>
      <c r="G757"/>
      <c r="H757"/>
      <c r="I757"/>
      <c r="J757" s="27"/>
      <c r="K757"/>
    </row>
    <row r="758" spans="2:11" x14ac:dyDescent="0.25">
      <c r="B758"/>
      <c r="C758"/>
      <c r="D758"/>
      <c r="E758"/>
      <c r="F758"/>
      <c r="G758"/>
      <c r="H758"/>
      <c r="I758"/>
      <c r="J758" s="27"/>
      <c r="K758"/>
    </row>
    <row r="759" spans="2:11" x14ac:dyDescent="0.25">
      <c r="B759"/>
      <c r="C759"/>
      <c r="D759"/>
      <c r="E759"/>
      <c r="F759"/>
      <c r="G759"/>
      <c r="H759"/>
      <c r="I759"/>
      <c r="J759" s="27"/>
      <c r="K759"/>
    </row>
    <row r="760" spans="2:11" x14ac:dyDescent="0.25">
      <c r="B760"/>
      <c r="C760"/>
      <c r="D760"/>
      <c r="E760"/>
      <c r="F760"/>
      <c r="G760"/>
      <c r="H760"/>
      <c r="I760"/>
      <c r="J760" s="27"/>
      <c r="K760"/>
    </row>
    <row r="761" spans="2:11" x14ac:dyDescent="0.25">
      <c r="B761"/>
      <c r="C761"/>
      <c r="D761"/>
      <c r="E761"/>
      <c r="F761"/>
      <c r="G761"/>
      <c r="H761"/>
      <c r="I761"/>
      <c r="J761" s="27"/>
      <c r="K761"/>
    </row>
    <row r="762" spans="2:11" x14ac:dyDescent="0.25">
      <c r="B762"/>
      <c r="C762"/>
      <c r="D762"/>
      <c r="E762"/>
      <c r="F762"/>
      <c r="G762"/>
      <c r="H762"/>
      <c r="I762"/>
      <c r="J762" s="27"/>
      <c r="K762"/>
    </row>
    <row r="763" spans="2:11" x14ac:dyDescent="0.25">
      <c r="B763"/>
      <c r="C763"/>
      <c r="D763"/>
      <c r="E763"/>
      <c r="F763"/>
      <c r="G763"/>
      <c r="H763"/>
      <c r="I763"/>
      <c r="J763" s="27"/>
      <c r="K763"/>
    </row>
    <row r="764" spans="2:11" x14ac:dyDescent="0.25">
      <c r="B764"/>
      <c r="C764"/>
      <c r="D764"/>
      <c r="E764"/>
      <c r="F764"/>
      <c r="G764"/>
      <c r="H764"/>
      <c r="I764"/>
      <c r="J764" s="27"/>
      <c r="K764"/>
    </row>
    <row r="765" spans="2:11" x14ac:dyDescent="0.25">
      <c r="B765"/>
      <c r="C765"/>
      <c r="D765"/>
      <c r="E765"/>
      <c r="F765"/>
      <c r="G765"/>
      <c r="H765"/>
      <c r="I765"/>
      <c r="J765" s="27"/>
      <c r="K765"/>
    </row>
    <row r="766" spans="2:11" x14ac:dyDescent="0.25">
      <c r="B766"/>
      <c r="C766"/>
      <c r="D766"/>
      <c r="E766"/>
      <c r="F766"/>
      <c r="G766"/>
      <c r="H766"/>
      <c r="I766"/>
      <c r="J766" s="27"/>
      <c r="K766"/>
    </row>
    <row r="767" spans="2:11" x14ac:dyDescent="0.25">
      <c r="B767"/>
      <c r="C767"/>
      <c r="D767"/>
      <c r="E767"/>
      <c r="F767"/>
      <c r="G767"/>
      <c r="H767"/>
      <c r="I767"/>
      <c r="J767" s="27"/>
      <c r="K767"/>
    </row>
    <row r="768" spans="2:11" x14ac:dyDescent="0.25">
      <c r="B768"/>
      <c r="C768"/>
      <c r="D768"/>
      <c r="E768"/>
      <c r="F768"/>
      <c r="G768"/>
      <c r="H768"/>
      <c r="I768"/>
      <c r="J768" s="27"/>
      <c r="K768"/>
    </row>
    <row r="769" spans="2:11" x14ac:dyDescent="0.25">
      <c r="B769"/>
      <c r="C769"/>
      <c r="D769"/>
      <c r="E769"/>
      <c r="F769"/>
      <c r="G769"/>
      <c r="H769"/>
      <c r="I769"/>
      <c r="J769" s="27"/>
      <c r="K769"/>
    </row>
    <row r="770" spans="2:11" x14ac:dyDescent="0.25">
      <c r="B770"/>
      <c r="C770"/>
      <c r="D770"/>
      <c r="E770"/>
      <c r="F770"/>
      <c r="G770"/>
      <c r="H770"/>
      <c r="I770"/>
      <c r="J770" s="27"/>
      <c r="K770"/>
    </row>
    <row r="771" spans="2:11" x14ac:dyDescent="0.25">
      <c r="B771"/>
      <c r="C771"/>
      <c r="D771"/>
      <c r="E771"/>
      <c r="F771"/>
      <c r="G771"/>
      <c r="H771"/>
      <c r="I771"/>
      <c r="J771" s="27"/>
      <c r="K771"/>
    </row>
    <row r="772" spans="2:11" x14ac:dyDescent="0.25">
      <c r="B772"/>
      <c r="C772"/>
      <c r="D772"/>
      <c r="E772"/>
      <c r="F772"/>
      <c r="G772"/>
      <c r="H772"/>
      <c r="I772"/>
      <c r="J772" s="27"/>
      <c r="K772"/>
    </row>
    <row r="773" spans="2:11" x14ac:dyDescent="0.25">
      <c r="B773"/>
      <c r="C773"/>
      <c r="D773"/>
      <c r="E773"/>
      <c r="F773"/>
      <c r="G773"/>
      <c r="H773"/>
      <c r="I773"/>
      <c r="J773" s="27"/>
      <c r="K773"/>
    </row>
    <row r="774" spans="2:11" x14ac:dyDescent="0.25">
      <c r="B774"/>
      <c r="C774"/>
      <c r="D774"/>
      <c r="E774"/>
      <c r="F774"/>
      <c r="G774"/>
      <c r="H774"/>
      <c r="I774"/>
      <c r="J774" s="27"/>
      <c r="K774"/>
    </row>
    <row r="775" spans="2:11" x14ac:dyDescent="0.25">
      <c r="B775"/>
      <c r="C775"/>
      <c r="D775"/>
      <c r="E775"/>
      <c r="F775"/>
      <c r="G775"/>
      <c r="H775"/>
      <c r="I775"/>
      <c r="J775" s="27"/>
      <c r="K775"/>
    </row>
    <row r="776" spans="2:11" x14ac:dyDescent="0.25">
      <c r="B776"/>
      <c r="C776"/>
      <c r="D776"/>
      <c r="E776"/>
      <c r="F776"/>
      <c r="G776"/>
      <c r="H776"/>
      <c r="I776"/>
      <c r="J776" s="27"/>
      <c r="K776"/>
    </row>
    <row r="777" spans="2:11" x14ac:dyDescent="0.25">
      <c r="B777"/>
      <c r="C777"/>
      <c r="D777"/>
      <c r="E777"/>
      <c r="F777"/>
      <c r="G777"/>
      <c r="H777"/>
      <c r="I777"/>
      <c r="J777" s="27"/>
      <c r="K777"/>
    </row>
    <row r="778" spans="2:11" x14ac:dyDescent="0.25">
      <c r="B778"/>
      <c r="C778"/>
      <c r="D778"/>
      <c r="E778"/>
      <c r="F778"/>
      <c r="G778"/>
      <c r="H778"/>
      <c r="I778"/>
      <c r="J778" s="27"/>
      <c r="K778"/>
    </row>
    <row r="779" spans="2:11" x14ac:dyDescent="0.25">
      <c r="B779"/>
      <c r="C779"/>
      <c r="D779"/>
      <c r="E779"/>
      <c r="F779"/>
      <c r="G779"/>
      <c r="H779"/>
      <c r="I779"/>
      <c r="J779" s="27"/>
      <c r="K779"/>
    </row>
    <row r="780" spans="2:11" x14ac:dyDescent="0.25">
      <c r="B780"/>
      <c r="C780"/>
      <c r="D780"/>
      <c r="E780"/>
      <c r="F780"/>
      <c r="G780"/>
      <c r="H780"/>
      <c r="I780"/>
      <c r="J780" s="27"/>
      <c r="K780"/>
    </row>
    <row r="781" spans="2:11" x14ac:dyDescent="0.25">
      <c r="B781"/>
      <c r="C781"/>
      <c r="D781"/>
      <c r="E781"/>
      <c r="F781"/>
      <c r="G781"/>
      <c r="H781"/>
      <c r="I781"/>
      <c r="J781" s="27"/>
      <c r="K781"/>
    </row>
    <row r="782" spans="2:11" x14ac:dyDescent="0.25">
      <c r="B782"/>
      <c r="C782"/>
      <c r="D782"/>
      <c r="E782"/>
      <c r="F782"/>
      <c r="G782"/>
      <c r="H782"/>
      <c r="I782"/>
      <c r="J782" s="27"/>
      <c r="K782"/>
    </row>
    <row r="783" spans="2:11" x14ac:dyDescent="0.25">
      <c r="B783"/>
      <c r="C783"/>
      <c r="D783"/>
      <c r="E783"/>
      <c r="F783"/>
      <c r="G783"/>
      <c r="H783"/>
      <c r="I783"/>
      <c r="J783" s="27"/>
      <c r="K783"/>
    </row>
    <row r="784" spans="2:11" x14ac:dyDescent="0.25">
      <c r="B784"/>
      <c r="C784"/>
      <c r="D784"/>
      <c r="E784"/>
      <c r="F784"/>
      <c r="G784"/>
      <c r="H784"/>
      <c r="I784"/>
      <c r="J784" s="27"/>
      <c r="K784"/>
    </row>
    <row r="785" spans="2:11" x14ac:dyDescent="0.25">
      <c r="B785"/>
      <c r="C785"/>
      <c r="D785"/>
      <c r="E785"/>
      <c r="F785"/>
      <c r="G785"/>
      <c r="H785"/>
      <c r="I785"/>
      <c r="J785" s="27"/>
      <c r="K785"/>
    </row>
    <row r="786" spans="2:11" x14ac:dyDescent="0.25">
      <c r="B786"/>
      <c r="C786"/>
      <c r="D786"/>
      <c r="E786"/>
      <c r="F786"/>
      <c r="G786"/>
      <c r="H786"/>
      <c r="I786"/>
      <c r="J786" s="27"/>
      <c r="K786"/>
    </row>
    <row r="787" spans="2:11" x14ac:dyDescent="0.25">
      <c r="B787"/>
      <c r="C787"/>
      <c r="D787"/>
      <c r="E787"/>
      <c r="F787"/>
      <c r="G787"/>
      <c r="H787"/>
      <c r="I787"/>
      <c r="J787" s="27"/>
      <c r="K787"/>
    </row>
    <row r="788" spans="2:11" x14ac:dyDescent="0.25">
      <c r="B788"/>
      <c r="C788"/>
      <c r="D788"/>
      <c r="E788"/>
      <c r="F788"/>
      <c r="G788"/>
      <c r="H788"/>
      <c r="I788"/>
      <c r="J788" s="27"/>
      <c r="K788"/>
    </row>
    <row r="789" spans="2:11" x14ac:dyDescent="0.25">
      <c r="B789"/>
      <c r="C789"/>
      <c r="D789"/>
      <c r="E789"/>
      <c r="F789"/>
      <c r="G789"/>
      <c r="H789"/>
      <c r="I789"/>
      <c r="J789" s="27"/>
      <c r="K789"/>
    </row>
    <row r="790" spans="2:11" x14ac:dyDescent="0.25">
      <c r="B790"/>
      <c r="C790"/>
      <c r="D790"/>
      <c r="E790"/>
      <c r="F790"/>
      <c r="G790"/>
      <c r="H790"/>
      <c r="I790"/>
      <c r="J790" s="27"/>
      <c r="K790"/>
    </row>
    <row r="791" spans="2:11" x14ac:dyDescent="0.25">
      <c r="B791"/>
      <c r="C791"/>
      <c r="D791"/>
      <c r="E791"/>
      <c r="F791"/>
      <c r="G791"/>
      <c r="H791"/>
      <c r="I791"/>
      <c r="J791" s="27"/>
      <c r="K791"/>
    </row>
    <row r="792" spans="2:11" x14ac:dyDescent="0.25">
      <c r="B792"/>
      <c r="C792"/>
      <c r="D792"/>
      <c r="E792"/>
      <c r="F792"/>
      <c r="G792"/>
      <c r="H792"/>
      <c r="I792"/>
      <c r="J792" s="27"/>
      <c r="K792"/>
    </row>
    <row r="793" spans="2:11" x14ac:dyDescent="0.25">
      <c r="B793"/>
      <c r="C793"/>
      <c r="D793"/>
      <c r="E793"/>
      <c r="F793"/>
      <c r="G793"/>
      <c r="H793"/>
      <c r="I793"/>
      <c r="J793" s="27"/>
      <c r="K793"/>
    </row>
    <row r="794" spans="2:11" x14ac:dyDescent="0.25">
      <c r="B794"/>
      <c r="C794"/>
      <c r="D794"/>
      <c r="E794"/>
      <c r="F794"/>
      <c r="G794"/>
      <c r="H794"/>
      <c r="I794"/>
      <c r="J794" s="27"/>
      <c r="K794"/>
    </row>
    <row r="795" spans="2:11" x14ac:dyDescent="0.25">
      <c r="B795"/>
      <c r="C795"/>
      <c r="D795"/>
      <c r="E795"/>
      <c r="F795"/>
      <c r="G795"/>
      <c r="H795"/>
      <c r="I795"/>
      <c r="J795" s="27"/>
      <c r="K795"/>
    </row>
    <row r="796" spans="2:11" x14ac:dyDescent="0.25">
      <c r="B796"/>
      <c r="C796"/>
      <c r="D796"/>
      <c r="E796"/>
      <c r="F796"/>
      <c r="G796"/>
      <c r="H796"/>
      <c r="I796"/>
      <c r="J796" s="27"/>
      <c r="K796"/>
    </row>
    <row r="797" spans="2:11" x14ac:dyDescent="0.25">
      <c r="B797"/>
      <c r="C797"/>
      <c r="D797"/>
      <c r="E797"/>
      <c r="F797"/>
      <c r="G797"/>
      <c r="H797"/>
      <c r="I797"/>
      <c r="J797" s="27"/>
      <c r="K797"/>
    </row>
    <row r="798" spans="2:11" x14ac:dyDescent="0.25">
      <c r="B798"/>
      <c r="C798"/>
      <c r="D798"/>
      <c r="E798"/>
      <c r="F798"/>
      <c r="G798"/>
      <c r="H798"/>
      <c r="I798"/>
      <c r="J798" s="27"/>
      <c r="K798"/>
    </row>
    <row r="799" spans="2:11" x14ac:dyDescent="0.25">
      <c r="B799"/>
      <c r="C799"/>
      <c r="D799"/>
      <c r="E799"/>
      <c r="F799"/>
      <c r="G799"/>
      <c r="H799"/>
      <c r="I799"/>
      <c r="J799" s="27"/>
      <c r="K799"/>
    </row>
    <row r="800" spans="2:11" x14ac:dyDescent="0.25">
      <c r="B800"/>
      <c r="C800"/>
      <c r="D800"/>
      <c r="E800"/>
      <c r="F800"/>
      <c r="G800"/>
      <c r="H800"/>
      <c r="I800"/>
      <c r="J800" s="27"/>
      <c r="K800"/>
    </row>
    <row r="801" spans="2:11" x14ac:dyDescent="0.25">
      <c r="B801"/>
      <c r="C801"/>
      <c r="D801"/>
      <c r="E801"/>
      <c r="F801"/>
      <c r="G801"/>
      <c r="H801"/>
      <c r="I801"/>
      <c r="J801" s="27"/>
      <c r="K801"/>
    </row>
    <row r="802" spans="2:11" x14ac:dyDescent="0.25">
      <c r="B802"/>
      <c r="C802"/>
      <c r="D802"/>
      <c r="E802"/>
      <c r="F802"/>
      <c r="G802"/>
      <c r="H802"/>
      <c r="I802"/>
      <c r="J802" s="27"/>
      <c r="K802"/>
    </row>
    <row r="803" spans="2:11" x14ac:dyDescent="0.25">
      <c r="B803"/>
      <c r="C803"/>
      <c r="D803"/>
      <c r="E803"/>
      <c r="F803"/>
      <c r="G803"/>
      <c r="H803"/>
      <c r="I803"/>
      <c r="J803" s="27"/>
      <c r="K803"/>
    </row>
    <row r="804" spans="2:11" x14ac:dyDescent="0.25">
      <c r="B804"/>
      <c r="C804"/>
      <c r="D804"/>
      <c r="E804"/>
      <c r="F804"/>
      <c r="G804"/>
      <c r="H804"/>
      <c r="I804"/>
      <c r="J804" s="27"/>
      <c r="K804"/>
    </row>
    <row r="805" spans="2:11" x14ac:dyDescent="0.25">
      <c r="B805"/>
      <c r="C805"/>
      <c r="D805"/>
      <c r="E805"/>
      <c r="F805"/>
      <c r="G805"/>
      <c r="H805"/>
      <c r="I805"/>
      <c r="J805" s="27"/>
      <c r="K805"/>
    </row>
    <row r="806" spans="2:11" x14ac:dyDescent="0.25">
      <c r="B806"/>
      <c r="C806"/>
      <c r="D806"/>
      <c r="E806"/>
      <c r="F806"/>
      <c r="G806"/>
      <c r="H806"/>
      <c r="I806"/>
      <c r="J806" s="27"/>
      <c r="K806"/>
    </row>
    <row r="807" spans="2:11" x14ac:dyDescent="0.25">
      <c r="B807"/>
      <c r="C807"/>
      <c r="D807"/>
      <c r="E807"/>
      <c r="F807"/>
      <c r="G807"/>
      <c r="H807"/>
      <c r="I807"/>
      <c r="J807" s="27"/>
      <c r="K807"/>
    </row>
    <row r="808" spans="2:11" x14ac:dyDescent="0.25">
      <c r="B808"/>
      <c r="C808"/>
      <c r="D808"/>
      <c r="E808"/>
      <c r="F808"/>
      <c r="G808"/>
      <c r="H808"/>
      <c r="I808"/>
      <c r="J808" s="27"/>
      <c r="K808"/>
    </row>
    <row r="809" spans="2:11" x14ac:dyDescent="0.25">
      <c r="B809"/>
      <c r="C809"/>
      <c r="D809"/>
      <c r="E809"/>
      <c r="F809"/>
      <c r="G809"/>
      <c r="H809"/>
      <c r="I809"/>
      <c r="J809" s="27"/>
      <c r="K809"/>
    </row>
    <row r="810" spans="2:11" x14ac:dyDescent="0.25">
      <c r="B810"/>
      <c r="C810"/>
      <c r="D810"/>
      <c r="E810"/>
      <c r="F810"/>
      <c r="G810"/>
      <c r="H810"/>
      <c r="I810"/>
      <c r="J810" s="27"/>
      <c r="K810"/>
    </row>
    <row r="811" spans="2:11" x14ac:dyDescent="0.25">
      <c r="B811"/>
      <c r="C811"/>
      <c r="D811"/>
      <c r="E811"/>
      <c r="F811"/>
      <c r="G811"/>
      <c r="H811"/>
      <c r="I811"/>
      <c r="J811" s="27"/>
      <c r="K811"/>
    </row>
    <row r="812" spans="2:11" x14ac:dyDescent="0.25">
      <c r="B812"/>
      <c r="C812"/>
      <c r="D812"/>
      <c r="E812"/>
      <c r="F812"/>
      <c r="G812"/>
      <c r="H812"/>
      <c r="I812"/>
      <c r="J812" s="27"/>
      <c r="K812"/>
    </row>
    <row r="813" spans="2:11" x14ac:dyDescent="0.25">
      <c r="B813"/>
      <c r="C813"/>
      <c r="D813"/>
      <c r="E813"/>
      <c r="F813"/>
      <c r="G813"/>
      <c r="H813"/>
      <c r="I813"/>
      <c r="J813" s="27"/>
      <c r="K813"/>
    </row>
    <row r="814" spans="2:11" x14ac:dyDescent="0.25">
      <c r="B814"/>
      <c r="C814"/>
      <c r="D814"/>
      <c r="E814"/>
      <c r="F814"/>
      <c r="G814"/>
      <c r="H814"/>
      <c r="I814"/>
      <c r="J814" s="27"/>
      <c r="K814"/>
    </row>
    <row r="815" spans="2:11" x14ac:dyDescent="0.25">
      <c r="B815"/>
      <c r="C815"/>
      <c r="D815"/>
      <c r="E815"/>
      <c r="F815"/>
      <c r="G815"/>
      <c r="H815"/>
      <c r="I815"/>
      <c r="J815" s="27"/>
      <c r="K815"/>
    </row>
    <row r="816" spans="2:11" x14ac:dyDescent="0.25">
      <c r="B816"/>
      <c r="C816"/>
      <c r="D816"/>
      <c r="E816"/>
      <c r="F816"/>
      <c r="G816"/>
      <c r="H816"/>
      <c r="I816"/>
      <c r="J816" s="27"/>
      <c r="K816"/>
    </row>
    <row r="817" spans="2:11" x14ac:dyDescent="0.25">
      <c r="B817"/>
      <c r="C817"/>
      <c r="D817"/>
      <c r="E817"/>
      <c r="F817"/>
      <c r="G817"/>
      <c r="H817"/>
      <c r="I817"/>
      <c r="J817" s="27"/>
      <c r="K817"/>
    </row>
    <row r="818" spans="2:11" x14ac:dyDescent="0.25">
      <c r="B818"/>
      <c r="C818"/>
      <c r="D818"/>
      <c r="E818"/>
      <c r="F818"/>
      <c r="G818"/>
      <c r="H818"/>
      <c r="I818"/>
      <c r="J818" s="27"/>
      <c r="K818"/>
    </row>
    <row r="819" spans="2:11" x14ac:dyDescent="0.25">
      <c r="B819"/>
      <c r="C819"/>
      <c r="D819"/>
      <c r="E819"/>
      <c r="F819"/>
      <c r="G819"/>
      <c r="H819"/>
      <c r="I819"/>
      <c r="J819" s="27"/>
      <c r="K819"/>
    </row>
    <row r="820" spans="2:11" x14ac:dyDescent="0.25">
      <c r="B820"/>
      <c r="C820"/>
      <c r="D820"/>
      <c r="E820"/>
      <c r="F820"/>
      <c r="G820"/>
      <c r="H820"/>
      <c r="I820"/>
      <c r="J820" s="27"/>
      <c r="K820"/>
    </row>
    <row r="821" spans="2:11" x14ac:dyDescent="0.25">
      <c r="B821"/>
      <c r="C821"/>
      <c r="D821"/>
      <c r="E821"/>
      <c r="F821"/>
      <c r="G821"/>
      <c r="H821"/>
      <c r="I821"/>
      <c r="J821" s="27"/>
      <c r="K821"/>
    </row>
    <row r="822" spans="2:11" x14ac:dyDescent="0.25">
      <c r="B822"/>
      <c r="C822"/>
      <c r="D822"/>
      <c r="E822"/>
      <c r="F822"/>
      <c r="G822"/>
      <c r="H822"/>
      <c r="I822"/>
      <c r="J822" s="27"/>
      <c r="K822"/>
    </row>
    <row r="823" spans="2:11" x14ac:dyDescent="0.25">
      <c r="B823"/>
      <c r="C823"/>
      <c r="D823"/>
      <c r="E823"/>
      <c r="F823"/>
      <c r="G823"/>
      <c r="H823"/>
      <c r="I823"/>
      <c r="J823" s="27"/>
      <c r="K823"/>
    </row>
    <row r="824" spans="2:11" x14ac:dyDescent="0.25">
      <c r="B824"/>
      <c r="C824"/>
      <c r="D824"/>
      <c r="E824"/>
      <c r="F824"/>
      <c r="G824"/>
      <c r="H824"/>
      <c r="I824"/>
      <c r="J824" s="27"/>
      <c r="K824"/>
    </row>
    <row r="825" spans="2:11" x14ac:dyDescent="0.25">
      <c r="B825"/>
      <c r="C825"/>
      <c r="D825"/>
      <c r="E825"/>
      <c r="F825"/>
      <c r="G825"/>
      <c r="H825"/>
      <c r="I825"/>
      <c r="J825" s="27"/>
      <c r="K825"/>
    </row>
    <row r="826" spans="2:11" x14ac:dyDescent="0.25">
      <c r="B826"/>
      <c r="C826"/>
      <c r="D826"/>
      <c r="E826"/>
      <c r="F826"/>
      <c r="G826"/>
      <c r="H826"/>
      <c r="I826"/>
      <c r="J826" s="27"/>
      <c r="K826"/>
    </row>
    <row r="827" spans="2:11" x14ac:dyDescent="0.25">
      <c r="B827"/>
      <c r="C827"/>
      <c r="D827"/>
      <c r="E827"/>
      <c r="F827"/>
      <c r="G827"/>
      <c r="H827"/>
      <c r="I827"/>
      <c r="J827" s="27"/>
      <c r="K827"/>
    </row>
    <row r="828" spans="2:11" x14ac:dyDescent="0.25">
      <c r="B828"/>
      <c r="C828"/>
      <c r="D828"/>
      <c r="E828"/>
      <c r="F828"/>
      <c r="G828"/>
      <c r="H828"/>
      <c r="I828"/>
      <c r="J828" s="27"/>
      <c r="K828"/>
    </row>
    <row r="829" spans="2:11" x14ac:dyDescent="0.25">
      <c r="B829"/>
      <c r="C829"/>
      <c r="D829"/>
      <c r="E829"/>
      <c r="F829"/>
      <c r="G829"/>
      <c r="H829"/>
      <c r="I829"/>
      <c r="J829" s="27"/>
      <c r="K829"/>
    </row>
    <row r="830" spans="2:11" x14ac:dyDescent="0.25">
      <c r="B830"/>
      <c r="C830"/>
      <c r="D830"/>
      <c r="E830"/>
      <c r="F830"/>
      <c r="G830"/>
      <c r="H830"/>
      <c r="I830"/>
      <c r="J830" s="27"/>
      <c r="K830"/>
    </row>
    <row r="831" spans="2:11" x14ac:dyDescent="0.25">
      <c r="B831"/>
      <c r="C831"/>
      <c r="D831"/>
      <c r="E831"/>
      <c r="F831"/>
      <c r="G831"/>
      <c r="H831"/>
      <c r="I831"/>
      <c r="J831" s="27"/>
      <c r="K831"/>
    </row>
    <row r="832" spans="2:11" x14ac:dyDescent="0.25">
      <c r="B832"/>
      <c r="C832"/>
      <c r="D832"/>
      <c r="E832"/>
      <c r="F832"/>
      <c r="G832"/>
      <c r="H832"/>
      <c r="I832"/>
      <c r="J832" s="27"/>
      <c r="K832"/>
    </row>
    <row r="833" spans="2:11" x14ac:dyDescent="0.25">
      <c r="B833"/>
      <c r="C833"/>
      <c r="D833"/>
      <c r="E833"/>
      <c r="F833"/>
      <c r="G833"/>
      <c r="H833"/>
      <c r="I833"/>
      <c r="J833" s="27"/>
      <c r="K833"/>
    </row>
    <row r="834" spans="2:11" x14ac:dyDescent="0.25">
      <c r="B834"/>
      <c r="C834"/>
      <c r="D834"/>
      <c r="E834"/>
      <c r="F834"/>
      <c r="G834"/>
      <c r="H834"/>
      <c r="I834"/>
      <c r="J834" s="27"/>
      <c r="K834"/>
    </row>
    <row r="835" spans="2:11" x14ac:dyDescent="0.25">
      <c r="B835"/>
      <c r="C835"/>
      <c r="D835"/>
      <c r="E835"/>
      <c r="F835"/>
      <c r="G835"/>
      <c r="H835"/>
      <c r="I835"/>
      <c r="J835" s="27"/>
      <c r="K835"/>
    </row>
    <row r="836" spans="2:11" x14ac:dyDescent="0.25">
      <c r="B836"/>
      <c r="C836"/>
      <c r="D836"/>
      <c r="E836"/>
      <c r="F836"/>
      <c r="G836"/>
      <c r="H836"/>
      <c r="I836"/>
      <c r="J836" s="27"/>
      <c r="K836"/>
    </row>
    <row r="837" spans="2:11" x14ac:dyDescent="0.25">
      <c r="B837"/>
      <c r="C837"/>
      <c r="D837"/>
      <c r="E837"/>
      <c r="F837"/>
      <c r="G837"/>
      <c r="H837"/>
      <c r="I837"/>
      <c r="J837" s="27"/>
      <c r="K837"/>
    </row>
    <row r="838" spans="2:11" x14ac:dyDescent="0.25">
      <c r="B838"/>
      <c r="C838"/>
      <c r="D838"/>
      <c r="E838"/>
      <c r="F838"/>
      <c r="G838"/>
      <c r="H838"/>
      <c r="I838"/>
      <c r="J838" s="27"/>
      <c r="K838"/>
    </row>
    <row r="839" spans="2:11" x14ac:dyDescent="0.25">
      <c r="B839"/>
      <c r="C839"/>
      <c r="D839"/>
      <c r="E839"/>
      <c r="F839"/>
      <c r="G839"/>
      <c r="H839"/>
      <c r="I839"/>
      <c r="J839" s="27"/>
      <c r="K839"/>
    </row>
    <row r="840" spans="2:11" x14ac:dyDescent="0.25">
      <c r="B840"/>
      <c r="C840"/>
      <c r="D840"/>
      <c r="E840"/>
      <c r="F840"/>
      <c r="G840"/>
      <c r="H840"/>
      <c r="I840"/>
      <c r="J840" s="27"/>
      <c r="K840"/>
    </row>
    <row r="841" spans="2:11" x14ac:dyDescent="0.25">
      <c r="B841"/>
      <c r="C841"/>
      <c r="D841"/>
      <c r="E841"/>
      <c r="F841"/>
      <c r="G841"/>
      <c r="H841"/>
      <c r="I841"/>
      <c r="J841" s="27"/>
      <c r="K841"/>
    </row>
    <row r="842" spans="2:11" x14ac:dyDescent="0.25">
      <c r="B842"/>
      <c r="C842"/>
      <c r="D842"/>
      <c r="E842"/>
      <c r="F842"/>
      <c r="G842"/>
      <c r="H842"/>
      <c r="I842"/>
      <c r="J842" s="27"/>
      <c r="K842"/>
    </row>
    <row r="843" spans="2:11" x14ac:dyDescent="0.25">
      <c r="B843"/>
      <c r="C843"/>
      <c r="D843"/>
      <c r="E843"/>
      <c r="F843"/>
      <c r="G843"/>
      <c r="H843"/>
      <c r="I843"/>
      <c r="J843" s="27"/>
      <c r="K843"/>
    </row>
    <row r="844" spans="2:11" x14ac:dyDescent="0.25">
      <c r="B844"/>
      <c r="C844"/>
      <c r="D844"/>
      <c r="E844"/>
      <c r="F844"/>
      <c r="G844"/>
      <c r="H844"/>
      <c r="I844"/>
      <c r="J844" s="27"/>
      <c r="K844"/>
    </row>
    <row r="845" spans="2:11" x14ac:dyDescent="0.25">
      <c r="B845"/>
      <c r="C845"/>
      <c r="D845"/>
      <c r="E845"/>
      <c r="F845"/>
      <c r="G845"/>
      <c r="H845"/>
      <c r="I845"/>
      <c r="J845" s="27"/>
      <c r="K845"/>
    </row>
    <row r="846" spans="2:11" x14ac:dyDescent="0.25">
      <c r="B846"/>
      <c r="C846"/>
      <c r="D846"/>
      <c r="E846"/>
      <c r="F846"/>
      <c r="G846"/>
      <c r="H846"/>
      <c r="I846"/>
      <c r="J846" s="27"/>
      <c r="K846"/>
    </row>
    <row r="847" spans="2:11" x14ac:dyDescent="0.25">
      <c r="B847"/>
      <c r="C847"/>
      <c r="D847"/>
      <c r="E847"/>
      <c r="F847"/>
      <c r="G847"/>
      <c r="H847"/>
      <c r="I847"/>
      <c r="J847" s="27"/>
      <c r="K847"/>
    </row>
    <row r="848" spans="2:11" x14ac:dyDescent="0.25">
      <c r="B848"/>
      <c r="C848"/>
      <c r="D848"/>
      <c r="E848"/>
      <c r="F848"/>
      <c r="G848"/>
      <c r="H848"/>
      <c r="I848"/>
      <c r="J848" s="27"/>
      <c r="K848"/>
    </row>
    <row r="849" spans="2:11" x14ac:dyDescent="0.25">
      <c r="B849"/>
      <c r="C849"/>
      <c r="D849"/>
      <c r="E849"/>
      <c r="F849"/>
      <c r="G849"/>
      <c r="H849"/>
      <c r="I849"/>
      <c r="J849" s="27"/>
      <c r="K849"/>
    </row>
    <row r="850" spans="2:11" x14ac:dyDescent="0.25">
      <c r="B850"/>
      <c r="C850"/>
      <c r="D850"/>
      <c r="E850"/>
      <c r="F850"/>
      <c r="G850"/>
      <c r="H850"/>
      <c r="I850"/>
      <c r="J850" s="27"/>
      <c r="K850"/>
    </row>
    <row r="851" spans="2:11" x14ac:dyDescent="0.25">
      <c r="B851"/>
      <c r="C851"/>
      <c r="D851"/>
      <c r="E851"/>
      <c r="F851"/>
      <c r="G851"/>
      <c r="H851"/>
      <c r="I851"/>
      <c r="J851" s="27"/>
      <c r="K851"/>
    </row>
    <row r="852" spans="2:11" x14ac:dyDescent="0.25">
      <c r="B852"/>
      <c r="C852"/>
      <c r="D852"/>
      <c r="E852"/>
      <c r="F852"/>
      <c r="G852"/>
      <c r="H852"/>
      <c r="I852"/>
      <c r="J852" s="27"/>
      <c r="K852"/>
    </row>
    <row r="853" spans="2:11" x14ac:dyDescent="0.25">
      <c r="B853"/>
      <c r="C853"/>
      <c r="D853"/>
      <c r="E853"/>
      <c r="F853"/>
      <c r="G853"/>
      <c r="H853"/>
      <c r="I853"/>
      <c r="J853" s="27"/>
      <c r="K853"/>
    </row>
    <row r="854" spans="2:11" x14ac:dyDescent="0.25">
      <c r="B854"/>
      <c r="C854"/>
      <c r="D854"/>
      <c r="E854"/>
      <c r="F854"/>
      <c r="G854"/>
      <c r="H854"/>
      <c r="I854"/>
      <c r="J854" s="27"/>
      <c r="K854"/>
    </row>
    <row r="855" spans="2:11" x14ac:dyDescent="0.25">
      <c r="B855"/>
      <c r="C855"/>
      <c r="D855"/>
      <c r="E855"/>
      <c r="F855"/>
      <c r="G855"/>
      <c r="H855"/>
      <c r="I855"/>
      <c r="J855" s="27"/>
      <c r="K855"/>
    </row>
    <row r="856" spans="2:11" x14ac:dyDescent="0.25">
      <c r="B856"/>
      <c r="C856"/>
      <c r="D856"/>
      <c r="E856"/>
      <c r="F856"/>
      <c r="G856"/>
      <c r="H856"/>
      <c r="I856"/>
      <c r="J856" s="27"/>
      <c r="K856"/>
    </row>
    <row r="857" spans="2:11" x14ac:dyDescent="0.25">
      <c r="B857"/>
      <c r="C857"/>
      <c r="D857"/>
      <c r="E857"/>
      <c r="F857"/>
      <c r="G857"/>
      <c r="H857"/>
      <c r="I857"/>
      <c r="J857" s="27"/>
      <c r="K857"/>
    </row>
    <row r="858" spans="2:11" x14ac:dyDescent="0.25">
      <c r="B858"/>
      <c r="C858"/>
      <c r="D858"/>
      <c r="E858"/>
      <c r="F858"/>
      <c r="G858"/>
      <c r="H858"/>
      <c r="I858"/>
      <c r="J858" s="27"/>
      <c r="K858"/>
    </row>
    <row r="859" spans="2:11" x14ac:dyDescent="0.25">
      <c r="B859"/>
      <c r="C859"/>
      <c r="D859"/>
      <c r="E859"/>
      <c r="F859"/>
      <c r="G859"/>
      <c r="H859"/>
      <c r="I859"/>
      <c r="J859" s="27"/>
      <c r="K859"/>
    </row>
    <row r="860" spans="2:11" x14ac:dyDescent="0.25">
      <c r="B860"/>
      <c r="C860"/>
      <c r="D860"/>
      <c r="E860"/>
      <c r="F860"/>
      <c r="G860"/>
      <c r="H860"/>
      <c r="I860"/>
      <c r="J860" s="27"/>
      <c r="K860"/>
    </row>
    <row r="861" spans="2:11" x14ac:dyDescent="0.25">
      <c r="B861"/>
      <c r="C861"/>
      <c r="D861"/>
      <c r="E861"/>
      <c r="F861"/>
      <c r="G861"/>
      <c r="H861"/>
      <c r="I861"/>
      <c r="J861" s="27"/>
      <c r="K861"/>
    </row>
    <row r="862" spans="2:11" x14ac:dyDescent="0.25">
      <c r="B862"/>
      <c r="C862"/>
      <c r="D862"/>
      <c r="E862"/>
      <c r="F862"/>
      <c r="G862"/>
      <c r="H862"/>
      <c r="I862"/>
      <c r="J862" s="27"/>
      <c r="K862"/>
    </row>
    <row r="863" spans="2:11" x14ac:dyDescent="0.25">
      <c r="B863"/>
      <c r="C863"/>
      <c r="D863"/>
      <c r="E863"/>
      <c r="F863"/>
      <c r="G863"/>
      <c r="H863"/>
      <c r="I863"/>
      <c r="J863" s="27"/>
      <c r="K863"/>
    </row>
    <row r="864" spans="2:11" x14ac:dyDescent="0.25">
      <c r="B864"/>
      <c r="C864"/>
      <c r="D864"/>
      <c r="E864"/>
      <c r="F864"/>
      <c r="G864"/>
      <c r="H864"/>
      <c r="I864"/>
      <c r="J864" s="27"/>
      <c r="K864"/>
    </row>
    <row r="865" spans="2:11" x14ac:dyDescent="0.25">
      <c r="B865"/>
      <c r="C865"/>
      <c r="D865"/>
      <c r="E865"/>
      <c r="F865"/>
      <c r="G865"/>
      <c r="H865"/>
      <c r="I865"/>
      <c r="J865" s="27"/>
      <c r="K865"/>
    </row>
    <row r="866" spans="2:11" x14ac:dyDescent="0.25">
      <c r="B866"/>
      <c r="C866"/>
      <c r="D866"/>
      <c r="E866"/>
      <c r="F866"/>
      <c r="G866"/>
      <c r="H866"/>
      <c r="I866"/>
      <c r="J866" s="27"/>
      <c r="K866"/>
    </row>
    <row r="867" spans="2:11" x14ac:dyDescent="0.25">
      <c r="B867"/>
      <c r="C867"/>
      <c r="D867"/>
      <c r="E867"/>
      <c r="F867"/>
      <c r="G867"/>
      <c r="H867"/>
      <c r="I867"/>
      <c r="J867" s="27"/>
      <c r="K867"/>
    </row>
    <row r="868" spans="2:11" x14ac:dyDescent="0.25">
      <c r="B868"/>
      <c r="C868"/>
      <c r="D868"/>
      <c r="E868"/>
      <c r="F868"/>
      <c r="G868"/>
      <c r="H868"/>
      <c r="I868"/>
      <c r="J868" s="27"/>
      <c r="K868"/>
    </row>
    <row r="869" spans="2:11" x14ac:dyDescent="0.25">
      <c r="B869"/>
      <c r="C869"/>
      <c r="D869"/>
      <c r="E869"/>
      <c r="F869"/>
      <c r="G869"/>
      <c r="H869"/>
      <c r="I869"/>
      <c r="J869" s="27"/>
      <c r="K869"/>
    </row>
    <row r="870" spans="2:11" x14ac:dyDescent="0.25">
      <c r="B870"/>
      <c r="C870"/>
      <c r="D870"/>
      <c r="E870"/>
      <c r="F870"/>
      <c r="G870"/>
      <c r="H870"/>
      <c r="I870"/>
      <c r="J870" s="27"/>
      <c r="K870"/>
    </row>
    <row r="871" spans="2:11" x14ac:dyDescent="0.25">
      <c r="B871"/>
      <c r="C871"/>
      <c r="D871"/>
      <c r="E871"/>
      <c r="F871"/>
      <c r="G871"/>
      <c r="H871"/>
      <c r="I871"/>
      <c r="J871" s="27"/>
      <c r="K871"/>
    </row>
    <row r="872" spans="2:11" x14ac:dyDescent="0.25">
      <c r="B872"/>
      <c r="C872"/>
      <c r="D872"/>
      <c r="E872"/>
      <c r="F872"/>
      <c r="G872"/>
      <c r="H872"/>
      <c r="I872"/>
      <c r="J872" s="27"/>
      <c r="K872"/>
    </row>
    <row r="873" spans="2:11" x14ac:dyDescent="0.25">
      <c r="B873"/>
      <c r="C873"/>
      <c r="D873"/>
      <c r="E873"/>
      <c r="F873"/>
      <c r="G873"/>
      <c r="H873"/>
      <c r="I873"/>
      <c r="J873" s="27"/>
      <c r="K873"/>
    </row>
    <row r="874" spans="2:11" x14ac:dyDescent="0.25">
      <c r="B874"/>
      <c r="C874"/>
      <c r="D874"/>
      <c r="E874"/>
      <c r="F874"/>
      <c r="G874"/>
      <c r="H874"/>
      <c r="I874"/>
      <c r="J874" s="27"/>
      <c r="K874"/>
    </row>
    <row r="875" spans="2:11" x14ac:dyDescent="0.25">
      <c r="B875"/>
      <c r="C875"/>
      <c r="D875"/>
      <c r="E875"/>
      <c r="F875"/>
      <c r="G875"/>
      <c r="H875"/>
      <c r="I875"/>
      <c r="J875" s="27"/>
      <c r="K875"/>
    </row>
    <row r="876" spans="2:11" x14ac:dyDescent="0.25">
      <c r="B876"/>
      <c r="C876"/>
      <c r="D876"/>
      <c r="E876"/>
      <c r="F876"/>
      <c r="G876"/>
      <c r="H876"/>
      <c r="I876"/>
      <c r="J876" s="27"/>
      <c r="K876"/>
    </row>
    <row r="877" spans="2:11" x14ac:dyDescent="0.25">
      <c r="B877"/>
      <c r="C877"/>
      <c r="D877"/>
      <c r="E877"/>
      <c r="F877"/>
      <c r="G877"/>
      <c r="H877"/>
      <c r="I877"/>
      <c r="J877" s="27"/>
      <c r="K877"/>
    </row>
    <row r="878" spans="2:11" x14ac:dyDescent="0.25">
      <c r="B878"/>
      <c r="C878"/>
      <c r="D878"/>
      <c r="E878"/>
      <c r="F878"/>
      <c r="G878"/>
      <c r="H878"/>
      <c r="I878"/>
      <c r="J878" s="27"/>
      <c r="K878"/>
    </row>
    <row r="879" spans="2:11" x14ac:dyDescent="0.25">
      <c r="B879"/>
      <c r="C879"/>
      <c r="D879"/>
      <c r="E879"/>
      <c r="F879"/>
      <c r="G879"/>
      <c r="H879"/>
      <c r="I879"/>
      <c r="J879" s="27"/>
      <c r="K879"/>
    </row>
    <row r="880" spans="2:11" x14ac:dyDescent="0.25">
      <c r="B880"/>
      <c r="C880"/>
      <c r="D880"/>
      <c r="E880"/>
      <c r="F880"/>
      <c r="G880"/>
      <c r="H880"/>
      <c r="I880"/>
      <c r="J880" s="27"/>
      <c r="K880"/>
    </row>
    <row r="881" spans="2:11" x14ac:dyDescent="0.25">
      <c r="B881"/>
      <c r="C881"/>
      <c r="D881"/>
      <c r="E881"/>
      <c r="F881"/>
      <c r="G881"/>
      <c r="H881"/>
      <c r="I881"/>
      <c r="J881" s="27"/>
      <c r="K881"/>
    </row>
    <row r="882" spans="2:11" x14ac:dyDescent="0.25">
      <c r="B882"/>
      <c r="C882"/>
      <c r="D882"/>
      <c r="E882"/>
      <c r="F882"/>
      <c r="G882"/>
      <c r="H882"/>
      <c r="I882"/>
      <c r="J882" s="27"/>
      <c r="K882"/>
    </row>
    <row r="883" spans="2:11" x14ac:dyDescent="0.25">
      <c r="B883"/>
      <c r="C883"/>
      <c r="D883"/>
      <c r="E883"/>
      <c r="F883"/>
      <c r="G883"/>
      <c r="H883"/>
      <c r="I883"/>
      <c r="J883" s="27"/>
      <c r="K883"/>
    </row>
    <row r="884" spans="2:11" x14ac:dyDescent="0.25">
      <c r="B884"/>
      <c r="C884"/>
      <c r="D884"/>
      <c r="E884"/>
      <c r="F884"/>
      <c r="G884"/>
      <c r="H884"/>
      <c r="I884"/>
      <c r="J884" s="27"/>
      <c r="K884"/>
    </row>
    <row r="885" spans="2:11" x14ac:dyDescent="0.25">
      <c r="B885"/>
      <c r="C885"/>
      <c r="D885"/>
      <c r="E885"/>
      <c r="F885"/>
      <c r="G885"/>
      <c r="H885"/>
      <c r="I885"/>
      <c r="J885" s="27"/>
      <c r="K885"/>
    </row>
    <row r="886" spans="2:11" x14ac:dyDescent="0.25">
      <c r="B886"/>
      <c r="C886"/>
      <c r="D886"/>
      <c r="E886"/>
      <c r="F886"/>
      <c r="G886"/>
      <c r="H886"/>
      <c r="I886"/>
      <c r="J886" s="27"/>
      <c r="K886"/>
    </row>
    <row r="887" spans="2:11" x14ac:dyDescent="0.25">
      <c r="B887"/>
      <c r="C887"/>
      <c r="D887"/>
      <c r="E887"/>
      <c r="F887"/>
      <c r="G887"/>
      <c r="H887"/>
      <c r="I887"/>
      <c r="J887" s="27"/>
      <c r="K887"/>
    </row>
    <row r="888" spans="2:11" x14ac:dyDescent="0.25">
      <c r="B888"/>
      <c r="C888"/>
      <c r="D888"/>
      <c r="E888"/>
      <c r="F888"/>
      <c r="G888"/>
      <c r="H888"/>
      <c r="I888"/>
      <c r="J888" s="27"/>
      <c r="K888"/>
    </row>
    <row r="889" spans="2:11" x14ac:dyDescent="0.25">
      <c r="B889"/>
      <c r="C889"/>
      <c r="D889"/>
      <c r="E889"/>
      <c r="F889"/>
      <c r="G889"/>
      <c r="H889"/>
      <c r="I889"/>
      <c r="J889" s="27"/>
      <c r="K889"/>
    </row>
    <row r="890" spans="2:11" x14ac:dyDescent="0.25">
      <c r="B890"/>
      <c r="C890"/>
      <c r="D890"/>
      <c r="E890"/>
      <c r="F890"/>
      <c r="G890"/>
      <c r="H890"/>
      <c r="I890"/>
      <c r="J890" s="27"/>
      <c r="K890"/>
    </row>
    <row r="891" spans="2:11" x14ac:dyDescent="0.25">
      <c r="B891"/>
      <c r="C891"/>
      <c r="D891"/>
      <c r="E891"/>
      <c r="F891"/>
      <c r="G891"/>
      <c r="H891"/>
      <c r="I891"/>
      <c r="J891" s="27"/>
      <c r="K891"/>
    </row>
    <row r="892" spans="2:11" x14ac:dyDescent="0.25">
      <c r="B892"/>
      <c r="C892"/>
      <c r="D892"/>
      <c r="E892"/>
      <c r="F892"/>
      <c r="G892"/>
      <c r="H892"/>
      <c r="I892"/>
      <c r="J892" s="27"/>
      <c r="K892"/>
    </row>
    <row r="893" spans="2:11" x14ac:dyDescent="0.25">
      <c r="B893"/>
      <c r="C893"/>
      <c r="D893"/>
      <c r="E893"/>
      <c r="F893"/>
      <c r="G893"/>
      <c r="H893"/>
      <c r="I893"/>
      <c r="J893" s="27"/>
      <c r="K893"/>
    </row>
    <row r="894" spans="2:11" x14ac:dyDescent="0.25">
      <c r="B894"/>
      <c r="C894"/>
      <c r="D894"/>
      <c r="E894"/>
      <c r="F894"/>
      <c r="G894"/>
      <c r="H894"/>
      <c r="I894"/>
      <c r="J894" s="27"/>
      <c r="K894"/>
    </row>
    <row r="895" spans="2:11" x14ac:dyDescent="0.25">
      <c r="B895"/>
      <c r="C895"/>
      <c r="D895"/>
      <c r="E895"/>
      <c r="F895"/>
      <c r="G895"/>
      <c r="H895"/>
      <c r="I895"/>
      <c r="J895" s="27"/>
      <c r="K895"/>
    </row>
    <row r="896" spans="2:11" x14ac:dyDescent="0.25">
      <c r="B896"/>
      <c r="C896"/>
      <c r="D896"/>
      <c r="E896"/>
      <c r="F896"/>
      <c r="G896"/>
      <c r="H896"/>
      <c r="I896"/>
      <c r="J896" s="27"/>
      <c r="K896"/>
    </row>
    <row r="897" spans="2:11" x14ac:dyDescent="0.25">
      <c r="B897"/>
      <c r="C897"/>
      <c r="D897"/>
      <c r="E897"/>
      <c r="F897"/>
      <c r="G897"/>
      <c r="H897"/>
      <c r="I897"/>
      <c r="J897" s="27"/>
      <c r="K897"/>
    </row>
    <row r="898" spans="2:11" x14ac:dyDescent="0.25">
      <c r="B898"/>
      <c r="C898"/>
      <c r="D898"/>
      <c r="E898"/>
      <c r="F898"/>
      <c r="G898"/>
      <c r="H898"/>
      <c r="I898"/>
      <c r="J898" s="27"/>
      <c r="K898"/>
    </row>
    <row r="899" spans="2:11" x14ac:dyDescent="0.25">
      <c r="B899"/>
      <c r="C899"/>
      <c r="D899"/>
      <c r="E899"/>
      <c r="F899"/>
      <c r="G899"/>
      <c r="H899"/>
      <c r="I899"/>
      <c r="J899" s="27"/>
      <c r="K899"/>
    </row>
    <row r="900" spans="2:11" x14ac:dyDescent="0.25">
      <c r="B900"/>
      <c r="C900"/>
      <c r="D900"/>
      <c r="E900"/>
      <c r="F900"/>
      <c r="G900"/>
      <c r="H900"/>
      <c r="I900"/>
      <c r="J900" s="27"/>
      <c r="K900"/>
    </row>
    <row r="901" spans="2:11" x14ac:dyDescent="0.25">
      <c r="B901"/>
      <c r="C901"/>
      <c r="D901"/>
      <c r="E901"/>
      <c r="F901"/>
      <c r="G901"/>
      <c r="H901"/>
      <c r="I901"/>
      <c r="J901" s="27"/>
      <c r="K901"/>
    </row>
    <row r="902" spans="2:11" x14ac:dyDescent="0.25">
      <c r="B902"/>
      <c r="C902"/>
      <c r="D902"/>
      <c r="E902"/>
      <c r="F902"/>
      <c r="G902"/>
      <c r="H902"/>
      <c r="I902"/>
      <c r="J902" s="27"/>
      <c r="K902"/>
    </row>
    <row r="903" spans="2:11" x14ac:dyDescent="0.25">
      <c r="B903"/>
      <c r="C903"/>
      <c r="D903"/>
      <c r="E903"/>
      <c r="F903"/>
      <c r="G903"/>
      <c r="H903"/>
      <c r="I903"/>
      <c r="J903" s="27"/>
      <c r="K903"/>
    </row>
    <row r="904" spans="2:11" x14ac:dyDescent="0.25">
      <c r="B904"/>
      <c r="C904"/>
      <c r="D904"/>
      <c r="E904"/>
      <c r="F904"/>
      <c r="G904"/>
      <c r="H904"/>
      <c r="I904"/>
      <c r="J904" s="27"/>
      <c r="K904"/>
    </row>
    <row r="905" spans="2:11" x14ac:dyDescent="0.25">
      <c r="B905"/>
      <c r="C905"/>
      <c r="D905"/>
      <c r="E905"/>
      <c r="F905"/>
      <c r="G905"/>
      <c r="H905"/>
      <c r="I905"/>
      <c r="J905" s="27"/>
      <c r="K905"/>
    </row>
    <row r="906" spans="2:11" x14ac:dyDescent="0.25">
      <c r="B906"/>
      <c r="C906"/>
      <c r="D906"/>
      <c r="E906"/>
      <c r="F906"/>
      <c r="G906"/>
      <c r="H906"/>
      <c r="I906"/>
      <c r="J906" s="27"/>
      <c r="K906"/>
    </row>
    <row r="907" spans="2:11" x14ac:dyDescent="0.25">
      <c r="B907"/>
      <c r="C907"/>
      <c r="D907"/>
      <c r="E907"/>
      <c r="F907"/>
      <c r="G907"/>
      <c r="H907"/>
      <c r="I907"/>
      <c r="J907" s="27"/>
      <c r="K907"/>
    </row>
    <row r="908" spans="2:11" x14ac:dyDescent="0.25">
      <c r="B908"/>
      <c r="C908"/>
      <c r="D908"/>
      <c r="E908"/>
      <c r="F908"/>
      <c r="G908"/>
      <c r="H908"/>
      <c r="I908"/>
      <c r="J908" s="27"/>
      <c r="K908"/>
    </row>
    <row r="909" spans="2:11" x14ac:dyDescent="0.25">
      <c r="B909"/>
      <c r="C909"/>
      <c r="D909"/>
      <c r="E909"/>
      <c r="F909"/>
      <c r="G909"/>
      <c r="H909"/>
      <c r="I909"/>
      <c r="J909" s="27"/>
      <c r="K909"/>
    </row>
    <row r="910" spans="2:11" x14ac:dyDescent="0.25">
      <c r="B910"/>
      <c r="C910"/>
      <c r="D910"/>
      <c r="E910"/>
      <c r="F910"/>
      <c r="G910"/>
      <c r="H910"/>
      <c r="I910"/>
      <c r="J910" s="27"/>
      <c r="K910"/>
    </row>
    <row r="911" spans="2:11" x14ac:dyDescent="0.25">
      <c r="B911"/>
      <c r="C911"/>
      <c r="D911"/>
      <c r="E911"/>
      <c r="F911"/>
      <c r="G911"/>
      <c r="H911"/>
      <c r="I911"/>
      <c r="J911" s="27"/>
      <c r="K911"/>
    </row>
    <row r="912" spans="2:11" x14ac:dyDescent="0.25">
      <c r="B912"/>
      <c r="C912"/>
      <c r="D912"/>
      <c r="E912"/>
      <c r="F912"/>
      <c r="G912"/>
      <c r="H912"/>
      <c r="I912"/>
      <c r="J912" s="27"/>
      <c r="K912"/>
    </row>
    <row r="913" spans="2:11" x14ac:dyDescent="0.25">
      <c r="B913"/>
      <c r="C913"/>
      <c r="D913"/>
      <c r="E913"/>
      <c r="F913"/>
      <c r="G913"/>
      <c r="H913"/>
      <c r="I913"/>
      <c r="J913" s="27"/>
      <c r="K913"/>
    </row>
    <row r="914" spans="2:11" x14ac:dyDescent="0.25">
      <c r="B914"/>
      <c r="C914"/>
      <c r="D914"/>
      <c r="E914"/>
      <c r="F914"/>
      <c r="G914"/>
      <c r="H914"/>
      <c r="I914"/>
      <c r="J914" s="27"/>
      <c r="K914"/>
    </row>
    <row r="915" spans="2:11" x14ac:dyDescent="0.25">
      <c r="B915"/>
      <c r="C915"/>
      <c r="D915"/>
      <c r="E915"/>
      <c r="F915"/>
      <c r="G915"/>
      <c r="H915"/>
      <c r="I915"/>
      <c r="J915" s="27"/>
      <c r="K915"/>
    </row>
    <row r="916" spans="2:11" x14ac:dyDescent="0.25">
      <c r="B916"/>
      <c r="C916"/>
      <c r="D916"/>
      <c r="E916"/>
      <c r="F916"/>
      <c r="G916"/>
      <c r="H916"/>
      <c r="I916"/>
      <c r="J916" s="27"/>
      <c r="K916"/>
    </row>
    <row r="917" spans="2:11" x14ac:dyDescent="0.25">
      <c r="B917"/>
      <c r="C917"/>
      <c r="D917"/>
      <c r="E917"/>
      <c r="F917"/>
      <c r="G917"/>
      <c r="H917"/>
      <c r="I917"/>
      <c r="J917" s="27"/>
      <c r="K917"/>
    </row>
    <row r="918" spans="2:11" x14ac:dyDescent="0.25">
      <c r="B918"/>
      <c r="C918"/>
      <c r="D918"/>
      <c r="E918"/>
      <c r="F918"/>
      <c r="G918"/>
      <c r="H918"/>
      <c r="I918"/>
      <c r="J918" s="27"/>
      <c r="K918"/>
    </row>
    <row r="919" spans="2:11" x14ac:dyDescent="0.25">
      <c r="B919"/>
      <c r="C919"/>
      <c r="D919"/>
      <c r="E919"/>
      <c r="F919"/>
      <c r="G919"/>
      <c r="H919"/>
      <c r="I919"/>
      <c r="J919" s="27"/>
      <c r="K919"/>
    </row>
    <row r="920" spans="2:11" x14ac:dyDescent="0.25">
      <c r="B920"/>
      <c r="C920"/>
      <c r="D920"/>
      <c r="E920"/>
      <c r="F920"/>
      <c r="G920"/>
      <c r="H920"/>
      <c r="I920"/>
      <c r="J920" s="27"/>
      <c r="K920"/>
    </row>
    <row r="921" spans="2:11" x14ac:dyDescent="0.25">
      <c r="B921"/>
      <c r="C921"/>
      <c r="D921"/>
      <c r="E921"/>
      <c r="F921"/>
      <c r="G921"/>
      <c r="H921"/>
      <c r="I921"/>
      <c r="J921" s="27"/>
      <c r="K921"/>
    </row>
    <row r="922" spans="2:11" x14ac:dyDescent="0.25">
      <c r="B922"/>
      <c r="C922"/>
      <c r="D922"/>
      <c r="E922"/>
      <c r="F922"/>
      <c r="G922"/>
      <c r="H922"/>
      <c r="I922"/>
      <c r="J922" s="27"/>
      <c r="K922"/>
    </row>
    <row r="923" spans="2:11" x14ac:dyDescent="0.25">
      <c r="B923"/>
      <c r="C923"/>
      <c r="D923"/>
      <c r="E923"/>
      <c r="F923"/>
      <c r="G923"/>
      <c r="H923"/>
      <c r="I923"/>
      <c r="J923" s="27"/>
      <c r="K923"/>
    </row>
    <row r="924" spans="2:11" x14ac:dyDescent="0.25">
      <c r="B924"/>
      <c r="C924"/>
      <c r="D924"/>
      <c r="E924"/>
      <c r="F924"/>
      <c r="G924"/>
      <c r="H924"/>
      <c r="I924"/>
      <c r="J924" s="27"/>
      <c r="K924"/>
    </row>
    <row r="925" spans="2:11" x14ac:dyDescent="0.25">
      <c r="B925"/>
      <c r="C925"/>
      <c r="D925"/>
      <c r="E925"/>
      <c r="F925"/>
      <c r="G925"/>
      <c r="H925"/>
      <c r="I925"/>
      <c r="J925" s="27"/>
      <c r="K925"/>
    </row>
    <row r="926" spans="2:11" x14ac:dyDescent="0.25">
      <c r="B926"/>
      <c r="C926"/>
      <c r="D926"/>
      <c r="E926"/>
      <c r="F926"/>
      <c r="G926"/>
      <c r="H926"/>
      <c r="I926"/>
      <c r="J926" s="27"/>
      <c r="K926"/>
    </row>
    <row r="927" spans="2:11" x14ac:dyDescent="0.25">
      <c r="B927"/>
      <c r="C927"/>
      <c r="D927"/>
      <c r="E927"/>
      <c r="F927"/>
      <c r="G927"/>
      <c r="H927"/>
      <c r="I927"/>
      <c r="J927" s="27"/>
      <c r="K927"/>
    </row>
    <row r="928" spans="2:11" x14ac:dyDescent="0.25">
      <c r="B928"/>
      <c r="C928"/>
      <c r="D928"/>
      <c r="E928"/>
      <c r="F928"/>
      <c r="G928"/>
      <c r="H928"/>
      <c r="I928"/>
      <c r="J928" s="27"/>
      <c r="K928"/>
    </row>
    <row r="929" spans="2:11" x14ac:dyDescent="0.25">
      <c r="B929"/>
      <c r="C929"/>
      <c r="D929"/>
      <c r="E929"/>
      <c r="F929"/>
      <c r="G929"/>
      <c r="H929"/>
      <c r="I929"/>
      <c r="J929" s="27"/>
      <c r="K929"/>
    </row>
    <row r="930" spans="2:11" x14ac:dyDescent="0.25">
      <c r="B930"/>
      <c r="C930"/>
      <c r="D930"/>
      <c r="E930"/>
      <c r="F930"/>
      <c r="G930"/>
      <c r="H930"/>
      <c r="I930"/>
      <c r="J930" s="27"/>
      <c r="K930"/>
    </row>
    <row r="931" spans="2:11" x14ac:dyDescent="0.25">
      <c r="B931"/>
      <c r="C931"/>
      <c r="D931"/>
      <c r="E931"/>
      <c r="F931"/>
      <c r="G931"/>
      <c r="H931"/>
      <c r="I931"/>
      <c r="J931" s="27"/>
      <c r="K931"/>
    </row>
    <row r="932" spans="2:11" x14ac:dyDescent="0.25">
      <c r="B932"/>
      <c r="C932"/>
      <c r="D932"/>
      <c r="E932"/>
      <c r="F932"/>
      <c r="G932"/>
      <c r="H932"/>
      <c r="I932"/>
      <c r="J932" s="27"/>
      <c r="K932"/>
    </row>
    <row r="933" spans="2:11" x14ac:dyDescent="0.25">
      <c r="B933"/>
      <c r="C933"/>
      <c r="D933"/>
      <c r="E933"/>
      <c r="F933"/>
      <c r="G933"/>
      <c r="H933"/>
      <c r="I933"/>
      <c r="J933" s="27"/>
      <c r="K933"/>
    </row>
    <row r="934" spans="2:11" x14ac:dyDescent="0.25">
      <c r="B934"/>
      <c r="C934"/>
      <c r="D934"/>
      <c r="E934"/>
      <c r="F934"/>
      <c r="G934"/>
      <c r="H934"/>
      <c r="I934"/>
      <c r="J934" s="27"/>
      <c r="K934"/>
    </row>
    <row r="935" spans="2:11" x14ac:dyDescent="0.25">
      <c r="B935"/>
      <c r="C935"/>
      <c r="D935"/>
      <c r="E935"/>
      <c r="F935"/>
      <c r="G935"/>
      <c r="H935"/>
      <c r="I935"/>
      <c r="J935" s="27"/>
      <c r="K935"/>
    </row>
    <row r="936" spans="2:11" x14ac:dyDescent="0.25">
      <c r="B936"/>
      <c r="C936"/>
      <c r="D936"/>
      <c r="E936"/>
      <c r="F936"/>
      <c r="G936"/>
      <c r="H936"/>
      <c r="I936"/>
      <c r="J936" s="27"/>
      <c r="K936"/>
    </row>
    <row r="937" spans="2:11" x14ac:dyDescent="0.25">
      <c r="B937"/>
      <c r="C937"/>
      <c r="D937"/>
      <c r="E937"/>
      <c r="F937"/>
      <c r="G937"/>
      <c r="H937"/>
      <c r="I937"/>
      <c r="J937" s="27"/>
      <c r="K937"/>
    </row>
    <row r="938" spans="2:11" x14ac:dyDescent="0.25">
      <c r="B938"/>
      <c r="C938"/>
      <c r="D938"/>
      <c r="E938"/>
      <c r="F938"/>
      <c r="G938"/>
      <c r="H938"/>
      <c r="I938"/>
      <c r="J938" s="27"/>
      <c r="K938"/>
    </row>
    <row r="939" spans="2:11" x14ac:dyDescent="0.25">
      <c r="B939"/>
      <c r="C939"/>
      <c r="D939"/>
      <c r="E939"/>
      <c r="F939"/>
      <c r="G939"/>
      <c r="H939"/>
      <c r="I939"/>
      <c r="J939" s="27"/>
      <c r="K939"/>
    </row>
    <row r="940" spans="2:11" x14ac:dyDescent="0.25">
      <c r="B940"/>
      <c r="C940"/>
      <c r="D940"/>
      <c r="E940"/>
      <c r="F940"/>
      <c r="G940"/>
      <c r="H940"/>
      <c r="I940"/>
      <c r="J940" s="27"/>
      <c r="K940"/>
    </row>
    <row r="941" spans="2:11" x14ac:dyDescent="0.25">
      <c r="B941"/>
      <c r="C941"/>
      <c r="D941"/>
      <c r="E941"/>
      <c r="F941"/>
      <c r="G941"/>
      <c r="H941"/>
      <c r="I941"/>
      <c r="J941" s="27"/>
      <c r="K941"/>
    </row>
    <row r="942" spans="2:11" x14ac:dyDescent="0.25">
      <c r="B942"/>
      <c r="C942"/>
      <c r="D942"/>
      <c r="E942"/>
      <c r="F942"/>
      <c r="G942"/>
      <c r="H942"/>
      <c r="I942"/>
      <c r="J942" s="27"/>
      <c r="K942"/>
    </row>
    <row r="943" spans="2:11" x14ac:dyDescent="0.25">
      <c r="B943"/>
      <c r="C943"/>
      <c r="D943"/>
      <c r="E943"/>
      <c r="F943"/>
      <c r="G943"/>
      <c r="H943"/>
      <c r="I943"/>
      <c r="J943" s="27"/>
      <c r="K943"/>
    </row>
    <row r="944" spans="2:11" x14ac:dyDescent="0.25">
      <c r="B944"/>
      <c r="C944"/>
      <c r="D944"/>
      <c r="E944"/>
      <c r="F944"/>
      <c r="G944"/>
      <c r="H944"/>
      <c r="I944"/>
      <c r="J944" s="27"/>
      <c r="K944"/>
    </row>
    <row r="945" spans="2:11" x14ac:dyDescent="0.25">
      <c r="B945"/>
      <c r="C945"/>
      <c r="D945"/>
      <c r="E945"/>
      <c r="F945"/>
      <c r="G945"/>
      <c r="H945"/>
      <c r="I945"/>
      <c r="J945" s="27"/>
      <c r="K945"/>
    </row>
    <row r="946" spans="2:11" x14ac:dyDescent="0.25">
      <c r="B946"/>
      <c r="C946"/>
      <c r="D946"/>
      <c r="E946"/>
      <c r="F946"/>
      <c r="G946"/>
      <c r="H946"/>
      <c r="I946"/>
      <c r="J946" s="27"/>
      <c r="K946"/>
    </row>
    <row r="947" spans="2:11" x14ac:dyDescent="0.25">
      <c r="B947"/>
      <c r="C947"/>
      <c r="D947"/>
      <c r="E947"/>
      <c r="F947"/>
      <c r="G947"/>
      <c r="H947"/>
      <c r="I947"/>
      <c r="K947"/>
    </row>
    <row r="948" spans="2:11" x14ac:dyDescent="0.25">
      <c r="B948"/>
      <c r="C948"/>
      <c r="D948"/>
      <c r="E948"/>
      <c r="F948"/>
      <c r="G948"/>
      <c r="H948"/>
      <c r="I948"/>
    </row>
    <row r="949" spans="2:11" x14ac:dyDescent="0.25">
      <c r="B949"/>
      <c r="C949"/>
      <c r="D949"/>
      <c r="E949"/>
      <c r="F949"/>
      <c r="G949"/>
      <c r="H949"/>
      <c r="I949"/>
    </row>
    <row r="950" spans="2:11" x14ac:dyDescent="0.25">
      <c r="B950"/>
      <c r="C950"/>
      <c r="D950"/>
      <c r="E950"/>
      <c r="F950"/>
      <c r="G950"/>
      <c r="H950"/>
      <c r="I950"/>
    </row>
    <row r="951" spans="2:11" x14ac:dyDescent="0.25">
      <c r="B951"/>
      <c r="C951"/>
      <c r="D951"/>
      <c r="E951"/>
      <c r="F951"/>
      <c r="G951"/>
      <c r="H951"/>
      <c r="I951"/>
    </row>
    <row r="952" spans="2:11" x14ac:dyDescent="0.25">
      <c r="B952"/>
      <c r="C952"/>
      <c r="D952"/>
      <c r="E952"/>
      <c r="F952"/>
      <c r="G952"/>
      <c r="H952"/>
      <c r="I952"/>
    </row>
    <row r="953" spans="2:11" x14ac:dyDescent="0.25">
      <c r="B953"/>
      <c r="C953"/>
      <c r="D953"/>
      <c r="E953"/>
      <c r="F953"/>
      <c r="G953"/>
      <c r="H953"/>
      <c r="I953"/>
    </row>
    <row r="954" spans="2:11" x14ac:dyDescent="0.25">
      <c r="B954"/>
      <c r="C954"/>
      <c r="D954"/>
      <c r="E954"/>
      <c r="F954"/>
      <c r="G954"/>
      <c r="H954"/>
      <c r="I954"/>
    </row>
    <row r="955" spans="2:11" x14ac:dyDescent="0.25">
      <c r="B955"/>
      <c r="C955"/>
      <c r="D955"/>
      <c r="E955"/>
      <c r="F955"/>
      <c r="G955"/>
      <c r="H955"/>
      <c r="I955"/>
    </row>
    <row r="956" spans="2:11" x14ac:dyDescent="0.25">
      <c r="B956"/>
      <c r="C956"/>
      <c r="D956"/>
      <c r="E956"/>
      <c r="F956"/>
      <c r="G956"/>
      <c r="H956"/>
      <c r="I956"/>
    </row>
    <row r="957" spans="2:11" x14ac:dyDescent="0.25">
      <c r="B957"/>
      <c r="C957"/>
      <c r="D957"/>
      <c r="E957"/>
      <c r="F957"/>
      <c r="G957"/>
      <c r="H957"/>
      <c r="I957"/>
    </row>
    <row r="958" spans="2:11" x14ac:dyDescent="0.25">
      <c r="B958"/>
      <c r="C958"/>
      <c r="D958"/>
      <c r="E958"/>
      <c r="F958"/>
      <c r="G958"/>
      <c r="H958"/>
      <c r="I958"/>
    </row>
    <row r="959" spans="2:11" x14ac:dyDescent="0.25">
      <c r="B959"/>
      <c r="C959"/>
      <c r="D959"/>
      <c r="E959"/>
      <c r="F959"/>
      <c r="G959"/>
      <c r="H959"/>
      <c r="I959"/>
    </row>
    <row r="960" spans="2:11" x14ac:dyDescent="0.25">
      <c r="B960"/>
      <c r="C960"/>
      <c r="D960"/>
      <c r="E960"/>
      <c r="F960"/>
      <c r="G960"/>
      <c r="H960"/>
      <c r="I960"/>
    </row>
    <row r="961" spans="2:9" x14ac:dyDescent="0.25">
      <c r="B961"/>
      <c r="C961"/>
      <c r="D961"/>
      <c r="E961"/>
      <c r="F961"/>
      <c r="G961"/>
      <c r="H961"/>
      <c r="I961"/>
    </row>
    <row r="962" spans="2:9" x14ac:dyDescent="0.25">
      <c r="B962"/>
      <c r="C962"/>
      <c r="D962"/>
      <c r="E962"/>
      <c r="F962"/>
      <c r="G962"/>
      <c r="H962"/>
      <c r="I962"/>
    </row>
    <row r="963" spans="2:9" x14ac:dyDescent="0.25">
      <c r="B963"/>
      <c r="C963"/>
      <c r="D963"/>
      <c r="E963"/>
      <c r="F963"/>
      <c r="G963"/>
      <c r="H963"/>
      <c r="I963"/>
    </row>
    <row r="964" spans="2:9" x14ac:dyDescent="0.25">
      <c r="B964"/>
      <c r="C964"/>
      <c r="D964"/>
      <c r="E964"/>
      <c r="F964"/>
      <c r="G964"/>
      <c r="H964"/>
      <c r="I964"/>
    </row>
    <row r="965" spans="2:9" x14ac:dyDescent="0.25">
      <c r="B965"/>
      <c r="C965"/>
      <c r="D965"/>
      <c r="E965"/>
      <c r="F965"/>
      <c r="G965"/>
      <c r="H965"/>
      <c r="I965"/>
    </row>
    <row r="966" spans="2:9" x14ac:dyDescent="0.25">
      <c r="B966"/>
      <c r="C966"/>
      <c r="D966"/>
      <c r="E966"/>
      <c r="F966"/>
      <c r="G966"/>
      <c r="H966"/>
      <c r="I966"/>
    </row>
    <row r="967" spans="2:9" x14ac:dyDescent="0.25">
      <c r="B967"/>
      <c r="C967"/>
      <c r="D967"/>
      <c r="E967"/>
      <c r="F967"/>
      <c r="G967"/>
      <c r="H967"/>
      <c r="I967"/>
    </row>
    <row r="968" spans="2:9" x14ac:dyDescent="0.25">
      <c r="B968"/>
      <c r="C968"/>
      <c r="D968"/>
      <c r="E968"/>
      <c r="F968"/>
      <c r="G968"/>
      <c r="H968"/>
      <c r="I968"/>
    </row>
    <row r="969" spans="2:9" x14ac:dyDescent="0.25">
      <c r="B969"/>
      <c r="C969"/>
      <c r="D969"/>
      <c r="E969"/>
      <c r="F969"/>
      <c r="G969"/>
      <c r="H969"/>
      <c r="I969"/>
    </row>
    <row r="970" spans="2:9" x14ac:dyDescent="0.25">
      <c r="B970"/>
      <c r="C970"/>
      <c r="D970"/>
      <c r="E970"/>
      <c r="F970"/>
      <c r="G970"/>
      <c r="H970"/>
      <c r="I970"/>
    </row>
    <row r="971" spans="2:9" x14ac:dyDescent="0.25">
      <c r="B971"/>
      <c r="C971"/>
      <c r="D971"/>
      <c r="E971"/>
      <c r="F971"/>
      <c r="G971"/>
      <c r="H971"/>
      <c r="I971"/>
    </row>
    <row r="972" spans="2:9" x14ac:dyDescent="0.25">
      <c r="B972"/>
      <c r="C972"/>
      <c r="D972"/>
      <c r="E972"/>
      <c r="F972"/>
      <c r="G972"/>
      <c r="H972"/>
      <c r="I972"/>
    </row>
    <row r="973" spans="2:9" x14ac:dyDescent="0.25">
      <c r="B973"/>
      <c r="C973"/>
      <c r="D973"/>
      <c r="E973"/>
      <c r="F973"/>
      <c r="G973"/>
      <c r="H973"/>
      <c r="I973"/>
    </row>
    <row r="974" spans="2:9" x14ac:dyDescent="0.25">
      <c r="B974"/>
      <c r="C974"/>
      <c r="D974"/>
      <c r="E974"/>
      <c r="F974"/>
      <c r="G974"/>
      <c r="H974"/>
      <c r="I974"/>
    </row>
    <row r="975" spans="2:9" x14ac:dyDescent="0.25">
      <c r="B975"/>
      <c r="C975"/>
      <c r="D975"/>
      <c r="E975"/>
      <c r="F975"/>
      <c r="G975"/>
      <c r="H975"/>
      <c r="I975"/>
    </row>
    <row r="976" spans="2:9" x14ac:dyDescent="0.25">
      <c r="B976"/>
      <c r="C976"/>
      <c r="D976"/>
      <c r="E976"/>
      <c r="F976"/>
      <c r="G976"/>
      <c r="H976"/>
      <c r="I976"/>
    </row>
    <row r="977" spans="2:9" x14ac:dyDescent="0.25">
      <c r="B977"/>
      <c r="C977"/>
      <c r="D977"/>
      <c r="E977"/>
      <c r="F977"/>
      <c r="G977"/>
      <c r="H977"/>
      <c r="I977"/>
    </row>
    <row r="978" spans="2:9" x14ac:dyDescent="0.25">
      <c r="B978"/>
      <c r="C978"/>
      <c r="D978"/>
      <c r="E978"/>
      <c r="F978"/>
      <c r="G978"/>
      <c r="H978"/>
      <c r="I978"/>
    </row>
    <row r="979" spans="2:9" x14ac:dyDescent="0.25">
      <c r="B979"/>
      <c r="C979"/>
      <c r="D979"/>
      <c r="E979"/>
      <c r="F979"/>
      <c r="G979"/>
      <c r="H979"/>
      <c r="I979"/>
    </row>
    <row r="980" spans="2:9" x14ac:dyDescent="0.25">
      <c r="B980"/>
      <c r="C980"/>
      <c r="D980"/>
      <c r="E980"/>
      <c r="F980"/>
      <c r="G980"/>
      <c r="H980"/>
      <c r="I980"/>
    </row>
    <row r="981" spans="2:9" x14ac:dyDescent="0.25">
      <c r="B981"/>
      <c r="C981"/>
      <c r="D981"/>
      <c r="E981"/>
      <c r="F981"/>
      <c r="G981"/>
      <c r="H981"/>
      <c r="I981"/>
    </row>
    <row r="982" spans="2:9" x14ac:dyDescent="0.25">
      <c r="B982"/>
      <c r="C982"/>
      <c r="D982"/>
      <c r="E982"/>
      <c r="F982"/>
      <c r="G982"/>
      <c r="H982"/>
      <c r="I982"/>
    </row>
    <row r="983" spans="2:9" x14ac:dyDescent="0.25">
      <c r="B983"/>
      <c r="C983"/>
      <c r="D983"/>
      <c r="E983"/>
      <c r="F983"/>
      <c r="G983"/>
      <c r="H983"/>
      <c r="I983"/>
    </row>
    <row r="984" spans="2:9" x14ac:dyDescent="0.25">
      <c r="B984"/>
      <c r="C984"/>
      <c r="D984"/>
      <c r="E984"/>
      <c r="F984"/>
      <c r="G984"/>
      <c r="H984"/>
      <c r="I984"/>
    </row>
    <row r="985" spans="2:9" x14ac:dyDescent="0.25">
      <c r="B985"/>
      <c r="C985"/>
      <c r="D985"/>
      <c r="E985"/>
      <c r="F985"/>
      <c r="G985"/>
      <c r="H985"/>
      <c r="I985"/>
    </row>
    <row r="986" spans="2:9" x14ac:dyDescent="0.25">
      <c r="B986"/>
      <c r="C986"/>
      <c r="D986"/>
      <c r="E986"/>
      <c r="F986"/>
      <c r="G986"/>
      <c r="H986"/>
      <c r="I986"/>
    </row>
    <row r="987" spans="2:9" x14ac:dyDescent="0.25">
      <c r="B987"/>
      <c r="C987"/>
      <c r="D987"/>
      <c r="E987"/>
      <c r="F987"/>
      <c r="G987"/>
      <c r="H987"/>
      <c r="I987"/>
    </row>
    <row r="988" spans="2:9" x14ac:dyDescent="0.25">
      <c r="B988"/>
      <c r="C988"/>
      <c r="D988"/>
      <c r="E988"/>
      <c r="F988"/>
      <c r="G988"/>
      <c r="H988"/>
      <c r="I988"/>
    </row>
    <row r="989" spans="2:9" x14ac:dyDescent="0.25">
      <c r="B989"/>
      <c r="C989"/>
      <c r="D989"/>
      <c r="E989"/>
      <c r="F989"/>
      <c r="G989"/>
      <c r="H989"/>
      <c r="I989"/>
    </row>
    <row r="990" spans="2:9" x14ac:dyDescent="0.25">
      <c r="B990"/>
      <c r="C990"/>
      <c r="D990"/>
      <c r="E990"/>
      <c r="F990"/>
      <c r="G990"/>
      <c r="H990"/>
      <c r="I990"/>
    </row>
    <row r="991" spans="2:9" x14ac:dyDescent="0.25">
      <c r="B991"/>
      <c r="C991"/>
      <c r="D991"/>
      <c r="E991"/>
      <c r="F991"/>
      <c r="G991"/>
      <c r="H991"/>
      <c r="I991"/>
    </row>
    <row r="992" spans="2:9" x14ac:dyDescent="0.25">
      <c r="B992"/>
      <c r="C992"/>
      <c r="D992"/>
      <c r="E992"/>
      <c r="F992"/>
      <c r="G992"/>
      <c r="H992"/>
      <c r="I992"/>
    </row>
    <row r="993" spans="2:9" x14ac:dyDescent="0.25">
      <c r="B993"/>
      <c r="C993"/>
      <c r="D993"/>
      <c r="E993"/>
      <c r="F993"/>
      <c r="G993"/>
      <c r="H993"/>
      <c r="I993"/>
    </row>
    <row r="994" spans="2:9" x14ac:dyDescent="0.25">
      <c r="B994"/>
      <c r="C994"/>
      <c r="D994"/>
      <c r="E994"/>
      <c r="F994"/>
      <c r="G994"/>
      <c r="H994"/>
      <c r="I994"/>
    </row>
    <row r="995" spans="2:9" x14ac:dyDescent="0.25">
      <c r="B995"/>
      <c r="C995"/>
      <c r="D995"/>
      <c r="E995"/>
      <c r="F995"/>
      <c r="G995"/>
      <c r="H995"/>
      <c r="I995"/>
    </row>
    <row r="996" spans="2:9" x14ac:dyDescent="0.25">
      <c r="B996"/>
      <c r="C996"/>
      <c r="D996"/>
      <c r="E996"/>
      <c r="F996"/>
      <c r="G996"/>
      <c r="H996"/>
      <c r="I996"/>
    </row>
    <row r="997" spans="2:9" x14ac:dyDescent="0.25">
      <c r="B997"/>
      <c r="C997"/>
      <c r="D997"/>
      <c r="E997"/>
      <c r="F997"/>
      <c r="G997"/>
      <c r="H997"/>
      <c r="I997"/>
    </row>
    <row r="998" spans="2:9" x14ac:dyDescent="0.25">
      <c r="B998"/>
      <c r="C998"/>
      <c r="D998"/>
      <c r="E998"/>
      <c r="F998"/>
      <c r="G998"/>
      <c r="H998"/>
      <c r="I998"/>
    </row>
    <row r="999" spans="2:9" x14ac:dyDescent="0.25">
      <c r="B999"/>
      <c r="C999"/>
      <c r="D999"/>
      <c r="E999"/>
      <c r="F999"/>
      <c r="G999"/>
      <c r="H999"/>
      <c r="I999"/>
    </row>
    <row r="1000" spans="2:9" x14ac:dyDescent="0.25">
      <c r="B1000"/>
      <c r="C1000"/>
      <c r="D1000"/>
      <c r="E1000"/>
      <c r="F1000"/>
      <c r="G1000"/>
      <c r="H1000"/>
      <c r="I1000"/>
    </row>
    <row r="1001" spans="2:9" x14ac:dyDescent="0.25">
      <c r="B1001"/>
      <c r="C1001"/>
      <c r="D1001"/>
      <c r="E1001"/>
      <c r="F1001"/>
      <c r="G1001"/>
      <c r="H1001"/>
      <c r="I1001"/>
    </row>
    <row r="1002" spans="2:9" x14ac:dyDescent="0.25">
      <c r="B1002"/>
      <c r="C1002"/>
      <c r="D1002"/>
      <c r="E1002"/>
      <c r="F1002"/>
      <c r="G1002"/>
      <c r="H1002"/>
      <c r="I1002"/>
    </row>
    <row r="1003" spans="2:9" x14ac:dyDescent="0.25">
      <c r="B1003"/>
      <c r="C1003"/>
      <c r="D1003"/>
      <c r="E1003"/>
      <c r="F1003"/>
      <c r="G1003"/>
      <c r="H1003"/>
      <c r="I1003"/>
    </row>
    <row r="1004" spans="2:9" x14ac:dyDescent="0.25">
      <c r="B1004"/>
      <c r="C1004"/>
      <c r="D1004"/>
      <c r="E1004"/>
      <c r="F1004"/>
      <c r="G1004"/>
      <c r="H1004"/>
      <c r="I1004"/>
    </row>
    <row r="1005" spans="2:9" x14ac:dyDescent="0.25">
      <c r="B1005"/>
      <c r="C1005"/>
      <c r="D1005"/>
      <c r="E1005"/>
      <c r="F1005"/>
      <c r="G1005"/>
      <c r="H1005"/>
      <c r="I1005"/>
    </row>
    <row r="1006" spans="2:9" x14ac:dyDescent="0.25">
      <c r="B1006"/>
      <c r="C1006"/>
      <c r="D1006"/>
      <c r="E1006"/>
      <c r="F1006"/>
      <c r="G1006"/>
      <c r="H1006"/>
      <c r="I1006"/>
    </row>
    <row r="1007" spans="2:9" x14ac:dyDescent="0.25">
      <c r="B1007"/>
      <c r="C1007"/>
      <c r="D1007"/>
      <c r="E1007"/>
      <c r="F1007"/>
      <c r="G1007"/>
      <c r="H1007"/>
      <c r="I1007"/>
    </row>
    <row r="1008" spans="2:9" x14ac:dyDescent="0.25">
      <c r="B1008"/>
      <c r="C1008"/>
      <c r="D1008"/>
      <c r="E1008"/>
      <c r="F1008"/>
      <c r="G1008"/>
      <c r="H1008"/>
      <c r="I1008"/>
    </row>
    <row r="1009" spans="2:9" x14ac:dyDescent="0.25">
      <c r="B1009"/>
      <c r="C1009"/>
      <c r="D1009"/>
      <c r="E1009"/>
      <c r="F1009"/>
      <c r="G1009"/>
      <c r="H1009"/>
      <c r="I1009"/>
    </row>
    <row r="1010" spans="2:9" x14ac:dyDescent="0.25">
      <c r="B1010"/>
      <c r="C1010"/>
      <c r="D1010"/>
      <c r="E1010"/>
      <c r="F1010"/>
      <c r="G1010"/>
      <c r="H1010"/>
      <c r="I1010"/>
    </row>
    <row r="1011" spans="2:9" x14ac:dyDescent="0.25">
      <c r="B1011"/>
      <c r="C1011"/>
      <c r="D1011"/>
      <c r="E1011"/>
      <c r="F1011"/>
      <c r="G1011"/>
      <c r="H1011"/>
      <c r="I1011"/>
    </row>
    <row r="1012" spans="2:9" x14ac:dyDescent="0.25">
      <c r="B1012"/>
      <c r="C1012"/>
      <c r="D1012"/>
      <c r="E1012"/>
      <c r="F1012"/>
      <c r="G1012"/>
      <c r="H1012"/>
      <c r="I1012"/>
    </row>
    <row r="1013" spans="2:9" x14ac:dyDescent="0.25">
      <c r="B1013"/>
      <c r="C1013"/>
      <c r="D1013"/>
      <c r="E1013"/>
      <c r="F1013"/>
      <c r="G1013"/>
      <c r="H1013"/>
      <c r="I1013"/>
    </row>
    <row r="1014" spans="2:9" x14ac:dyDescent="0.25">
      <c r="B1014"/>
      <c r="C1014"/>
      <c r="D1014"/>
      <c r="E1014"/>
      <c r="F1014"/>
      <c r="G1014"/>
      <c r="H1014"/>
      <c r="I1014"/>
    </row>
    <row r="1015" spans="2:9" x14ac:dyDescent="0.25">
      <c r="B1015"/>
      <c r="C1015"/>
      <c r="D1015"/>
      <c r="E1015"/>
      <c r="F1015"/>
      <c r="G1015"/>
      <c r="H1015"/>
      <c r="I1015"/>
    </row>
    <row r="1016" spans="2:9" x14ac:dyDescent="0.25">
      <c r="B1016"/>
      <c r="C1016"/>
      <c r="D1016"/>
      <c r="E1016"/>
      <c r="F1016"/>
      <c r="G1016"/>
      <c r="H1016"/>
      <c r="I1016"/>
    </row>
    <row r="1017" spans="2:9" x14ac:dyDescent="0.25">
      <c r="B1017"/>
      <c r="C1017"/>
      <c r="D1017"/>
      <c r="E1017"/>
      <c r="F1017"/>
      <c r="G1017"/>
      <c r="H1017"/>
      <c r="I1017"/>
    </row>
    <row r="1018" spans="2:9" x14ac:dyDescent="0.25">
      <c r="B1018"/>
      <c r="C1018"/>
      <c r="D1018"/>
      <c r="E1018"/>
      <c r="F1018"/>
      <c r="G1018"/>
      <c r="H1018"/>
      <c r="I1018"/>
    </row>
    <row r="1019" spans="2:9" x14ac:dyDescent="0.25">
      <c r="B1019"/>
      <c r="C1019"/>
      <c r="D1019"/>
      <c r="E1019"/>
      <c r="F1019"/>
      <c r="G1019"/>
      <c r="H1019"/>
      <c r="I1019"/>
    </row>
    <row r="1020" spans="2:9" x14ac:dyDescent="0.25">
      <c r="B1020"/>
      <c r="C1020"/>
      <c r="D1020"/>
      <c r="E1020"/>
      <c r="F1020"/>
      <c r="G1020"/>
      <c r="H1020"/>
      <c r="I1020"/>
    </row>
    <row r="1021" spans="2:9" x14ac:dyDescent="0.25">
      <c r="B1021"/>
      <c r="C1021"/>
      <c r="D1021"/>
      <c r="E1021"/>
      <c r="F1021"/>
      <c r="G1021"/>
      <c r="H1021"/>
      <c r="I1021"/>
    </row>
    <row r="1022" spans="2:9" x14ac:dyDescent="0.25">
      <c r="B1022"/>
      <c r="C1022"/>
      <c r="D1022"/>
      <c r="E1022"/>
      <c r="F1022"/>
      <c r="G1022"/>
      <c r="H1022"/>
      <c r="I1022"/>
    </row>
    <row r="1023" spans="2:9" x14ac:dyDescent="0.25">
      <c r="B1023"/>
      <c r="C1023"/>
      <c r="D1023"/>
      <c r="E1023"/>
      <c r="F1023"/>
      <c r="G1023"/>
      <c r="H1023"/>
      <c r="I1023"/>
    </row>
    <row r="1024" spans="2:9" x14ac:dyDescent="0.25">
      <c r="B1024"/>
      <c r="C1024"/>
      <c r="D1024"/>
      <c r="E1024"/>
      <c r="F1024"/>
      <c r="G1024"/>
      <c r="H1024"/>
      <c r="I1024"/>
    </row>
    <row r="1025" spans="2:9" x14ac:dyDescent="0.25">
      <c r="B1025"/>
      <c r="C1025"/>
      <c r="D1025"/>
      <c r="E1025"/>
      <c r="F1025"/>
      <c r="G1025"/>
      <c r="H1025"/>
      <c r="I1025"/>
    </row>
    <row r="1026" spans="2:9" x14ac:dyDescent="0.25">
      <c r="B1026"/>
      <c r="C1026"/>
      <c r="D1026"/>
      <c r="E1026"/>
      <c r="F1026"/>
      <c r="G1026"/>
      <c r="H1026"/>
      <c r="I1026"/>
    </row>
    <row r="1027" spans="2:9" x14ac:dyDescent="0.25">
      <c r="B1027"/>
      <c r="C1027"/>
      <c r="D1027"/>
      <c r="E1027"/>
      <c r="F1027"/>
      <c r="G1027"/>
      <c r="H1027"/>
      <c r="I1027"/>
    </row>
    <row r="1028" spans="2:9" x14ac:dyDescent="0.25">
      <c r="B1028"/>
      <c r="C1028"/>
      <c r="D1028"/>
      <c r="E1028"/>
      <c r="F1028"/>
      <c r="G1028"/>
      <c r="H1028"/>
      <c r="I1028"/>
    </row>
    <row r="1029" spans="2:9" x14ac:dyDescent="0.25">
      <c r="B1029"/>
      <c r="C1029"/>
      <c r="D1029"/>
      <c r="E1029"/>
      <c r="F1029"/>
      <c r="G1029"/>
      <c r="H1029"/>
      <c r="I1029"/>
    </row>
    <row r="1030" spans="2:9" x14ac:dyDescent="0.25">
      <c r="B1030"/>
      <c r="C1030"/>
      <c r="D1030"/>
      <c r="E1030"/>
      <c r="F1030"/>
      <c r="G1030"/>
      <c r="H1030"/>
      <c r="I1030"/>
    </row>
    <row r="1031" spans="2:9" x14ac:dyDescent="0.25">
      <c r="B1031"/>
      <c r="C1031"/>
      <c r="D1031"/>
      <c r="E1031"/>
      <c r="F1031"/>
      <c r="G1031"/>
      <c r="H1031"/>
      <c r="I1031"/>
    </row>
    <row r="1032" spans="2:9" x14ac:dyDescent="0.25">
      <c r="B1032"/>
      <c r="C1032"/>
      <c r="D1032"/>
      <c r="E1032"/>
      <c r="F1032"/>
      <c r="G1032"/>
      <c r="H1032"/>
      <c r="I1032"/>
    </row>
    <row r="1033" spans="2:9" x14ac:dyDescent="0.25">
      <c r="B1033"/>
      <c r="C1033"/>
      <c r="D1033"/>
      <c r="E1033"/>
      <c r="F1033"/>
      <c r="G1033"/>
      <c r="H1033"/>
      <c r="I1033"/>
    </row>
    <row r="1034" spans="2:9" x14ac:dyDescent="0.25">
      <c r="B1034"/>
      <c r="C1034"/>
      <c r="D1034"/>
      <c r="E1034"/>
      <c r="F1034"/>
      <c r="G1034"/>
      <c r="H1034"/>
      <c r="I1034"/>
    </row>
    <row r="1035" spans="2:9" x14ac:dyDescent="0.25">
      <c r="B1035"/>
      <c r="C1035"/>
      <c r="D1035"/>
      <c r="E1035"/>
      <c r="F1035"/>
      <c r="G1035"/>
      <c r="H1035"/>
      <c r="I1035"/>
    </row>
    <row r="1036" spans="2:9" x14ac:dyDescent="0.25">
      <c r="B1036"/>
      <c r="C1036"/>
      <c r="D1036"/>
      <c r="E1036"/>
      <c r="F1036"/>
      <c r="G1036"/>
      <c r="H1036"/>
      <c r="I1036"/>
    </row>
    <row r="1037" spans="2:9" x14ac:dyDescent="0.25">
      <c r="B1037"/>
      <c r="C1037"/>
      <c r="D1037"/>
      <c r="E1037"/>
      <c r="F1037"/>
      <c r="G1037"/>
      <c r="H1037"/>
      <c r="I1037"/>
    </row>
    <row r="1038" spans="2:9" x14ac:dyDescent="0.25">
      <c r="B1038"/>
      <c r="C1038"/>
      <c r="D1038"/>
      <c r="E1038"/>
      <c r="F1038"/>
      <c r="G1038"/>
      <c r="H1038"/>
      <c r="I1038"/>
    </row>
    <row r="1039" spans="2:9" x14ac:dyDescent="0.25">
      <c r="B1039"/>
      <c r="C1039"/>
      <c r="D1039"/>
      <c r="E1039"/>
      <c r="F1039"/>
      <c r="G1039"/>
      <c r="H1039"/>
      <c r="I1039"/>
    </row>
    <row r="1040" spans="2:9" x14ac:dyDescent="0.25">
      <c r="B1040"/>
      <c r="C1040"/>
      <c r="D1040"/>
      <c r="E1040"/>
      <c r="F1040"/>
      <c r="G1040"/>
      <c r="H1040"/>
      <c r="I1040"/>
    </row>
    <row r="1041" spans="2:9" x14ac:dyDescent="0.25">
      <c r="B1041"/>
      <c r="C1041"/>
      <c r="D1041"/>
      <c r="E1041"/>
      <c r="F1041"/>
      <c r="G1041"/>
      <c r="H1041"/>
      <c r="I1041"/>
    </row>
    <row r="1042" spans="2:9" x14ac:dyDescent="0.25">
      <c r="B1042"/>
      <c r="C1042"/>
      <c r="D1042"/>
      <c r="E1042"/>
      <c r="F1042"/>
      <c r="G1042"/>
      <c r="H1042"/>
      <c r="I1042"/>
    </row>
    <row r="1043" spans="2:9" x14ac:dyDescent="0.25">
      <c r="B1043"/>
      <c r="C1043"/>
      <c r="D1043"/>
      <c r="E1043"/>
      <c r="F1043"/>
      <c r="G1043"/>
      <c r="H1043"/>
      <c r="I1043"/>
    </row>
    <row r="1044" spans="2:9" x14ac:dyDescent="0.25">
      <c r="B1044"/>
      <c r="C1044"/>
      <c r="D1044"/>
      <c r="E1044"/>
      <c r="F1044"/>
      <c r="G1044"/>
      <c r="H1044"/>
      <c r="I1044"/>
    </row>
    <row r="1045" spans="2:9" x14ac:dyDescent="0.25">
      <c r="B1045"/>
      <c r="C1045"/>
      <c r="D1045"/>
      <c r="E1045"/>
      <c r="F1045"/>
      <c r="G1045"/>
      <c r="H1045"/>
      <c r="I1045"/>
    </row>
    <row r="1046" spans="2:9" x14ac:dyDescent="0.25">
      <c r="B1046"/>
      <c r="C1046"/>
      <c r="D1046"/>
      <c r="E1046"/>
      <c r="F1046"/>
      <c r="G1046"/>
      <c r="H1046"/>
      <c r="I1046"/>
    </row>
    <row r="1047" spans="2:9" x14ac:dyDescent="0.25">
      <c r="B1047"/>
      <c r="C1047"/>
      <c r="D1047"/>
      <c r="E1047"/>
      <c r="F1047"/>
      <c r="G1047"/>
      <c r="H1047"/>
      <c r="I1047"/>
    </row>
    <row r="1048" spans="2:9" x14ac:dyDescent="0.25">
      <c r="B1048"/>
      <c r="C1048"/>
      <c r="D1048"/>
      <c r="E1048"/>
      <c r="F1048"/>
      <c r="G1048"/>
      <c r="H1048"/>
      <c r="I1048"/>
    </row>
    <row r="1049" spans="2:9" x14ac:dyDescent="0.25">
      <c r="B1049"/>
      <c r="C1049"/>
      <c r="D1049"/>
      <c r="E1049"/>
      <c r="F1049"/>
      <c r="G1049"/>
      <c r="H1049"/>
      <c r="I1049"/>
    </row>
    <row r="1050" spans="2:9" x14ac:dyDescent="0.25">
      <c r="B1050"/>
      <c r="C1050"/>
      <c r="D1050"/>
      <c r="E1050"/>
      <c r="F1050"/>
      <c r="G1050"/>
      <c r="H1050"/>
      <c r="I1050"/>
    </row>
    <row r="1051" spans="2:9" x14ac:dyDescent="0.25">
      <c r="B1051"/>
      <c r="C1051"/>
      <c r="D1051"/>
      <c r="E1051"/>
      <c r="F1051"/>
      <c r="G1051"/>
      <c r="H1051"/>
      <c r="I1051"/>
    </row>
    <row r="1052" spans="2:9" x14ac:dyDescent="0.25">
      <c r="B1052"/>
      <c r="C1052"/>
      <c r="D1052"/>
      <c r="E1052"/>
      <c r="F1052"/>
      <c r="G1052"/>
      <c r="H1052"/>
      <c r="I1052"/>
    </row>
    <row r="1053" spans="2:9" x14ac:dyDescent="0.25">
      <c r="B1053"/>
      <c r="C1053"/>
      <c r="D1053"/>
      <c r="E1053"/>
      <c r="F1053"/>
      <c r="G1053"/>
      <c r="H1053"/>
      <c r="I1053"/>
    </row>
    <row r="1054" spans="2:9" x14ac:dyDescent="0.25">
      <c r="B1054"/>
      <c r="C1054"/>
      <c r="D1054"/>
      <c r="E1054"/>
      <c r="F1054"/>
      <c r="G1054"/>
      <c r="H1054"/>
      <c r="I1054"/>
    </row>
    <row r="1055" spans="2:9" x14ac:dyDescent="0.25">
      <c r="B1055"/>
      <c r="C1055"/>
      <c r="D1055"/>
      <c r="E1055"/>
      <c r="F1055"/>
      <c r="G1055"/>
      <c r="H1055"/>
      <c r="I1055"/>
    </row>
    <row r="1056" spans="2:9" x14ac:dyDescent="0.25">
      <c r="B1056"/>
      <c r="C1056"/>
      <c r="D1056"/>
      <c r="E1056"/>
      <c r="F1056"/>
      <c r="G1056"/>
      <c r="H1056"/>
      <c r="I1056"/>
    </row>
    <row r="1057" spans="2:9" x14ac:dyDescent="0.25">
      <c r="B1057"/>
      <c r="C1057"/>
      <c r="D1057"/>
      <c r="E1057"/>
      <c r="F1057"/>
      <c r="G1057"/>
      <c r="H1057"/>
      <c r="I1057"/>
    </row>
    <row r="1058" spans="2:9" x14ac:dyDescent="0.25">
      <c r="B1058"/>
      <c r="C1058"/>
      <c r="D1058"/>
      <c r="E1058"/>
      <c r="F1058"/>
      <c r="G1058"/>
      <c r="H1058"/>
      <c r="I1058"/>
    </row>
    <row r="1059" spans="2:9" x14ac:dyDescent="0.25">
      <c r="B1059"/>
      <c r="C1059"/>
      <c r="D1059"/>
      <c r="E1059"/>
      <c r="F1059"/>
      <c r="G1059"/>
      <c r="H1059"/>
      <c r="I1059"/>
    </row>
    <row r="1060" spans="2:9" x14ac:dyDescent="0.25">
      <c r="B1060"/>
      <c r="C1060"/>
      <c r="D1060"/>
      <c r="E1060"/>
      <c r="F1060"/>
      <c r="G1060"/>
      <c r="H1060"/>
      <c r="I1060"/>
    </row>
    <row r="1061" spans="2:9" x14ac:dyDescent="0.25">
      <c r="B1061"/>
      <c r="C1061"/>
      <c r="D1061"/>
      <c r="E1061"/>
      <c r="F1061"/>
      <c r="G1061"/>
      <c r="H1061"/>
      <c r="I1061"/>
    </row>
    <row r="1062" spans="2:9" x14ac:dyDescent="0.25">
      <c r="B1062"/>
      <c r="C1062"/>
      <c r="D1062"/>
      <c r="E1062"/>
      <c r="F1062"/>
      <c r="G1062"/>
      <c r="H1062"/>
      <c r="I1062"/>
    </row>
    <row r="1063" spans="2:9" x14ac:dyDescent="0.25">
      <c r="B1063"/>
      <c r="C1063"/>
      <c r="D1063"/>
      <c r="E1063"/>
      <c r="F1063"/>
      <c r="G1063"/>
      <c r="H1063"/>
      <c r="I1063"/>
    </row>
    <row r="1064" spans="2:9" x14ac:dyDescent="0.25">
      <c r="B1064"/>
      <c r="C1064"/>
      <c r="D1064"/>
      <c r="E1064"/>
      <c r="F1064"/>
      <c r="G1064"/>
      <c r="H1064"/>
      <c r="I1064"/>
    </row>
    <row r="1065" spans="2:9" x14ac:dyDescent="0.25">
      <c r="B1065"/>
      <c r="C1065"/>
      <c r="D1065"/>
      <c r="E1065"/>
      <c r="F1065"/>
      <c r="G1065"/>
      <c r="H1065"/>
      <c r="I1065"/>
    </row>
    <row r="1066" spans="2:9" x14ac:dyDescent="0.25">
      <c r="B1066"/>
      <c r="C1066"/>
      <c r="D1066"/>
      <c r="E1066"/>
      <c r="F1066"/>
      <c r="G1066"/>
      <c r="H1066"/>
      <c r="I1066"/>
    </row>
    <row r="1067" spans="2:9" x14ac:dyDescent="0.25">
      <c r="B1067"/>
      <c r="C1067"/>
      <c r="D1067"/>
      <c r="E1067"/>
      <c r="F1067"/>
      <c r="G1067"/>
      <c r="H1067"/>
      <c r="I1067"/>
    </row>
    <row r="1068" spans="2:9" x14ac:dyDescent="0.25">
      <c r="B1068"/>
      <c r="C1068"/>
      <c r="D1068"/>
      <c r="E1068"/>
      <c r="F1068"/>
      <c r="G1068"/>
      <c r="H1068"/>
      <c r="I1068"/>
    </row>
    <row r="1069" spans="2:9" x14ac:dyDescent="0.25">
      <c r="B1069"/>
      <c r="C1069"/>
      <c r="D1069"/>
      <c r="E1069"/>
      <c r="F1069"/>
      <c r="G1069"/>
      <c r="H1069"/>
      <c r="I1069"/>
    </row>
    <row r="1070" spans="2:9" x14ac:dyDescent="0.25">
      <c r="B1070"/>
      <c r="C1070"/>
      <c r="D1070"/>
      <c r="E1070"/>
      <c r="F1070"/>
      <c r="G1070"/>
      <c r="H1070"/>
      <c r="I1070"/>
    </row>
    <row r="1071" spans="2:9" x14ac:dyDescent="0.25">
      <c r="B1071"/>
      <c r="C1071"/>
      <c r="D1071"/>
      <c r="E1071"/>
      <c r="F1071"/>
      <c r="G1071"/>
      <c r="H1071"/>
      <c r="I1071"/>
    </row>
    <row r="1072" spans="2:9" x14ac:dyDescent="0.25">
      <c r="B1072"/>
      <c r="C1072"/>
      <c r="D1072"/>
      <c r="E1072"/>
      <c r="F1072"/>
      <c r="G1072"/>
      <c r="H1072"/>
      <c r="I1072"/>
    </row>
    <row r="1073" spans="2:9" x14ac:dyDescent="0.25">
      <c r="B1073"/>
      <c r="C1073"/>
      <c r="D1073"/>
      <c r="E1073"/>
      <c r="F1073"/>
      <c r="G1073"/>
      <c r="H1073"/>
      <c r="I1073"/>
    </row>
    <row r="1074" spans="2:9" x14ac:dyDescent="0.25">
      <c r="B1074"/>
      <c r="C1074"/>
      <c r="D1074"/>
      <c r="E1074"/>
      <c r="F1074"/>
      <c r="G1074"/>
      <c r="H1074"/>
      <c r="I1074"/>
    </row>
    <row r="1075" spans="2:9" x14ac:dyDescent="0.25">
      <c r="B1075"/>
      <c r="C1075"/>
      <c r="D1075"/>
      <c r="E1075"/>
      <c r="F1075"/>
      <c r="G1075"/>
      <c r="H1075"/>
      <c r="I1075"/>
    </row>
    <row r="1076" spans="2:9" x14ac:dyDescent="0.25">
      <c r="B1076"/>
      <c r="C1076"/>
      <c r="D1076"/>
      <c r="E1076"/>
      <c r="F1076"/>
      <c r="G1076"/>
      <c r="H1076"/>
      <c r="I1076"/>
    </row>
    <row r="1077" spans="2:9" x14ac:dyDescent="0.25">
      <c r="B1077"/>
      <c r="C1077"/>
      <c r="D1077"/>
      <c r="E1077"/>
      <c r="F1077"/>
      <c r="G1077"/>
      <c r="H1077"/>
      <c r="I1077"/>
    </row>
    <row r="1078" spans="2:9" x14ac:dyDescent="0.25">
      <c r="B1078"/>
      <c r="C1078"/>
      <c r="D1078"/>
      <c r="E1078"/>
      <c r="F1078"/>
      <c r="G1078"/>
      <c r="H1078"/>
      <c r="I1078"/>
    </row>
    <row r="1079" spans="2:9" x14ac:dyDescent="0.25">
      <c r="B1079"/>
      <c r="C1079"/>
      <c r="D1079"/>
      <c r="E1079"/>
      <c r="F1079"/>
      <c r="G1079"/>
      <c r="H1079"/>
      <c r="I1079"/>
    </row>
    <row r="1080" spans="2:9" x14ac:dyDescent="0.25">
      <c r="B1080"/>
      <c r="C1080"/>
      <c r="D1080"/>
      <c r="E1080"/>
      <c r="F1080"/>
      <c r="G1080"/>
      <c r="H1080"/>
      <c r="I1080"/>
    </row>
    <row r="1081" spans="2:9" x14ac:dyDescent="0.25">
      <c r="B1081"/>
      <c r="C1081"/>
      <c r="D1081"/>
      <c r="E1081"/>
      <c r="F1081"/>
      <c r="G1081"/>
      <c r="H1081"/>
      <c r="I1081"/>
    </row>
    <row r="1082" spans="2:9" x14ac:dyDescent="0.25">
      <c r="B1082"/>
      <c r="C1082"/>
      <c r="D1082"/>
      <c r="E1082"/>
      <c r="F1082"/>
      <c r="G1082"/>
      <c r="H1082"/>
      <c r="I1082"/>
    </row>
    <row r="1083" spans="2:9" x14ac:dyDescent="0.25">
      <c r="B1083"/>
      <c r="C1083"/>
      <c r="D1083"/>
      <c r="E1083"/>
      <c r="F1083"/>
      <c r="G1083"/>
      <c r="H1083"/>
      <c r="I1083"/>
    </row>
    <row r="1084" spans="2:9" x14ac:dyDescent="0.25">
      <c r="B1084"/>
      <c r="C1084"/>
      <c r="D1084"/>
      <c r="E1084"/>
      <c r="F1084"/>
      <c r="G1084"/>
      <c r="H1084"/>
      <c r="I1084"/>
    </row>
    <row r="1085" spans="2:9" x14ac:dyDescent="0.25">
      <c r="B1085"/>
      <c r="C1085"/>
      <c r="D1085"/>
      <c r="E1085"/>
      <c r="F1085"/>
      <c r="G1085"/>
      <c r="H1085"/>
      <c r="I1085"/>
    </row>
    <row r="1086" spans="2:9" x14ac:dyDescent="0.25">
      <c r="B1086"/>
      <c r="C1086"/>
      <c r="D1086"/>
      <c r="E1086"/>
      <c r="F1086"/>
      <c r="G1086"/>
      <c r="H1086"/>
      <c r="I1086"/>
    </row>
    <row r="1087" spans="2:9" x14ac:dyDescent="0.25">
      <c r="B1087"/>
      <c r="C1087"/>
      <c r="D1087"/>
      <c r="E1087"/>
      <c r="F1087"/>
      <c r="G1087"/>
      <c r="H1087"/>
      <c r="I1087"/>
    </row>
    <row r="1088" spans="2:9" x14ac:dyDescent="0.25">
      <c r="B1088"/>
      <c r="C1088"/>
      <c r="D1088"/>
      <c r="E1088"/>
      <c r="F1088"/>
      <c r="G1088"/>
      <c r="H1088"/>
      <c r="I1088"/>
    </row>
    <row r="1089" spans="2:9" x14ac:dyDescent="0.25">
      <c r="B1089"/>
      <c r="C1089"/>
      <c r="D1089"/>
      <c r="E1089"/>
      <c r="F1089"/>
      <c r="G1089"/>
      <c r="H1089"/>
      <c r="I1089"/>
    </row>
    <row r="1090" spans="2:9" x14ac:dyDescent="0.25">
      <c r="B1090"/>
      <c r="C1090"/>
      <c r="D1090"/>
      <c r="E1090"/>
      <c r="F1090"/>
      <c r="G1090"/>
      <c r="H1090"/>
      <c r="I1090"/>
    </row>
    <row r="1091" spans="2:9" x14ac:dyDescent="0.25">
      <c r="B1091"/>
      <c r="C1091"/>
      <c r="D1091"/>
      <c r="E1091"/>
      <c r="F1091"/>
      <c r="G1091"/>
      <c r="H1091"/>
      <c r="I1091"/>
    </row>
    <row r="1092" spans="2:9" x14ac:dyDescent="0.25">
      <c r="B1092"/>
      <c r="C1092"/>
      <c r="D1092"/>
      <c r="E1092"/>
      <c r="F1092"/>
      <c r="G1092"/>
      <c r="H1092"/>
      <c r="I1092"/>
    </row>
    <row r="1093" spans="2:9" x14ac:dyDescent="0.25">
      <c r="B1093"/>
      <c r="C1093"/>
      <c r="D1093"/>
      <c r="E1093"/>
      <c r="F1093"/>
      <c r="G1093"/>
      <c r="H1093"/>
      <c r="I1093"/>
    </row>
    <row r="1094" spans="2:9" x14ac:dyDescent="0.25">
      <c r="B1094"/>
      <c r="C1094"/>
      <c r="D1094"/>
      <c r="E1094"/>
      <c r="F1094"/>
      <c r="G1094"/>
      <c r="H1094"/>
      <c r="I1094"/>
    </row>
    <row r="1095" spans="2:9" x14ac:dyDescent="0.25">
      <c r="B1095"/>
      <c r="C1095"/>
      <c r="D1095"/>
      <c r="E1095"/>
      <c r="F1095"/>
      <c r="G1095"/>
      <c r="H1095"/>
      <c r="I1095"/>
    </row>
    <row r="1096" spans="2:9" x14ac:dyDescent="0.25">
      <c r="B1096"/>
      <c r="C1096"/>
      <c r="D1096"/>
      <c r="E1096"/>
      <c r="F1096"/>
      <c r="G1096"/>
      <c r="H1096"/>
      <c r="I1096"/>
    </row>
    <row r="1097" spans="2:9" x14ac:dyDescent="0.25">
      <c r="B1097"/>
      <c r="C1097"/>
      <c r="D1097"/>
      <c r="E1097"/>
      <c r="F1097"/>
      <c r="G1097"/>
      <c r="H1097"/>
      <c r="I1097"/>
    </row>
    <row r="1098" spans="2:9" x14ac:dyDescent="0.25">
      <c r="B1098"/>
      <c r="C1098"/>
      <c r="D1098"/>
      <c r="E1098"/>
      <c r="F1098"/>
      <c r="G1098"/>
      <c r="H1098"/>
      <c r="I1098"/>
    </row>
    <row r="1099" spans="2:9" x14ac:dyDescent="0.25">
      <c r="B1099"/>
      <c r="C1099"/>
      <c r="D1099"/>
      <c r="E1099"/>
      <c r="F1099"/>
      <c r="G1099"/>
      <c r="H1099"/>
      <c r="I1099"/>
    </row>
    <row r="1100" spans="2:9" x14ac:dyDescent="0.25">
      <c r="B1100"/>
      <c r="C1100"/>
      <c r="D1100"/>
      <c r="E1100"/>
      <c r="F1100"/>
      <c r="G1100"/>
      <c r="H1100"/>
      <c r="I1100"/>
    </row>
    <row r="1101" spans="2:9" x14ac:dyDescent="0.25">
      <c r="B1101"/>
      <c r="C1101"/>
      <c r="D1101"/>
      <c r="E1101"/>
      <c r="F1101"/>
      <c r="G1101"/>
      <c r="H1101"/>
      <c r="I1101"/>
    </row>
    <row r="1102" spans="2:9" x14ac:dyDescent="0.25">
      <c r="B1102"/>
      <c r="C1102"/>
      <c r="D1102"/>
      <c r="E1102"/>
      <c r="F1102"/>
      <c r="G1102"/>
      <c r="H1102"/>
      <c r="I1102"/>
    </row>
    <row r="1103" spans="2:9" x14ac:dyDescent="0.25">
      <c r="B1103"/>
      <c r="C1103"/>
      <c r="D1103"/>
      <c r="E1103"/>
      <c r="F1103"/>
      <c r="G1103"/>
      <c r="H1103"/>
      <c r="I1103"/>
    </row>
    <row r="1104" spans="2:9" x14ac:dyDescent="0.25">
      <c r="B1104"/>
      <c r="C1104"/>
      <c r="D1104"/>
      <c r="E1104"/>
      <c r="F1104"/>
      <c r="G1104"/>
      <c r="H1104"/>
      <c r="I1104"/>
    </row>
    <row r="1105" spans="2:9" x14ac:dyDescent="0.25">
      <c r="B1105"/>
      <c r="C1105"/>
      <c r="D1105"/>
      <c r="E1105"/>
      <c r="F1105"/>
      <c r="G1105"/>
      <c r="H1105"/>
      <c r="I1105"/>
    </row>
    <row r="1106" spans="2:9" x14ac:dyDescent="0.25">
      <c r="B1106"/>
      <c r="C1106"/>
      <c r="D1106"/>
      <c r="E1106"/>
      <c r="F1106"/>
      <c r="G1106"/>
      <c r="H1106"/>
      <c r="I1106"/>
    </row>
    <row r="1107" spans="2:9" x14ac:dyDescent="0.25">
      <c r="B1107"/>
      <c r="C1107"/>
      <c r="D1107"/>
      <c r="E1107"/>
      <c r="F1107"/>
      <c r="G1107"/>
      <c r="H1107"/>
      <c r="I1107"/>
    </row>
    <row r="1108" spans="2:9" x14ac:dyDescent="0.25">
      <c r="B1108"/>
      <c r="C1108"/>
      <c r="D1108"/>
      <c r="E1108"/>
      <c r="F1108"/>
      <c r="G1108"/>
      <c r="H1108"/>
      <c r="I1108"/>
    </row>
    <row r="1109" spans="2:9" x14ac:dyDescent="0.25">
      <c r="B1109"/>
      <c r="C1109"/>
      <c r="D1109"/>
      <c r="E1109"/>
      <c r="F1109"/>
      <c r="G1109"/>
      <c r="H1109"/>
      <c r="I1109"/>
    </row>
    <row r="1110" spans="2:9" x14ac:dyDescent="0.25">
      <c r="B1110"/>
      <c r="C1110"/>
      <c r="D1110"/>
      <c r="E1110"/>
      <c r="F1110"/>
      <c r="G1110"/>
      <c r="H1110"/>
      <c r="I1110"/>
    </row>
    <row r="1111" spans="2:9" x14ac:dyDescent="0.25">
      <c r="B1111"/>
      <c r="C1111"/>
      <c r="D1111"/>
      <c r="E1111"/>
      <c r="F1111"/>
      <c r="G1111"/>
      <c r="H1111"/>
      <c r="I1111"/>
    </row>
    <row r="1112" spans="2:9" x14ac:dyDescent="0.25">
      <c r="B1112"/>
      <c r="C1112"/>
      <c r="D1112"/>
      <c r="E1112"/>
      <c r="F1112"/>
      <c r="G1112"/>
      <c r="H1112"/>
      <c r="I1112"/>
    </row>
    <row r="1113" spans="2:9" x14ac:dyDescent="0.25">
      <c r="B1113"/>
      <c r="C1113"/>
      <c r="D1113"/>
      <c r="E1113"/>
      <c r="F1113"/>
      <c r="G1113"/>
      <c r="H1113"/>
      <c r="I1113"/>
    </row>
    <row r="1114" spans="2:9" x14ac:dyDescent="0.25">
      <c r="B1114"/>
      <c r="C1114"/>
      <c r="D1114"/>
      <c r="E1114"/>
      <c r="F1114"/>
      <c r="G1114"/>
      <c r="H1114"/>
      <c r="I1114"/>
    </row>
    <row r="1115" spans="2:9" x14ac:dyDescent="0.25">
      <c r="B1115"/>
      <c r="C1115"/>
      <c r="D1115"/>
      <c r="E1115"/>
      <c r="F1115"/>
      <c r="G1115"/>
      <c r="H1115"/>
      <c r="I1115"/>
    </row>
    <row r="1116" spans="2:9" x14ac:dyDescent="0.25">
      <c r="B1116"/>
      <c r="C1116"/>
      <c r="D1116"/>
      <c r="E1116"/>
      <c r="F1116"/>
      <c r="G1116"/>
      <c r="H1116"/>
      <c r="I1116"/>
    </row>
    <row r="1117" spans="2:9" x14ac:dyDescent="0.25">
      <c r="B1117"/>
      <c r="C1117"/>
      <c r="D1117"/>
      <c r="E1117"/>
      <c r="F1117"/>
      <c r="G1117"/>
      <c r="H1117"/>
      <c r="I1117"/>
    </row>
    <row r="1118" spans="2:9" x14ac:dyDescent="0.25">
      <c r="B1118"/>
      <c r="C1118"/>
      <c r="D1118"/>
      <c r="E1118"/>
      <c r="F1118"/>
      <c r="G1118"/>
      <c r="H1118"/>
      <c r="I1118"/>
    </row>
    <row r="1119" spans="2:9" x14ac:dyDescent="0.25">
      <c r="B1119"/>
      <c r="C1119"/>
      <c r="D1119"/>
      <c r="E1119"/>
      <c r="F1119"/>
      <c r="G1119"/>
      <c r="H1119"/>
      <c r="I1119"/>
    </row>
    <row r="1120" spans="2:9" x14ac:dyDescent="0.25">
      <c r="B1120"/>
      <c r="C1120"/>
      <c r="D1120"/>
      <c r="E1120"/>
      <c r="F1120"/>
      <c r="G1120"/>
      <c r="H1120"/>
      <c r="I1120"/>
    </row>
    <row r="1121" spans="2:9" x14ac:dyDescent="0.25">
      <c r="B1121"/>
      <c r="C1121"/>
      <c r="D1121"/>
      <c r="E1121"/>
      <c r="F1121"/>
      <c r="G1121"/>
      <c r="H1121"/>
      <c r="I1121"/>
    </row>
    <row r="1122" spans="2:9" x14ac:dyDescent="0.25">
      <c r="B1122"/>
      <c r="C1122"/>
      <c r="D1122"/>
      <c r="E1122"/>
      <c r="F1122"/>
      <c r="G1122"/>
      <c r="H1122"/>
      <c r="I1122"/>
    </row>
    <row r="1123" spans="2:9" x14ac:dyDescent="0.25">
      <c r="B1123"/>
      <c r="C1123"/>
      <c r="D1123"/>
      <c r="E1123"/>
      <c r="F1123"/>
      <c r="G1123"/>
      <c r="H1123"/>
      <c r="I1123"/>
    </row>
    <row r="1124" spans="2:9" x14ac:dyDescent="0.25">
      <c r="B1124"/>
      <c r="C1124"/>
      <c r="D1124"/>
      <c r="E1124"/>
      <c r="F1124"/>
      <c r="G1124"/>
      <c r="H1124"/>
      <c r="I1124"/>
    </row>
    <row r="1125" spans="2:9" x14ac:dyDescent="0.25">
      <c r="B1125"/>
      <c r="C1125"/>
      <c r="D1125"/>
      <c r="E1125"/>
      <c r="F1125"/>
      <c r="G1125"/>
      <c r="H1125"/>
      <c r="I1125"/>
    </row>
    <row r="1126" spans="2:9" x14ac:dyDescent="0.25">
      <c r="B1126"/>
      <c r="C1126"/>
      <c r="D1126"/>
      <c r="E1126"/>
      <c r="F1126"/>
      <c r="G1126"/>
      <c r="H1126"/>
      <c r="I1126"/>
    </row>
    <row r="1127" spans="2:9" x14ac:dyDescent="0.25">
      <c r="B1127"/>
      <c r="C1127"/>
      <c r="D1127"/>
      <c r="E1127"/>
      <c r="F1127"/>
      <c r="G1127"/>
      <c r="H1127"/>
      <c r="I1127"/>
    </row>
    <row r="1128" spans="2:9" x14ac:dyDescent="0.25">
      <c r="B1128"/>
      <c r="C1128"/>
      <c r="D1128"/>
      <c r="E1128"/>
      <c r="F1128"/>
      <c r="G1128"/>
      <c r="H1128"/>
      <c r="I1128"/>
    </row>
    <row r="1129" spans="2:9" x14ac:dyDescent="0.25">
      <c r="B1129"/>
      <c r="C1129"/>
      <c r="D1129"/>
      <c r="E1129"/>
      <c r="F1129"/>
      <c r="G1129"/>
      <c r="H1129"/>
      <c r="I1129"/>
    </row>
    <row r="1130" spans="2:9" x14ac:dyDescent="0.25">
      <c r="B1130"/>
      <c r="C1130"/>
      <c r="D1130"/>
      <c r="E1130"/>
      <c r="F1130"/>
      <c r="G1130"/>
      <c r="H1130"/>
      <c r="I1130"/>
    </row>
    <row r="1131" spans="2:9" x14ac:dyDescent="0.25">
      <c r="B1131"/>
      <c r="C1131"/>
      <c r="D1131"/>
      <c r="E1131"/>
      <c r="F1131"/>
      <c r="G1131"/>
      <c r="H1131"/>
      <c r="I1131"/>
    </row>
    <row r="1132" spans="2:9" x14ac:dyDescent="0.25">
      <c r="B1132"/>
      <c r="C1132"/>
      <c r="D1132"/>
      <c r="E1132"/>
      <c r="F1132"/>
      <c r="G1132"/>
      <c r="H1132"/>
      <c r="I1132"/>
    </row>
    <row r="1133" spans="2:9" x14ac:dyDescent="0.25">
      <c r="B1133"/>
      <c r="C1133"/>
      <c r="D1133"/>
      <c r="E1133"/>
      <c r="F1133"/>
      <c r="G1133"/>
      <c r="H1133"/>
      <c r="I1133"/>
    </row>
    <row r="1134" spans="2:9" x14ac:dyDescent="0.25">
      <c r="B1134"/>
      <c r="C1134"/>
      <c r="D1134"/>
      <c r="E1134"/>
      <c r="F1134"/>
      <c r="G1134"/>
      <c r="H1134"/>
      <c r="I1134"/>
    </row>
    <row r="1135" spans="2:9" x14ac:dyDescent="0.25">
      <c r="B1135"/>
      <c r="C1135"/>
      <c r="D1135"/>
      <c r="E1135"/>
      <c r="F1135"/>
      <c r="G1135"/>
      <c r="H1135"/>
      <c r="I1135"/>
    </row>
    <row r="1136" spans="2:9" x14ac:dyDescent="0.25">
      <c r="B1136"/>
      <c r="C1136"/>
      <c r="D1136"/>
      <c r="E1136"/>
      <c r="F1136"/>
      <c r="G1136"/>
      <c r="H1136"/>
      <c r="I1136"/>
    </row>
    <row r="1137" spans="2:9" x14ac:dyDescent="0.25">
      <c r="B1137"/>
      <c r="C1137"/>
      <c r="D1137"/>
      <c r="E1137"/>
      <c r="F1137"/>
      <c r="G1137"/>
      <c r="H1137"/>
      <c r="I1137"/>
    </row>
    <row r="1138" spans="2:9" x14ac:dyDescent="0.25">
      <c r="B1138"/>
      <c r="C1138"/>
      <c r="D1138"/>
      <c r="E1138"/>
      <c r="F1138"/>
      <c r="G1138"/>
      <c r="H1138"/>
      <c r="I1138"/>
    </row>
    <row r="1139" spans="2:9" x14ac:dyDescent="0.25">
      <c r="B1139"/>
      <c r="C1139"/>
      <c r="D1139"/>
      <c r="E1139"/>
      <c r="F1139"/>
      <c r="G1139"/>
      <c r="H1139"/>
      <c r="I1139"/>
    </row>
    <row r="1140" spans="2:9" x14ac:dyDescent="0.25">
      <c r="B1140"/>
      <c r="C1140"/>
      <c r="D1140"/>
      <c r="E1140"/>
      <c r="F1140"/>
      <c r="G1140"/>
      <c r="H1140"/>
      <c r="I1140"/>
    </row>
    <row r="1141" spans="2:9" x14ac:dyDescent="0.25">
      <c r="B1141"/>
      <c r="C1141"/>
      <c r="D1141"/>
      <c r="E1141"/>
      <c r="F1141"/>
      <c r="G1141"/>
      <c r="H1141"/>
      <c r="I1141"/>
    </row>
    <row r="1142" spans="2:9" x14ac:dyDescent="0.25">
      <c r="B1142"/>
      <c r="C1142"/>
      <c r="D1142"/>
      <c r="E1142"/>
      <c r="F1142"/>
      <c r="G1142"/>
      <c r="H1142"/>
      <c r="I1142"/>
    </row>
    <row r="1143" spans="2:9" x14ac:dyDescent="0.25">
      <c r="B1143"/>
      <c r="C1143"/>
      <c r="D1143"/>
      <c r="E1143"/>
      <c r="F1143"/>
      <c r="G1143"/>
      <c r="H1143"/>
      <c r="I1143"/>
    </row>
    <row r="1144" spans="2:9" x14ac:dyDescent="0.25">
      <c r="B1144"/>
      <c r="C1144"/>
      <c r="D1144"/>
      <c r="E1144"/>
      <c r="F1144"/>
      <c r="G1144"/>
      <c r="H1144"/>
      <c r="I1144"/>
    </row>
    <row r="1145" spans="2:9" x14ac:dyDescent="0.25">
      <c r="B1145"/>
      <c r="C1145"/>
      <c r="D1145"/>
      <c r="E1145"/>
      <c r="F1145"/>
      <c r="G1145"/>
      <c r="H1145"/>
      <c r="I1145"/>
    </row>
    <row r="1146" spans="2:9" x14ac:dyDescent="0.25">
      <c r="B1146"/>
      <c r="C1146"/>
      <c r="D1146"/>
      <c r="E1146"/>
      <c r="F1146"/>
      <c r="G1146"/>
      <c r="H1146"/>
      <c r="I1146"/>
    </row>
    <row r="1147" spans="2:9" x14ac:dyDescent="0.25">
      <c r="B1147"/>
      <c r="C1147"/>
      <c r="D1147"/>
      <c r="E1147"/>
      <c r="F1147"/>
      <c r="G1147"/>
      <c r="H1147"/>
      <c r="I1147"/>
    </row>
    <row r="1148" spans="2:9" x14ac:dyDescent="0.25">
      <c r="B1148"/>
      <c r="C1148"/>
      <c r="D1148"/>
      <c r="E1148"/>
      <c r="F1148"/>
      <c r="G1148"/>
      <c r="H1148"/>
      <c r="I1148"/>
    </row>
    <row r="1149" spans="2:9" x14ac:dyDescent="0.25">
      <c r="B1149"/>
      <c r="C1149"/>
      <c r="D1149"/>
      <c r="E1149"/>
      <c r="F1149"/>
      <c r="G1149"/>
      <c r="H1149"/>
      <c r="I1149"/>
    </row>
    <row r="1150" spans="2:9" x14ac:dyDescent="0.25">
      <c r="B1150"/>
      <c r="C1150"/>
      <c r="D1150"/>
      <c r="E1150"/>
      <c r="F1150"/>
      <c r="G1150"/>
      <c r="H1150"/>
      <c r="I1150"/>
    </row>
    <row r="1151" spans="2:9" x14ac:dyDescent="0.25">
      <c r="B1151"/>
      <c r="C1151"/>
      <c r="D1151"/>
      <c r="E1151"/>
      <c r="F1151"/>
      <c r="G1151"/>
      <c r="H1151"/>
      <c r="I1151"/>
    </row>
    <row r="1152" spans="2:9" x14ac:dyDescent="0.25">
      <c r="B1152"/>
      <c r="C1152"/>
      <c r="D1152"/>
      <c r="E1152"/>
      <c r="F1152"/>
      <c r="G1152"/>
      <c r="H1152"/>
      <c r="I1152"/>
    </row>
    <row r="1153" spans="2:9" x14ac:dyDescent="0.25">
      <c r="B1153"/>
      <c r="C1153"/>
      <c r="D1153"/>
      <c r="E1153"/>
      <c r="F1153"/>
      <c r="G1153"/>
      <c r="H1153"/>
      <c r="I1153"/>
    </row>
    <row r="1154" spans="2:9" x14ac:dyDescent="0.25">
      <c r="B1154"/>
      <c r="C1154"/>
      <c r="D1154"/>
      <c r="E1154"/>
      <c r="F1154"/>
      <c r="G1154"/>
      <c r="H1154"/>
      <c r="I1154"/>
    </row>
    <row r="1155" spans="2:9" x14ac:dyDescent="0.25">
      <c r="B1155"/>
      <c r="C1155"/>
      <c r="D1155"/>
      <c r="E1155"/>
      <c r="F1155"/>
      <c r="G1155"/>
      <c r="H1155"/>
      <c r="I1155"/>
    </row>
    <row r="1156" spans="2:9" x14ac:dyDescent="0.25">
      <c r="B1156"/>
      <c r="C1156"/>
      <c r="D1156"/>
      <c r="E1156"/>
      <c r="F1156"/>
      <c r="G1156"/>
      <c r="H1156"/>
      <c r="I1156"/>
    </row>
    <row r="1157" spans="2:9" x14ac:dyDescent="0.25">
      <c r="B1157"/>
      <c r="C1157"/>
      <c r="D1157"/>
      <c r="E1157"/>
      <c r="F1157"/>
      <c r="G1157"/>
      <c r="H1157"/>
      <c r="I1157"/>
    </row>
    <row r="1158" spans="2:9" x14ac:dyDescent="0.25">
      <c r="B1158"/>
      <c r="C1158"/>
      <c r="D1158"/>
      <c r="E1158"/>
      <c r="F1158"/>
      <c r="G1158"/>
      <c r="H1158"/>
      <c r="I1158"/>
    </row>
    <row r="1159" spans="2:9" x14ac:dyDescent="0.25">
      <c r="B1159"/>
      <c r="C1159"/>
      <c r="D1159"/>
      <c r="E1159"/>
      <c r="F1159"/>
      <c r="G1159"/>
      <c r="H1159"/>
      <c r="I1159"/>
    </row>
    <row r="1160" spans="2:9" x14ac:dyDescent="0.25">
      <c r="B1160"/>
      <c r="C1160"/>
      <c r="D1160"/>
      <c r="E1160"/>
      <c r="F1160"/>
      <c r="G1160"/>
      <c r="H1160"/>
      <c r="I1160"/>
    </row>
    <row r="1161" spans="2:9" x14ac:dyDescent="0.25">
      <c r="B1161"/>
      <c r="C1161"/>
      <c r="D1161"/>
      <c r="E1161"/>
      <c r="F1161"/>
      <c r="G1161"/>
      <c r="H1161"/>
      <c r="I1161"/>
    </row>
    <row r="1162" spans="2:9" x14ac:dyDescent="0.25">
      <c r="B1162"/>
      <c r="C1162"/>
      <c r="D1162"/>
      <c r="E1162"/>
      <c r="F1162"/>
      <c r="G1162"/>
      <c r="H1162"/>
      <c r="I1162"/>
    </row>
    <row r="1163" spans="2:9" x14ac:dyDescent="0.25">
      <c r="B1163"/>
      <c r="C1163"/>
      <c r="D1163"/>
      <c r="E1163"/>
      <c r="F1163"/>
      <c r="G1163"/>
      <c r="H1163"/>
      <c r="I1163"/>
    </row>
    <row r="1164" spans="2:9" x14ac:dyDescent="0.25">
      <c r="B1164"/>
      <c r="C1164"/>
      <c r="D1164"/>
      <c r="E1164"/>
      <c r="F1164"/>
      <c r="G1164"/>
      <c r="H1164"/>
      <c r="I1164"/>
    </row>
    <row r="1165" spans="2:9" x14ac:dyDescent="0.25">
      <c r="B1165"/>
      <c r="C1165"/>
      <c r="D1165"/>
      <c r="E1165"/>
      <c r="F1165"/>
      <c r="G1165"/>
      <c r="H1165"/>
      <c r="I1165"/>
    </row>
    <row r="1166" spans="2:9" x14ac:dyDescent="0.25">
      <c r="B1166"/>
      <c r="C1166"/>
      <c r="D1166"/>
      <c r="E1166"/>
      <c r="F1166"/>
      <c r="G1166"/>
      <c r="H1166"/>
      <c r="I1166"/>
    </row>
    <row r="1167" spans="2:9" x14ac:dyDescent="0.25">
      <c r="B1167"/>
      <c r="C1167"/>
      <c r="D1167"/>
      <c r="E1167"/>
      <c r="F1167"/>
      <c r="G1167"/>
      <c r="H1167"/>
      <c r="I1167"/>
    </row>
    <row r="1168" spans="2:9" x14ac:dyDescent="0.25">
      <c r="B1168"/>
      <c r="C1168"/>
      <c r="D1168"/>
      <c r="E1168"/>
      <c r="F1168"/>
      <c r="G1168"/>
      <c r="H1168"/>
      <c r="I1168"/>
    </row>
    <row r="1169" spans="2:9" x14ac:dyDescent="0.25">
      <c r="B1169"/>
      <c r="C1169"/>
      <c r="D1169"/>
      <c r="E1169"/>
      <c r="F1169"/>
      <c r="G1169"/>
      <c r="H1169"/>
      <c r="I1169"/>
    </row>
    <row r="1170" spans="2:9" x14ac:dyDescent="0.25">
      <c r="B1170"/>
      <c r="C1170"/>
      <c r="D1170"/>
      <c r="E1170"/>
      <c r="F1170"/>
      <c r="G1170"/>
      <c r="H1170"/>
      <c r="I1170"/>
    </row>
    <row r="1171" spans="2:9" x14ac:dyDescent="0.25">
      <c r="B1171"/>
      <c r="C1171"/>
      <c r="D1171"/>
      <c r="E1171"/>
      <c r="F1171"/>
      <c r="G1171"/>
      <c r="H1171"/>
      <c r="I1171"/>
    </row>
    <row r="1172" spans="2:9" x14ac:dyDescent="0.25">
      <c r="B1172"/>
      <c r="C1172"/>
      <c r="D1172"/>
      <c r="E1172"/>
      <c r="F1172"/>
      <c r="G1172"/>
      <c r="H1172"/>
      <c r="I1172"/>
    </row>
    <row r="1173" spans="2:9" x14ac:dyDescent="0.25">
      <c r="B1173"/>
      <c r="C1173"/>
      <c r="D1173"/>
      <c r="E1173"/>
      <c r="F1173"/>
      <c r="G1173"/>
      <c r="H1173"/>
      <c r="I1173"/>
    </row>
    <row r="1174" spans="2:9" x14ac:dyDescent="0.25">
      <c r="B1174"/>
      <c r="C1174"/>
      <c r="D1174"/>
      <c r="E1174"/>
      <c r="F1174"/>
      <c r="G1174"/>
      <c r="H1174"/>
      <c r="I1174"/>
    </row>
    <row r="1175" spans="2:9" x14ac:dyDescent="0.25">
      <c r="B1175"/>
      <c r="C1175"/>
      <c r="D1175"/>
      <c r="E1175"/>
      <c r="F1175"/>
      <c r="G1175"/>
      <c r="H1175"/>
      <c r="I1175"/>
    </row>
    <row r="1176" spans="2:9" x14ac:dyDescent="0.25">
      <c r="B1176"/>
      <c r="C1176"/>
      <c r="D1176"/>
      <c r="E1176"/>
      <c r="F1176"/>
      <c r="G1176"/>
      <c r="H1176"/>
      <c r="I1176"/>
    </row>
    <row r="1177" spans="2:9" x14ac:dyDescent="0.25">
      <c r="B1177"/>
      <c r="C1177"/>
      <c r="D1177"/>
      <c r="E1177"/>
      <c r="F1177"/>
      <c r="G1177"/>
      <c r="H1177"/>
      <c r="I1177"/>
    </row>
    <row r="1178" spans="2:9" x14ac:dyDescent="0.25">
      <c r="B1178"/>
      <c r="C1178"/>
      <c r="D1178"/>
      <c r="E1178"/>
      <c r="F1178"/>
      <c r="G1178"/>
      <c r="H1178"/>
      <c r="I1178"/>
    </row>
    <row r="1179" spans="2:9" x14ac:dyDescent="0.25">
      <c r="B1179"/>
      <c r="C1179"/>
      <c r="D1179"/>
      <c r="E1179"/>
      <c r="F1179"/>
      <c r="G1179"/>
      <c r="H1179"/>
      <c r="I1179"/>
    </row>
    <row r="1180" spans="2:9" x14ac:dyDescent="0.25">
      <c r="B1180"/>
      <c r="C1180"/>
      <c r="D1180"/>
      <c r="E1180"/>
      <c r="F1180"/>
      <c r="G1180"/>
      <c r="H1180"/>
      <c r="I1180"/>
    </row>
    <row r="1181" spans="2:9" x14ac:dyDescent="0.25">
      <c r="B1181"/>
      <c r="C1181"/>
      <c r="D1181"/>
      <c r="E1181"/>
      <c r="F1181"/>
      <c r="G1181"/>
      <c r="H1181"/>
      <c r="I1181"/>
    </row>
    <row r="1182" spans="2:9" x14ac:dyDescent="0.25">
      <c r="B1182"/>
      <c r="C1182"/>
      <c r="D1182"/>
      <c r="E1182"/>
      <c r="F1182"/>
      <c r="G1182"/>
      <c r="H1182"/>
      <c r="I1182"/>
    </row>
    <row r="1183" spans="2:9" x14ac:dyDescent="0.25">
      <c r="B1183"/>
      <c r="C1183"/>
      <c r="D1183"/>
      <c r="E1183"/>
      <c r="F1183"/>
      <c r="G1183"/>
      <c r="H1183"/>
      <c r="I1183"/>
    </row>
    <row r="1184" spans="2:9" x14ac:dyDescent="0.25">
      <c r="B1184"/>
      <c r="C1184"/>
      <c r="D1184"/>
      <c r="E1184"/>
      <c r="F1184"/>
      <c r="G1184"/>
      <c r="H1184"/>
      <c r="I1184"/>
    </row>
    <row r="1185" spans="2:9" x14ac:dyDescent="0.25">
      <c r="B1185"/>
      <c r="C1185"/>
      <c r="D1185"/>
      <c r="E1185"/>
      <c r="F1185"/>
      <c r="G1185"/>
      <c r="H1185"/>
      <c r="I1185"/>
    </row>
    <row r="1186" spans="2:9" x14ac:dyDescent="0.25">
      <c r="B1186"/>
      <c r="C1186"/>
      <c r="D1186"/>
      <c r="E1186"/>
      <c r="F1186"/>
      <c r="G1186"/>
      <c r="H1186"/>
      <c r="I1186"/>
    </row>
    <row r="1187" spans="2:9" x14ac:dyDescent="0.25">
      <c r="B1187"/>
      <c r="C1187"/>
      <c r="D1187"/>
      <c r="E1187"/>
      <c r="F1187"/>
      <c r="G1187"/>
      <c r="H1187"/>
      <c r="I1187"/>
    </row>
    <row r="1188" spans="2:9" x14ac:dyDescent="0.25">
      <c r="B1188"/>
      <c r="C1188"/>
      <c r="D1188"/>
      <c r="E1188"/>
      <c r="F1188"/>
      <c r="G1188"/>
      <c r="H1188"/>
      <c r="I1188"/>
    </row>
    <row r="1189" spans="2:9" x14ac:dyDescent="0.25">
      <c r="B1189"/>
      <c r="C1189"/>
      <c r="D1189"/>
      <c r="E1189"/>
      <c r="F1189"/>
      <c r="G1189"/>
      <c r="H1189"/>
      <c r="I1189"/>
    </row>
    <row r="1190" spans="2:9" x14ac:dyDescent="0.25">
      <c r="B1190"/>
      <c r="C1190"/>
      <c r="D1190"/>
      <c r="E1190"/>
      <c r="F1190"/>
      <c r="G1190"/>
      <c r="H1190"/>
      <c r="I1190"/>
    </row>
    <row r="1191" spans="2:9" x14ac:dyDescent="0.25">
      <c r="B1191"/>
      <c r="C1191"/>
      <c r="D1191"/>
      <c r="E1191"/>
      <c r="F1191"/>
      <c r="G1191"/>
      <c r="H1191"/>
      <c r="I1191"/>
    </row>
    <row r="1192" spans="2:9" x14ac:dyDescent="0.25">
      <c r="B1192"/>
      <c r="C1192"/>
      <c r="D1192"/>
      <c r="E1192"/>
      <c r="F1192"/>
      <c r="G1192"/>
      <c r="H1192"/>
      <c r="I1192"/>
    </row>
    <row r="1193" spans="2:9" x14ac:dyDescent="0.25">
      <c r="B1193"/>
      <c r="C1193"/>
      <c r="D1193"/>
      <c r="E1193"/>
      <c r="F1193"/>
      <c r="G1193"/>
      <c r="H1193"/>
      <c r="I1193"/>
    </row>
    <row r="1194" spans="2:9" x14ac:dyDescent="0.25">
      <c r="B1194"/>
      <c r="C1194"/>
      <c r="D1194"/>
      <c r="E1194"/>
      <c r="F1194"/>
      <c r="G1194"/>
      <c r="H1194"/>
      <c r="I1194"/>
    </row>
    <row r="1195" spans="2:9" x14ac:dyDescent="0.25">
      <c r="B1195"/>
      <c r="C1195"/>
      <c r="D1195"/>
      <c r="E1195"/>
      <c r="F1195"/>
      <c r="G1195"/>
      <c r="H1195"/>
      <c r="I1195"/>
    </row>
    <row r="1196" spans="2:9" x14ac:dyDescent="0.25">
      <c r="B1196"/>
      <c r="C1196"/>
      <c r="D1196"/>
      <c r="E1196"/>
      <c r="F1196"/>
      <c r="G1196"/>
      <c r="H1196"/>
      <c r="I1196"/>
    </row>
    <row r="1197" spans="2:9" x14ac:dyDescent="0.25">
      <c r="B1197"/>
      <c r="C1197"/>
      <c r="D1197"/>
      <c r="E1197"/>
      <c r="F1197"/>
      <c r="G1197"/>
      <c r="H1197"/>
      <c r="I1197"/>
    </row>
    <row r="1198" spans="2:9" x14ac:dyDescent="0.25">
      <c r="B1198"/>
      <c r="C1198"/>
      <c r="D1198"/>
      <c r="E1198"/>
      <c r="F1198"/>
      <c r="G1198"/>
      <c r="H1198"/>
      <c r="I1198"/>
    </row>
    <row r="1199" spans="2:9" x14ac:dyDescent="0.25">
      <c r="B1199"/>
      <c r="C1199"/>
      <c r="D1199"/>
      <c r="E1199"/>
      <c r="F1199"/>
      <c r="G1199"/>
      <c r="H1199"/>
      <c r="I1199"/>
    </row>
    <row r="1200" spans="2:9" x14ac:dyDescent="0.25">
      <c r="B1200"/>
      <c r="C1200"/>
      <c r="D1200"/>
      <c r="E1200"/>
      <c r="F1200"/>
      <c r="G1200"/>
      <c r="H1200"/>
      <c r="I1200"/>
    </row>
    <row r="1201" spans="2:9" x14ac:dyDescent="0.25">
      <c r="B1201"/>
      <c r="C1201"/>
      <c r="D1201"/>
      <c r="E1201"/>
      <c r="F1201"/>
      <c r="G1201"/>
      <c r="H1201"/>
      <c r="I1201"/>
    </row>
    <row r="1202" spans="2:9" x14ac:dyDescent="0.25">
      <c r="B1202"/>
      <c r="C1202"/>
      <c r="D1202"/>
      <c r="E1202"/>
      <c r="F1202"/>
      <c r="G1202"/>
      <c r="H1202"/>
      <c r="I1202"/>
    </row>
    <row r="1203" spans="2:9" x14ac:dyDescent="0.25">
      <c r="B1203"/>
      <c r="C1203"/>
      <c r="D1203"/>
      <c r="E1203"/>
      <c r="F1203"/>
      <c r="G1203"/>
      <c r="H1203"/>
      <c r="I1203"/>
    </row>
    <row r="1204" spans="2:9" x14ac:dyDescent="0.25">
      <c r="B1204"/>
      <c r="C1204"/>
      <c r="D1204"/>
      <c r="E1204"/>
      <c r="F1204"/>
      <c r="G1204"/>
      <c r="H1204"/>
      <c r="I1204"/>
    </row>
    <row r="1205" spans="2:9" x14ac:dyDescent="0.25">
      <c r="B1205"/>
      <c r="C1205"/>
      <c r="D1205"/>
      <c r="E1205"/>
      <c r="F1205"/>
      <c r="G1205"/>
      <c r="H1205"/>
      <c r="I1205"/>
    </row>
    <row r="1206" spans="2:9" x14ac:dyDescent="0.25">
      <c r="B1206"/>
      <c r="C1206"/>
      <c r="D1206"/>
      <c r="E1206"/>
      <c r="F1206"/>
      <c r="G1206"/>
      <c r="H1206"/>
      <c r="I1206"/>
    </row>
    <row r="1207" spans="2:9" x14ac:dyDescent="0.25">
      <c r="B1207"/>
      <c r="C1207"/>
      <c r="D1207"/>
      <c r="E1207"/>
      <c r="F1207"/>
      <c r="G1207"/>
      <c r="H1207"/>
      <c r="I1207"/>
    </row>
    <row r="1208" spans="2:9" x14ac:dyDescent="0.25">
      <c r="B1208"/>
      <c r="C1208"/>
      <c r="D1208"/>
      <c r="E1208"/>
      <c r="F1208"/>
      <c r="G1208"/>
      <c r="H1208"/>
      <c r="I1208"/>
    </row>
    <row r="1209" spans="2:9" x14ac:dyDescent="0.25">
      <c r="B1209"/>
      <c r="C1209"/>
      <c r="D1209"/>
      <c r="E1209"/>
      <c r="F1209"/>
      <c r="G1209"/>
      <c r="H1209"/>
      <c r="I1209"/>
    </row>
    <row r="1210" spans="2:9" x14ac:dyDescent="0.25">
      <c r="B1210"/>
      <c r="C1210"/>
      <c r="D1210"/>
      <c r="E1210"/>
      <c r="F1210"/>
      <c r="G1210"/>
      <c r="H1210"/>
      <c r="I1210"/>
    </row>
    <row r="1211" spans="2:9" x14ac:dyDescent="0.25">
      <c r="B1211"/>
      <c r="C1211"/>
      <c r="D1211"/>
      <c r="E1211"/>
      <c r="F1211"/>
      <c r="G1211"/>
      <c r="H1211"/>
      <c r="I1211"/>
    </row>
    <row r="1212" spans="2:9" x14ac:dyDescent="0.25">
      <c r="B1212"/>
      <c r="C1212"/>
      <c r="D1212"/>
      <c r="E1212"/>
      <c r="F1212"/>
      <c r="G1212"/>
      <c r="H1212"/>
      <c r="I1212"/>
    </row>
    <row r="1213" spans="2:9" x14ac:dyDescent="0.25">
      <c r="B1213"/>
      <c r="C1213"/>
      <c r="D1213"/>
      <c r="E1213"/>
      <c r="F1213"/>
      <c r="G1213"/>
      <c r="H1213"/>
      <c r="I1213"/>
    </row>
    <row r="1214" spans="2:9" x14ac:dyDescent="0.25">
      <c r="B1214"/>
      <c r="C1214"/>
      <c r="D1214"/>
      <c r="E1214"/>
      <c r="F1214"/>
      <c r="G1214"/>
      <c r="H1214"/>
      <c r="I1214"/>
    </row>
    <row r="1215" spans="2:9" x14ac:dyDescent="0.25">
      <c r="B1215"/>
      <c r="C1215"/>
      <c r="D1215"/>
      <c r="E1215"/>
      <c r="F1215"/>
      <c r="G1215"/>
      <c r="H1215"/>
      <c r="I1215"/>
    </row>
    <row r="1216" spans="2:9" x14ac:dyDescent="0.25">
      <c r="B1216"/>
      <c r="C1216"/>
      <c r="D1216"/>
      <c r="E1216"/>
      <c r="F1216"/>
      <c r="G1216"/>
      <c r="H1216"/>
      <c r="I1216"/>
    </row>
    <row r="1217" spans="2:9" x14ac:dyDescent="0.25">
      <c r="B1217"/>
      <c r="C1217"/>
      <c r="D1217"/>
      <c r="E1217"/>
      <c r="F1217"/>
      <c r="G1217"/>
      <c r="H1217"/>
      <c r="I1217"/>
    </row>
    <row r="1218" spans="2:9" x14ac:dyDescent="0.25">
      <c r="B1218"/>
      <c r="C1218"/>
      <c r="D1218"/>
      <c r="E1218"/>
      <c r="F1218"/>
      <c r="G1218"/>
      <c r="H1218"/>
      <c r="I1218"/>
    </row>
    <row r="1219" spans="2:9" x14ac:dyDescent="0.25">
      <c r="B1219"/>
      <c r="C1219"/>
      <c r="D1219"/>
      <c r="E1219"/>
      <c r="F1219"/>
      <c r="G1219"/>
      <c r="H1219"/>
      <c r="I1219"/>
    </row>
    <row r="1220" spans="2:9" x14ac:dyDescent="0.25">
      <c r="B1220"/>
      <c r="C1220"/>
      <c r="D1220"/>
      <c r="E1220"/>
      <c r="F1220"/>
      <c r="G1220"/>
      <c r="H1220"/>
      <c r="I1220"/>
    </row>
    <row r="1221" spans="2:9" x14ac:dyDescent="0.25">
      <c r="B1221"/>
      <c r="C1221"/>
      <c r="D1221"/>
      <c r="E1221"/>
      <c r="F1221"/>
      <c r="G1221"/>
      <c r="H1221"/>
      <c r="I1221"/>
    </row>
    <row r="1222" spans="2:9" x14ac:dyDescent="0.25">
      <c r="B1222"/>
      <c r="C1222"/>
      <c r="D1222"/>
      <c r="E1222"/>
      <c r="F1222"/>
      <c r="G1222"/>
      <c r="H1222"/>
      <c r="I1222"/>
    </row>
    <row r="1223" spans="2:9" x14ac:dyDescent="0.25">
      <c r="B1223"/>
      <c r="C1223"/>
      <c r="D1223"/>
      <c r="E1223"/>
      <c r="F1223"/>
      <c r="G1223"/>
      <c r="H1223"/>
      <c r="I1223"/>
    </row>
    <row r="1224" spans="2:9" x14ac:dyDescent="0.25">
      <c r="B1224"/>
      <c r="C1224"/>
      <c r="D1224"/>
      <c r="E1224"/>
      <c r="F1224"/>
      <c r="G1224"/>
      <c r="H1224"/>
      <c r="I1224"/>
    </row>
    <row r="1225" spans="2:9" x14ac:dyDescent="0.25">
      <c r="B1225"/>
      <c r="C1225"/>
      <c r="D1225"/>
      <c r="E1225"/>
      <c r="F1225"/>
      <c r="G1225"/>
      <c r="H1225"/>
      <c r="I1225"/>
    </row>
    <row r="1226" spans="2:9" x14ac:dyDescent="0.25">
      <c r="B1226"/>
      <c r="C1226"/>
      <c r="D1226"/>
      <c r="E1226"/>
      <c r="F1226"/>
      <c r="G1226"/>
      <c r="H1226"/>
      <c r="I1226"/>
    </row>
    <row r="1227" spans="2:9" x14ac:dyDescent="0.25">
      <c r="B1227"/>
      <c r="C1227"/>
      <c r="D1227"/>
      <c r="E1227"/>
      <c r="F1227"/>
      <c r="G1227"/>
      <c r="H1227"/>
      <c r="I1227"/>
    </row>
    <row r="1228" spans="2:9" x14ac:dyDescent="0.25">
      <c r="B1228"/>
      <c r="C1228"/>
      <c r="D1228"/>
      <c r="E1228"/>
      <c r="F1228"/>
      <c r="G1228"/>
      <c r="H1228"/>
      <c r="I1228"/>
    </row>
    <row r="1229" spans="2:9" x14ac:dyDescent="0.25">
      <c r="B1229"/>
      <c r="C1229"/>
      <c r="D1229"/>
      <c r="E1229"/>
      <c r="F1229"/>
      <c r="G1229"/>
      <c r="H1229"/>
      <c r="I1229"/>
    </row>
    <row r="1230" spans="2:9" x14ac:dyDescent="0.25">
      <c r="B1230"/>
      <c r="C1230"/>
      <c r="D1230"/>
      <c r="E1230"/>
      <c r="F1230"/>
      <c r="G1230"/>
      <c r="H1230"/>
      <c r="I1230"/>
    </row>
    <row r="1231" spans="2:9" x14ac:dyDescent="0.25">
      <c r="B1231"/>
      <c r="C1231"/>
      <c r="D1231"/>
      <c r="E1231"/>
      <c r="F1231"/>
      <c r="G1231"/>
      <c r="H1231"/>
      <c r="I1231"/>
    </row>
    <row r="1232" spans="2:9" x14ac:dyDescent="0.25">
      <c r="B1232"/>
      <c r="C1232"/>
      <c r="D1232"/>
      <c r="E1232"/>
      <c r="F1232"/>
      <c r="G1232"/>
      <c r="H1232"/>
      <c r="I1232"/>
    </row>
    <row r="1233" spans="2:9" x14ac:dyDescent="0.25">
      <c r="B1233"/>
      <c r="C1233"/>
      <c r="D1233"/>
      <c r="E1233"/>
      <c r="F1233"/>
      <c r="G1233"/>
      <c r="H1233"/>
      <c r="I1233"/>
    </row>
    <row r="1234" spans="2:9" x14ac:dyDescent="0.25">
      <c r="B1234"/>
      <c r="C1234"/>
      <c r="D1234"/>
      <c r="E1234"/>
      <c r="F1234"/>
      <c r="G1234"/>
      <c r="H1234"/>
      <c r="I1234"/>
    </row>
    <row r="1235" spans="2:9" x14ac:dyDescent="0.25">
      <c r="B1235"/>
      <c r="C1235"/>
      <c r="D1235"/>
      <c r="E1235"/>
      <c r="F1235"/>
      <c r="G1235"/>
      <c r="H1235"/>
      <c r="I1235"/>
    </row>
    <row r="1236" spans="2:9" x14ac:dyDescent="0.25">
      <c r="B1236"/>
      <c r="C1236"/>
      <c r="D1236"/>
      <c r="E1236"/>
      <c r="F1236"/>
      <c r="G1236"/>
      <c r="H1236"/>
      <c r="I1236"/>
    </row>
    <row r="1237" spans="2:9" x14ac:dyDescent="0.25">
      <c r="B1237"/>
      <c r="C1237"/>
      <c r="D1237"/>
      <c r="E1237"/>
      <c r="F1237"/>
      <c r="G1237"/>
      <c r="H1237"/>
      <c r="I1237"/>
    </row>
    <row r="1238" spans="2:9" x14ac:dyDescent="0.25">
      <c r="B1238"/>
      <c r="C1238"/>
      <c r="D1238"/>
      <c r="E1238"/>
      <c r="F1238"/>
      <c r="G1238"/>
      <c r="H1238"/>
      <c r="I1238"/>
    </row>
    <row r="1239" spans="2:9" x14ac:dyDescent="0.25">
      <c r="B1239"/>
      <c r="C1239"/>
      <c r="D1239"/>
      <c r="E1239"/>
      <c r="F1239"/>
      <c r="G1239"/>
      <c r="H1239"/>
      <c r="I1239"/>
    </row>
    <row r="1240" spans="2:9" x14ac:dyDescent="0.25">
      <c r="B1240"/>
      <c r="C1240"/>
      <c r="D1240"/>
      <c r="E1240"/>
      <c r="F1240"/>
      <c r="G1240"/>
      <c r="H1240"/>
      <c r="I1240"/>
    </row>
    <row r="1241" spans="2:9" x14ac:dyDescent="0.25">
      <c r="B1241"/>
      <c r="C1241"/>
      <c r="D1241"/>
      <c r="E1241"/>
      <c r="F1241"/>
      <c r="G1241"/>
      <c r="H1241"/>
      <c r="I1241"/>
    </row>
    <row r="1242" spans="2:9" x14ac:dyDescent="0.25">
      <c r="B1242"/>
      <c r="C1242"/>
      <c r="D1242"/>
      <c r="E1242"/>
      <c r="F1242"/>
      <c r="G1242"/>
      <c r="H1242"/>
      <c r="I1242"/>
    </row>
    <row r="1243" spans="2:9" x14ac:dyDescent="0.25">
      <c r="B1243"/>
      <c r="C1243"/>
      <c r="D1243"/>
      <c r="E1243"/>
      <c r="F1243"/>
      <c r="G1243"/>
      <c r="H1243"/>
      <c r="I1243"/>
    </row>
    <row r="1244" spans="2:9" x14ac:dyDescent="0.25">
      <c r="B1244"/>
      <c r="C1244"/>
      <c r="D1244"/>
      <c r="E1244"/>
      <c r="F1244"/>
      <c r="G1244"/>
      <c r="H1244"/>
      <c r="I1244"/>
    </row>
    <row r="1245" spans="2:9" x14ac:dyDescent="0.25">
      <c r="B1245"/>
      <c r="C1245"/>
      <c r="D1245"/>
      <c r="E1245"/>
      <c r="F1245"/>
      <c r="G1245"/>
      <c r="H1245"/>
      <c r="I1245"/>
    </row>
    <row r="1246" spans="2:9" x14ac:dyDescent="0.25">
      <c r="B1246"/>
      <c r="C1246"/>
      <c r="D1246"/>
      <c r="E1246"/>
      <c r="F1246"/>
      <c r="G1246"/>
      <c r="H1246"/>
      <c r="I1246"/>
    </row>
    <row r="1247" spans="2:9" x14ac:dyDescent="0.25">
      <c r="B1247"/>
      <c r="C1247"/>
      <c r="D1247"/>
      <c r="E1247"/>
      <c r="F1247"/>
      <c r="G1247"/>
      <c r="H1247"/>
      <c r="I1247"/>
    </row>
    <row r="1248" spans="2:9" x14ac:dyDescent="0.25">
      <c r="B1248"/>
      <c r="C1248"/>
      <c r="D1248"/>
      <c r="E1248"/>
      <c r="F1248"/>
      <c r="G1248"/>
      <c r="H1248"/>
      <c r="I1248"/>
    </row>
    <row r="1249" spans="2:9" x14ac:dyDescent="0.25">
      <c r="B1249"/>
      <c r="C1249"/>
      <c r="D1249"/>
      <c r="E1249"/>
      <c r="F1249"/>
      <c r="G1249"/>
      <c r="H1249"/>
      <c r="I1249"/>
    </row>
    <row r="1250" spans="2:9" x14ac:dyDescent="0.25">
      <c r="B1250"/>
      <c r="C1250"/>
      <c r="D1250"/>
      <c r="E1250"/>
      <c r="F1250"/>
      <c r="G1250"/>
      <c r="H1250"/>
      <c r="I1250"/>
    </row>
    <row r="1251" spans="2:9" x14ac:dyDescent="0.25">
      <c r="B1251"/>
      <c r="C1251"/>
      <c r="D1251"/>
      <c r="E1251"/>
      <c r="F1251"/>
      <c r="G1251"/>
      <c r="H1251"/>
      <c r="I1251"/>
    </row>
    <row r="1252" spans="2:9" x14ac:dyDescent="0.25">
      <c r="B1252"/>
      <c r="C1252"/>
      <c r="D1252"/>
      <c r="E1252"/>
      <c r="F1252"/>
      <c r="G1252"/>
      <c r="H1252"/>
      <c r="I1252"/>
    </row>
    <row r="1253" spans="2:9" x14ac:dyDescent="0.25">
      <c r="B1253"/>
      <c r="C1253"/>
      <c r="D1253"/>
      <c r="E1253"/>
      <c r="F1253"/>
      <c r="G1253"/>
      <c r="H1253"/>
      <c r="I1253"/>
    </row>
    <row r="1254" spans="2:9" x14ac:dyDescent="0.25">
      <c r="B1254"/>
      <c r="C1254"/>
      <c r="D1254"/>
      <c r="E1254"/>
      <c r="F1254"/>
      <c r="G1254"/>
      <c r="H1254"/>
      <c r="I1254"/>
    </row>
    <row r="1255" spans="2:9" x14ac:dyDescent="0.25">
      <c r="B1255"/>
      <c r="C1255"/>
      <c r="D1255"/>
      <c r="E1255"/>
      <c r="F1255"/>
      <c r="G1255"/>
      <c r="H1255"/>
      <c r="I1255"/>
    </row>
    <row r="1256" spans="2:9" x14ac:dyDescent="0.25">
      <c r="B1256"/>
      <c r="C1256"/>
      <c r="D1256"/>
      <c r="E1256"/>
      <c r="F1256"/>
      <c r="G1256"/>
      <c r="H1256"/>
      <c r="I1256"/>
    </row>
    <row r="1257" spans="2:9" x14ac:dyDescent="0.25">
      <c r="B1257"/>
      <c r="C1257"/>
      <c r="D1257"/>
      <c r="E1257"/>
      <c r="F1257"/>
      <c r="G1257"/>
      <c r="H1257"/>
      <c r="I1257"/>
    </row>
    <row r="1258" spans="2:9" x14ac:dyDescent="0.25">
      <c r="B1258"/>
      <c r="C1258"/>
      <c r="D1258"/>
      <c r="E1258"/>
      <c r="F1258"/>
      <c r="G1258"/>
      <c r="H1258"/>
      <c r="I1258"/>
    </row>
    <row r="1259" spans="2:9" x14ac:dyDescent="0.25">
      <c r="B1259"/>
      <c r="C1259"/>
      <c r="D1259"/>
      <c r="E1259"/>
      <c r="F1259"/>
      <c r="G1259"/>
      <c r="H1259"/>
      <c r="I1259"/>
    </row>
    <row r="1260" spans="2:9" x14ac:dyDescent="0.25">
      <c r="B1260"/>
      <c r="C1260"/>
      <c r="D1260"/>
      <c r="E1260"/>
      <c r="F1260"/>
      <c r="G1260"/>
      <c r="H1260"/>
      <c r="I1260"/>
    </row>
    <row r="1261" spans="2:9" x14ac:dyDescent="0.25">
      <c r="B1261"/>
      <c r="C1261"/>
      <c r="D1261"/>
      <c r="E1261"/>
      <c r="F1261"/>
      <c r="G1261"/>
      <c r="H1261"/>
      <c r="I1261"/>
    </row>
    <row r="1262" spans="2:9" x14ac:dyDescent="0.25">
      <c r="B1262"/>
      <c r="C1262"/>
      <c r="D1262"/>
      <c r="E1262"/>
      <c r="F1262"/>
      <c r="G1262"/>
      <c r="H1262"/>
      <c r="I1262"/>
    </row>
    <row r="1263" spans="2:9" x14ac:dyDescent="0.25">
      <c r="B1263"/>
      <c r="C1263"/>
      <c r="D1263"/>
      <c r="E1263"/>
      <c r="F1263"/>
      <c r="G1263"/>
      <c r="H1263"/>
      <c r="I1263"/>
    </row>
    <row r="1264" spans="2:9" x14ac:dyDescent="0.25">
      <c r="B1264"/>
      <c r="C1264"/>
      <c r="D1264"/>
      <c r="E1264"/>
      <c r="F1264"/>
      <c r="G1264"/>
      <c r="H1264"/>
      <c r="I1264"/>
    </row>
    <row r="1265" spans="2:9" x14ac:dyDescent="0.25">
      <c r="B1265"/>
      <c r="C1265"/>
      <c r="D1265"/>
      <c r="E1265"/>
      <c r="F1265"/>
      <c r="G1265"/>
      <c r="H1265"/>
      <c r="I1265"/>
    </row>
    <row r="1266" spans="2:9" x14ac:dyDescent="0.25">
      <c r="B1266"/>
      <c r="C1266"/>
      <c r="D1266"/>
      <c r="E1266"/>
      <c r="F1266"/>
      <c r="G1266"/>
      <c r="H1266"/>
      <c r="I1266"/>
    </row>
    <row r="1267" spans="2:9" x14ac:dyDescent="0.25">
      <c r="B1267"/>
      <c r="C1267"/>
      <c r="D1267"/>
      <c r="E1267"/>
      <c r="F1267"/>
      <c r="G1267"/>
      <c r="H1267"/>
      <c r="I1267"/>
    </row>
    <row r="1268" spans="2:9" x14ac:dyDescent="0.25">
      <c r="B1268"/>
      <c r="C1268"/>
      <c r="D1268"/>
      <c r="E1268"/>
      <c r="F1268"/>
      <c r="G1268"/>
      <c r="H1268"/>
      <c r="I1268"/>
    </row>
    <row r="1269" spans="2:9" x14ac:dyDescent="0.25">
      <c r="B1269"/>
      <c r="C1269"/>
      <c r="D1269"/>
      <c r="E1269"/>
      <c r="F1269"/>
      <c r="G1269"/>
      <c r="H1269"/>
      <c r="I1269"/>
    </row>
    <row r="1270" spans="2:9" x14ac:dyDescent="0.25">
      <c r="B1270"/>
      <c r="C1270"/>
      <c r="D1270"/>
      <c r="E1270"/>
      <c r="F1270"/>
      <c r="G1270"/>
      <c r="H1270"/>
      <c r="I1270"/>
    </row>
    <row r="1271" spans="2:9" x14ac:dyDescent="0.25">
      <c r="B1271"/>
      <c r="C1271"/>
      <c r="D1271"/>
      <c r="E1271"/>
      <c r="F1271"/>
      <c r="G1271"/>
      <c r="H1271"/>
      <c r="I1271"/>
    </row>
    <row r="1272" spans="2:9" x14ac:dyDescent="0.25">
      <c r="B1272"/>
      <c r="C1272"/>
      <c r="D1272"/>
      <c r="E1272"/>
      <c r="F1272"/>
      <c r="G1272"/>
      <c r="H1272"/>
      <c r="I1272"/>
    </row>
    <row r="1273" spans="2:9" x14ac:dyDescent="0.25">
      <c r="B1273"/>
      <c r="C1273"/>
      <c r="D1273"/>
      <c r="E1273"/>
      <c r="F1273"/>
      <c r="G1273"/>
      <c r="H1273"/>
      <c r="I1273"/>
    </row>
    <row r="1274" spans="2:9" x14ac:dyDescent="0.25">
      <c r="B1274"/>
      <c r="C1274"/>
      <c r="D1274"/>
      <c r="E1274"/>
      <c r="F1274"/>
      <c r="G1274"/>
      <c r="H1274"/>
      <c r="I1274"/>
    </row>
    <row r="1275" spans="2:9" x14ac:dyDescent="0.25">
      <c r="B1275"/>
      <c r="C1275"/>
      <c r="D1275"/>
      <c r="E1275"/>
      <c r="F1275"/>
      <c r="G1275"/>
      <c r="H1275"/>
      <c r="I1275"/>
    </row>
    <row r="1276" spans="2:9" x14ac:dyDescent="0.25">
      <c r="B1276"/>
      <c r="C1276"/>
      <c r="D1276"/>
      <c r="E1276"/>
      <c r="F1276"/>
      <c r="G1276"/>
      <c r="H1276"/>
      <c r="I1276"/>
    </row>
    <row r="1277" spans="2:9" x14ac:dyDescent="0.25">
      <c r="B1277"/>
      <c r="C1277"/>
      <c r="D1277"/>
      <c r="E1277"/>
      <c r="F1277"/>
      <c r="G1277"/>
      <c r="H1277"/>
      <c r="I1277"/>
    </row>
    <row r="1278" spans="2:9" x14ac:dyDescent="0.25">
      <c r="B1278"/>
      <c r="C1278"/>
      <c r="D1278"/>
      <c r="E1278"/>
      <c r="F1278"/>
      <c r="G1278"/>
      <c r="H1278"/>
      <c r="I1278"/>
    </row>
    <row r="1279" spans="2:9" x14ac:dyDescent="0.25">
      <c r="B1279"/>
      <c r="C1279"/>
      <c r="D1279"/>
      <c r="E1279"/>
      <c r="F1279"/>
      <c r="G1279"/>
      <c r="H1279"/>
      <c r="I1279"/>
    </row>
    <row r="1280" spans="2:9" x14ac:dyDescent="0.25">
      <c r="B1280"/>
      <c r="C1280"/>
      <c r="D1280"/>
      <c r="E1280"/>
      <c r="F1280"/>
      <c r="G1280"/>
      <c r="H1280"/>
      <c r="I1280"/>
    </row>
    <row r="1281" spans="2:9" x14ac:dyDescent="0.25">
      <c r="B1281"/>
      <c r="C1281"/>
      <c r="D1281"/>
      <c r="E1281"/>
      <c r="F1281"/>
      <c r="G1281"/>
      <c r="H1281"/>
      <c r="I1281"/>
    </row>
    <row r="1282" spans="2:9" x14ac:dyDescent="0.25">
      <c r="B1282"/>
      <c r="C1282"/>
      <c r="D1282"/>
      <c r="E1282"/>
      <c r="F1282"/>
      <c r="G1282"/>
      <c r="H1282"/>
      <c r="I1282"/>
    </row>
    <row r="1283" spans="2:9" x14ac:dyDescent="0.25">
      <c r="B1283"/>
      <c r="C1283"/>
      <c r="D1283"/>
      <c r="E1283"/>
      <c r="F1283"/>
      <c r="G1283"/>
      <c r="H1283"/>
      <c r="I1283"/>
    </row>
    <row r="1284" spans="2:9" x14ac:dyDescent="0.25">
      <c r="B1284"/>
      <c r="C1284"/>
      <c r="D1284"/>
      <c r="E1284"/>
      <c r="F1284"/>
      <c r="G1284"/>
      <c r="H1284"/>
      <c r="I1284"/>
    </row>
    <row r="1285" spans="2:9" x14ac:dyDescent="0.25">
      <c r="B1285"/>
      <c r="C1285"/>
      <c r="D1285"/>
      <c r="E1285"/>
      <c r="F1285"/>
      <c r="G1285"/>
      <c r="H1285"/>
      <c r="I1285"/>
    </row>
    <row r="1286" spans="2:9" x14ac:dyDescent="0.25">
      <c r="B1286"/>
      <c r="C1286"/>
      <c r="D1286"/>
      <c r="E1286"/>
      <c r="F1286"/>
      <c r="G1286"/>
      <c r="H1286"/>
      <c r="I1286"/>
    </row>
    <row r="1287" spans="2:9" x14ac:dyDescent="0.25">
      <c r="B1287"/>
      <c r="C1287"/>
      <c r="D1287"/>
      <c r="E1287"/>
      <c r="F1287"/>
      <c r="G1287"/>
      <c r="H1287"/>
      <c r="I1287"/>
    </row>
    <row r="1288" spans="2:9" x14ac:dyDescent="0.25">
      <c r="B1288"/>
      <c r="C1288"/>
      <c r="D1288"/>
      <c r="E1288"/>
      <c r="F1288"/>
      <c r="G1288"/>
      <c r="H1288"/>
      <c r="I1288"/>
    </row>
    <row r="1289" spans="2:9" x14ac:dyDescent="0.25">
      <c r="B1289"/>
      <c r="C1289"/>
      <c r="D1289"/>
      <c r="E1289"/>
      <c r="F1289"/>
      <c r="G1289"/>
      <c r="H1289"/>
      <c r="I1289"/>
    </row>
    <row r="1290" spans="2:9" x14ac:dyDescent="0.25">
      <c r="B1290"/>
      <c r="C1290"/>
      <c r="D1290"/>
      <c r="E1290"/>
      <c r="F1290"/>
      <c r="G1290"/>
      <c r="H1290"/>
      <c r="I1290"/>
    </row>
    <row r="1291" spans="2:9" x14ac:dyDescent="0.25">
      <c r="B1291"/>
      <c r="C1291"/>
      <c r="D1291"/>
      <c r="E1291"/>
      <c r="F1291"/>
      <c r="G1291"/>
      <c r="H1291"/>
      <c r="I1291"/>
    </row>
    <row r="1292" spans="2:9" x14ac:dyDescent="0.25">
      <c r="B1292"/>
      <c r="C1292"/>
      <c r="D1292"/>
      <c r="E1292"/>
      <c r="F1292"/>
      <c r="G1292"/>
      <c r="H1292"/>
      <c r="I1292"/>
    </row>
    <row r="1293" spans="2:9" x14ac:dyDescent="0.25">
      <c r="B1293"/>
      <c r="C1293"/>
      <c r="D1293"/>
      <c r="E1293"/>
      <c r="F1293"/>
      <c r="G1293"/>
      <c r="H1293"/>
      <c r="I1293"/>
    </row>
    <row r="1294" spans="2:9" x14ac:dyDescent="0.25">
      <c r="B1294"/>
      <c r="C1294"/>
      <c r="D1294"/>
      <c r="E1294"/>
      <c r="F1294"/>
      <c r="G1294"/>
      <c r="H1294"/>
      <c r="I1294"/>
    </row>
    <row r="1295" spans="2:9" x14ac:dyDescent="0.25">
      <c r="B1295"/>
      <c r="C1295"/>
      <c r="D1295"/>
      <c r="E1295"/>
      <c r="F1295"/>
      <c r="G1295"/>
      <c r="H1295"/>
      <c r="I1295"/>
    </row>
    <row r="1296" spans="2:9" x14ac:dyDescent="0.25">
      <c r="B1296"/>
      <c r="C1296"/>
      <c r="D1296"/>
      <c r="E1296"/>
      <c r="F1296"/>
      <c r="G1296"/>
      <c r="H1296"/>
      <c r="I1296"/>
    </row>
    <row r="1297" spans="2:9" x14ac:dyDescent="0.25">
      <c r="B1297"/>
      <c r="C1297"/>
      <c r="D1297"/>
      <c r="E1297"/>
      <c r="F1297"/>
      <c r="G1297"/>
      <c r="H1297"/>
      <c r="I1297"/>
    </row>
    <row r="1298" spans="2:9" x14ac:dyDescent="0.25">
      <c r="B1298"/>
      <c r="C1298"/>
      <c r="D1298"/>
      <c r="E1298"/>
      <c r="F1298"/>
      <c r="G1298"/>
      <c r="H1298"/>
      <c r="I1298"/>
    </row>
    <row r="1299" spans="2:9" x14ac:dyDescent="0.25">
      <c r="B1299"/>
      <c r="C1299"/>
      <c r="D1299"/>
      <c r="E1299"/>
      <c r="F1299"/>
      <c r="G1299"/>
      <c r="H1299"/>
      <c r="I1299"/>
    </row>
    <row r="1300" spans="2:9" x14ac:dyDescent="0.25">
      <c r="B1300"/>
      <c r="C1300"/>
      <c r="D1300"/>
      <c r="E1300"/>
      <c r="F1300"/>
      <c r="G1300"/>
      <c r="H1300"/>
      <c r="I1300"/>
    </row>
    <row r="1301" spans="2:9" x14ac:dyDescent="0.25">
      <c r="B1301"/>
      <c r="C1301"/>
      <c r="D1301"/>
      <c r="E1301"/>
      <c r="F1301"/>
      <c r="G1301"/>
      <c r="H1301"/>
      <c r="I1301"/>
    </row>
    <row r="1302" spans="2:9" x14ac:dyDescent="0.25">
      <c r="B1302"/>
      <c r="C1302"/>
      <c r="D1302"/>
      <c r="E1302"/>
      <c r="F1302"/>
      <c r="G1302"/>
      <c r="H1302"/>
      <c r="I1302"/>
    </row>
    <row r="1303" spans="2:9" x14ac:dyDescent="0.25">
      <c r="B1303"/>
      <c r="C1303"/>
      <c r="D1303"/>
      <c r="E1303"/>
      <c r="F1303"/>
      <c r="G1303"/>
      <c r="H1303"/>
      <c r="I1303"/>
    </row>
    <row r="1304" spans="2:9" x14ac:dyDescent="0.25">
      <c r="B1304"/>
      <c r="C1304"/>
      <c r="D1304"/>
      <c r="E1304"/>
      <c r="F1304"/>
      <c r="G1304"/>
      <c r="H1304"/>
      <c r="I1304"/>
    </row>
    <row r="1305" spans="2:9" x14ac:dyDescent="0.25">
      <c r="B1305"/>
      <c r="C1305"/>
      <c r="D1305"/>
      <c r="E1305"/>
      <c r="F1305"/>
      <c r="G1305"/>
      <c r="H1305"/>
      <c r="I1305"/>
    </row>
    <row r="1306" spans="2:9" x14ac:dyDescent="0.25">
      <c r="B1306"/>
      <c r="C1306"/>
      <c r="D1306"/>
      <c r="E1306"/>
      <c r="F1306"/>
      <c r="G1306"/>
      <c r="H1306"/>
      <c r="I1306"/>
    </row>
    <row r="1307" spans="2:9" x14ac:dyDescent="0.25">
      <c r="B1307"/>
      <c r="C1307"/>
      <c r="D1307"/>
      <c r="E1307"/>
      <c r="F1307"/>
      <c r="G1307"/>
      <c r="H1307"/>
      <c r="I1307"/>
    </row>
    <row r="1308" spans="2:9" x14ac:dyDescent="0.25">
      <c r="B1308"/>
      <c r="C1308"/>
      <c r="D1308"/>
      <c r="E1308"/>
      <c r="F1308"/>
      <c r="G1308"/>
      <c r="H1308"/>
      <c r="I1308"/>
    </row>
    <row r="1309" spans="2:9" x14ac:dyDescent="0.25">
      <c r="B1309"/>
      <c r="C1309"/>
      <c r="D1309"/>
      <c r="E1309"/>
      <c r="F1309"/>
      <c r="G1309"/>
      <c r="H1309"/>
      <c r="I1309"/>
    </row>
    <row r="1310" spans="2:9" x14ac:dyDescent="0.25">
      <c r="B1310"/>
      <c r="C1310"/>
      <c r="D1310"/>
      <c r="E1310"/>
      <c r="F1310"/>
      <c r="G1310"/>
      <c r="H1310"/>
      <c r="I1310"/>
    </row>
    <row r="1311" spans="2:9" x14ac:dyDescent="0.25">
      <c r="B1311"/>
      <c r="C1311"/>
      <c r="D1311"/>
      <c r="E1311"/>
      <c r="F1311"/>
      <c r="G1311"/>
      <c r="H1311"/>
      <c r="I1311"/>
    </row>
    <row r="1312" spans="2:9" x14ac:dyDescent="0.25">
      <c r="B1312"/>
      <c r="C1312"/>
      <c r="D1312"/>
      <c r="E1312"/>
      <c r="F1312"/>
      <c r="G1312"/>
      <c r="H1312"/>
      <c r="I1312"/>
    </row>
    <row r="1313" spans="2:9" x14ac:dyDescent="0.25">
      <c r="B1313"/>
      <c r="C1313"/>
      <c r="D1313"/>
      <c r="E1313"/>
      <c r="F1313"/>
      <c r="G1313"/>
      <c r="H1313"/>
      <c r="I1313"/>
    </row>
    <row r="1314" spans="2:9" x14ac:dyDescent="0.25">
      <c r="B1314"/>
      <c r="C1314"/>
      <c r="D1314"/>
      <c r="E1314"/>
      <c r="F1314"/>
      <c r="G1314"/>
      <c r="H1314"/>
      <c r="I1314"/>
    </row>
    <row r="1315" spans="2:9" x14ac:dyDescent="0.25">
      <c r="B1315"/>
      <c r="C1315"/>
      <c r="D1315"/>
      <c r="E1315"/>
      <c r="F1315"/>
      <c r="G1315"/>
      <c r="H1315"/>
      <c r="I1315"/>
    </row>
    <row r="1316" spans="2:9" x14ac:dyDescent="0.25">
      <c r="B1316"/>
      <c r="C1316"/>
      <c r="D1316"/>
      <c r="E1316"/>
      <c r="F1316"/>
      <c r="G1316"/>
      <c r="H1316"/>
      <c r="I1316"/>
    </row>
    <row r="1317" spans="2:9" x14ac:dyDescent="0.25">
      <c r="B1317"/>
      <c r="C1317"/>
      <c r="D1317"/>
      <c r="E1317"/>
      <c r="F1317"/>
      <c r="G1317"/>
      <c r="H1317"/>
      <c r="I1317"/>
    </row>
    <row r="1318" spans="2:9" x14ac:dyDescent="0.25">
      <c r="B1318"/>
      <c r="C1318"/>
      <c r="D1318"/>
      <c r="E1318"/>
      <c r="F1318"/>
      <c r="G1318"/>
      <c r="H1318"/>
      <c r="I1318"/>
    </row>
    <row r="1319" spans="2:9" x14ac:dyDescent="0.25">
      <c r="B1319"/>
      <c r="C1319"/>
      <c r="D1319"/>
      <c r="E1319"/>
      <c r="F1319"/>
      <c r="G1319"/>
      <c r="H1319"/>
      <c r="I1319"/>
    </row>
    <row r="1320" spans="2:9" x14ac:dyDescent="0.25">
      <c r="B1320"/>
      <c r="C1320"/>
      <c r="D1320"/>
      <c r="E1320"/>
      <c r="F1320"/>
      <c r="G1320"/>
      <c r="H1320"/>
      <c r="I1320"/>
    </row>
    <row r="1321" spans="2:9" x14ac:dyDescent="0.25">
      <c r="B1321"/>
      <c r="C1321"/>
      <c r="D1321"/>
      <c r="E1321"/>
      <c r="F1321"/>
      <c r="G1321"/>
      <c r="H1321"/>
      <c r="I1321"/>
    </row>
    <row r="1322" spans="2:9" x14ac:dyDescent="0.25">
      <c r="B1322"/>
      <c r="C1322"/>
      <c r="D1322"/>
      <c r="E1322"/>
      <c r="F1322"/>
      <c r="G1322"/>
      <c r="H1322"/>
      <c r="I1322"/>
    </row>
    <row r="1323" spans="2:9" x14ac:dyDescent="0.25">
      <c r="B1323"/>
      <c r="C1323"/>
      <c r="D1323"/>
      <c r="E1323"/>
      <c r="F1323"/>
      <c r="G1323"/>
      <c r="H1323"/>
      <c r="I1323"/>
    </row>
    <row r="1324" spans="2:9" x14ac:dyDescent="0.25">
      <c r="B1324"/>
      <c r="C1324"/>
      <c r="D1324"/>
      <c r="E1324"/>
      <c r="F1324"/>
      <c r="G1324"/>
      <c r="H1324"/>
      <c r="I1324"/>
    </row>
    <row r="1325" spans="2:9" x14ac:dyDescent="0.25">
      <c r="B1325"/>
      <c r="C1325"/>
      <c r="D1325"/>
      <c r="E1325"/>
      <c r="F1325"/>
      <c r="G1325"/>
      <c r="H1325"/>
      <c r="I1325"/>
    </row>
    <row r="1326" spans="2:9" x14ac:dyDescent="0.25">
      <c r="B1326"/>
      <c r="C1326"/>
      <c r="D1326"/>
      <c r="E1326"/>
      <c r="F1326"/>
      <c r="G1326"/>
      <c r="H1326"/>
      <c r="I1326"/>
    </row>
    <row r="1327" spans="2:9" x14ac:dyDescent="0.25">
      <c r="B1327"/>
      <c r="C1327"/>
      <c r="D1327"/>
      <c r="E1327"/>
      <c r="F1327"/>
      <c r="G1327"/>
      <c r="H1327"/>
      <c r="I1327"/>
    </row>
    <row r="1328" spans="2:9" x14ac:dyDescent="0.25">
      <c r="B1328"/>
      <c r="C1328"/>
      <c r="D1328"/>
      <c r="E1328"/>
      <c r="F1328"/>
      <c r="G1328"/>
      <c r="H1328"/>
      <c r="I1328"/>
    </row>
    <row r="1329" spans="2:9" x14ac:dyDescent="0.25">
      <c r="B1329"/>
      <c r="C1329"/>
      <c r="D1329"/>
      <c r="E1329"/>
      <c r="F1329"/>
      <c r="G1329"/>
      <c r="H1329"/>
      <c r="I1329"/>
    </row>
    <row r="1330" spans="2:9" x14ac:dyDescent="0.25">
      <c r="B1330"/>
      <c r="C1330"/>
      <c r="D1330"/>
      <c r="E1330"/>
      <c r="F1330"/>
      <c r="G1330"/>
      <c r="H1330"/>
      <c r="I1330"/>
    </row>
    <row r="1331" spans="2:9" x14ac:dyDescent="0.25">
      <c r="B1331"/>
      <c r="C1331"/>
      <c r="D1331"/>
      <c r="E1331"/>
      <c r="F1331"/>
      <c r="G1331"/>
      <c r="H1331"/>
      <c r="I1331"/>
    </row>
    <row r="1332" spans="2:9" x14ac:dyDescent="0.25">
      <c r="B1332"/>
      <c r="C1332"/>
      <c r="D1332"/>
      <c r="E1332"/>
      <c r="F1332"/>
      <c r="G1332"/>
      <c r="H1332"/>
      <c r="I1332"/>
    </row>
    <row r="1333" spans="2:9" x14ac:dyDescent="0.25">
      <c r="B1333"/>
      <c r="C1333"/>
      <c r="D1333"/>
      <c r="E1333"/>
      <c r="F1333"/>
      <c r="G1333"/>
      <c r="H1333"/>
      <c r="I1333"/>
    </row>
    <row r="1334" spans="2:9" x14ac:dyDescent="0.25">
      <c r="B1334"/>
      <c r="C1334"/>
      <c r="D1334"/>
      <c r="E1334"/>
      <c r="F1334"/>
      <c r="G1334"/>
      <c r="H1334"/>
      <c r="I1334"/>
    </row>
    <row r="1335" spans="2:9" x14ac:dyDescent="0.25">
      <c r="B1335"/>
      <c r="C1335"/>
      <c r="D1335"/>
      <c r="E1335"/>
      <c r="F1335"/>
      <c r="G1335"/>
      <c r="H1335"/>
      <c r="I1335"/>
    </row>
    <row r="1336" spans="2:9" x14ac:dyDescent="0.25">
      <c r="B1336"/>
      <c r="C1336"/>
      <c r="D1336"/>
      <c r="E1336"/>
      <c r="F1336"/>
      <c r="G1336"/>
      <c r="H1336"/>
      <c r="I1336"/>
    </row>
    <row r="1337" spans="2:9" x14ac:dyDescent="0.25">
      <c r="B1337"/>
      <c r="C1337"/>
      <c r="D1337"/>
      <c r="E1337"/>
      <c r="F1337"/>
      <c r="G1337"/>
      <c r="H1337"/>
      <c r="I1337"/>
    </row>
    <row r="1338" spans="2:9" x14ac:dyDescent="0.25">
      <c r="B1338"/>
      <c r="C1338"/>
      <c r="D1338"/>
      <c r="E1338"/>
      <c r="F1338"/>
      <c r="G1338"/>
      <c r="H1338"/>
      <c r="I1338"/>
    </row>
    <row r="1339" spans="2:9" x14ac:dyDescent="0.25">
      <c r="B1339"/>
      <c r="C1339"/>
      <c r="D1339"/>
      <c r="E1339"/>
      <c r="F1339"/>
      <c r="G1339"/>
      <c r="H1339"/>
      <c r="I1339"/>
    </row>
    <row r="1340" spans="2:9" x14ac:dyDescent="0.25">
      <c r="B1340"/>
      <c r="C1340"/>
      <c r="D1340"/>
      <c r="E1340"/>
      <c r="F1340"/>
      <c r="G1340"/>
      <c r="H1340"/>
      <c r="I1340"/>
    </row>
    <row r="1341" spans="2:9" x14ac:dyDescent="0.25">
      <c r="B1341"/>
      <c r="C1341"/>
      <c r="D1341"/>
      <c r="E1341"/>
      <c r="F1341"/>
      <c r="G1341"/>
      <c r="H1341"/>
      <c r="I1341"/>
    </row>
    <row r="1342" spans="2:9" x14ac:dyDescent="0.25">
      <c r="B1342"/>
      <c r="C1342"/>
      <c r="D1342"/>
      <c r="E1342"/>
      <c r="F1342"/>
      <c r="G1342"/>
      <c r="H1342"/>
      <c r="I1342"/>
    </row>
    <row r="1343" spans="2:9" x14ac:dyDescent="0.25">
      <c r="B1343"/>
      <c r="C1343"/>
      <c r="D1343"/>
      <c r="E1343"/>
      <c r="F1343"/>
      <c r="G1343"/>
      <c r="H1343"/>
      <c r="I1343"/>
    </row>
    <row r="1344" spans="2:9" x14ac:dyDescent="0.25">
      <c r="B1344"/>
      <c r="C1344"/>
      <c r="D1344"/>
      <c r="E1344"/>
      <c r="F1344"/>
      <c r="G1344"/>
      <c r="H1344"/>
      <c r="I1344"/>
    </row>
    <row r="1345" spans="2:9" x14ac:dyDescent="0.25">
      <c r="B1345"/>
      <c r="C1345"/>
      <c r="D1345"/>
      <c r="E1345"/>
      <c r="F1345"/>
      <c r="G1345"/>
      <c r="H1345"/>
      <c r="I1345"/>
    </row>
    <row r="1346" spans="2:9" x14ac:dyDescent="0.25">
      <c r="B1346"/>
      <c r="C1346"/>
      <c r="D1346"/>
      <c r="E1346"/>
      <c r="F1346"/>
      <c r="G1346"/>
      <c r="H1346"/>
      <c r="I1346"/>
    </row>
    <row r="1347" spans="2:9" x14ac:dyDescent="0.25">
      <c r="B1347"/>
      <c r="C1347"/>
      <c r="D1347"/>
      <c r="E1347"/>
      <c r="F1347"/>
      <c r="G1347"/>
      <c r="H1347"/>
      <c r="I1347"/>
    </row>
    <row r="1348" spans="2:9" x14ac:dyDescent="0.25">
      <c r="B1348"/>
      <c r="C1348"/>
      <c r="D1348"/>
      <c r="E1348"/>
      <c r="F1348"/>
      <c r="G1348"/>
      <c r="H1348"/>
      <c r="I1348"/>
    </row>
    <row r="1349" spans="2:9" x14ac:dyDescent="0.25">
      <c r="B1349"/>
      <c r="C1349"/>
      <c r="D1349"/>
      <c r="E1349"/>
      <c r="F1349"/>
      <c r="G1349"/>
      <c r="H1349"/>
      <c r="I1349"/>
    </row>
    <row r="1350" spans="2:9" x14ac:dyDescent="0.25">
      <c r="B1350"/>
      <c r="C1350"/>
      <c r="D1350"/>
      <c r="E1350"/>
      <c r="F1350"/>
      <c r="G1350"/>
      <c r="H1350"/>
      <c r="I1350"/>
    </row>
    <row r="1351" spans="2:9" x14ac:dyDescent="0.25">
      <c r="B1351"/>
      <c r="C1351"/>
      <c r="D1351"/>
      <c r="E1351"/>
      <c r="F1351"/>
      <c r="G1351"/>
      <c r="H1351"/>
      <c r="I1351"/>
    </row>
    <row r="1352" spans="2:9" x14ac:dyDescent="0.25">
      <c r="B1352"/>
      <c r="C1352"/>
      <c r="D1352"/>
      <c r="E1352"/>
      <c r="F1352"/>
      <c r="G1352"/>
      <c r="H1352"/>
      <c r="I1352"/>
    </row>
    <row r="1353" spans="2:9" x14ac:dyDescent="0.25">
      <c r="B1353"/>
      <c r="C1353"/>
      <c r="D1353"/>
      <c r="E1353"/>
      <c r="F1353"/>
      <c r="G1353"/>
      <c r="H1353"/>
      <c r="I1353"/>
    </row>
    <row r="1354" spans="2:9" x14ac:dyDescent="0.25">
      <c r="B1354"/>
      <c r="C1354"/>
      <c r="D1354"/>
      <c r="E1354"/>
      <c r="F1354"/>
      <c r="G1354"/>
      <c r="H1354"/>
      <c r="I1354"/>
    </row>
    <row r="1355" spans="2:9" x14ac:dyDescent="0.25">
      <c r="B1355"/>
      <c r="C1355"/>
      <c r="D1355"/>
      <c r="E1355"/>
      <c r="F1355"/>
      <c r="G1355"/>
      <c r="H1355"/>
      <c r="I1355"/>
    </row>
    <row r="1356" spans="2:9" x14ac:dyDescent="0.25">
      <c r="B1356"/>
      <c r="C1356"/>
      <c r="D1356"/>
      <c r="E1356"/>
      <c r="F1356"/>
      <c r="G1356"/>
      <c r="H1356"/>
      <c r="I1356"/>
    </row>
    <row r="1357" spans="2:9" x14ac:dyDescent="0.25">
      <c r="B1357"/>
      <c r="C1357"/>
      <c r="D1357"/>
      <c r="E1357"/>
      <c r="F1357"/>
      <c r="G1357"/>
      <c r="H1357"/>
      <c r="I1357"/>
    </row>
    <row r="1358" spans="2:9" x14ac:dyDescent="0.25">
      <c r="B1358"/>
      <c r="C1358"/>
      <c r="D1358"/>
      <c r="E1358"/>
      <c r="F1358"/>
      <c r="G1358"/>
      <c r="H1358"/>
      <c r="I1358"/>
    </row>
    <row r="1359" spans="2:9" x14ac:dyDescent="0.25">
      <c r="B1359"/>
      <c r="C1359"/>
      <c r="D1359"/>
      <c r="E1359"/>
      <c r="F1359"/>
      <c r="G1359"/>
      <c r="H1359"/>
      <c r="I1359"/>
    </row>
    <row r="1360" spans="2:9" x14ac:dyDescent="0.25">
      <c r="B1360"/>
      <c r="C1360"/>
      <c r="D1360"/>
      <c r="E1360"/>
      <c r="F1360"/>
      <c r="G1360"/>
      <c r="H1360"/>
      <c r="I1360"/>
    </row>
    <row r="1361" spans="2:9" x14ac:dyDescent="0.25">
      <c r="B1361"/>
      <c r="C1361"/>
      <c r="D1361"/>
      <c r="E1361"/>
      <c r="F1361"/>
      <c r="G1361"/>
      <c r="H1361"/>
      <c r="I1361"/>
    </row>
    <row r="1362" spans="2:9" x14ac:dyDescent="0.25">
      <c r="B1362"/>
      <c r="C1362"/>
      <c r="D1362"/>
      <c r="E1362"/>
      <c r="F1362"/>
      <c r="G1362"/>
      <c r="H1362"/>
      <c r="I1362"/>
    </row>
    <row r="1363" spans="2:9" x14ac:dyDescent="0.25">
      <c r="B1363"/>
      <c r="C1363"/>
      <c r="D1363"/>
      <c r="E1363"/>
      <c r="F1363"/>
      <c r="G1363"/>
      <c r="H1363"/>
      <c r="I1363"/>
    </row>
    <row r="1364" spans="2:9" x14ac:dyDescent="0.25">
      <c r="B1364"/>
      <c r="C1364"/>
      <c r="D1364"/>
      <c r="E1364"/>
      <c r="F1364"/>
      <c r="G1364"/>
      <c r="H1364"/>
      <c r="I1364"/>
    </row>
    <row r="1365" spans="2:9" x14ac:dyDescent="0.25">
      <c r="B1365"/>
      <c r="C1365"/>
      <c r="D1365"/>
      <c r="E1365"/>
      <c r="F1365"/>
      <c r="G1365"/>
      <c r="H1365"/>
      <c r="I1365"/>
    </row>
    <row r="1366" spans="2:9" x14ac:dyDescent="0.25">
      <c r="B1366"/>
      <c r="C1366"/>
      <c r="D1366"/>
      <c r="E1366"/>
      <c r="F1366"/>
      <c r="G1366"/>
      <c r="H1366"/>
      <c r="I1366"/>
    </row>
    <row r="1367" spans="2:9" x14ac:dyDescent="0.25">
      <c r="B1367"/>
      <c r="C1367"/>
      <c r="D1367"/>
      <c r="E1367"/>
      <c r="F1367"/>
      <c r="G1367"/>
      <c r="H1367"/>
      <c r="I1367"/>
    </row>
    <row r="1368" spans="2:9" x14ac:dyDescent="0.25">
      <c r="B1368"/>
      <c r="C1368"/>
      <c r="D1368"/>
      <c r="E1368"/>
      <c r="F1368"/>
      <c r="G1368"/>
      <c r="H1368"/>
      <c r="I1368"/>
    </row>
    <row r="1369" spans="2:9" x14ac:dyDescent="0.25">
      <c r="B1369"/>
      <c r="C1369"/>
      <c r="D1369"/>
      <c r="E1369"/>
      <c r="F1369"/>
      <c r="G1369"/>
      <c r="H1369"/>
      <c r="I1369"/>
    </row>
    <row r="1370" spans="2:9" x14ac:dyDescent="0.25">
      <c r="B1370"/>
      <c r="C1370"/>
      <c r="D1370"/>
      <c r="E1370"/>
      <c r="F1370"/>
      <c r="G1370"/>
      <c r="H1370"/>
      <c r="I1370"/>
    </row>
    <row r="1371" spans="2:9" x14ac:dyDescent="0.25">
      <c r="B1371"/>
      <c r="C1371"/>
      <c r="D1371"/>
      <c r="E1371"/>
      <c r="F1371"/>
      <c r="G1371"/>
      <c r="H1371"/>
      <c r="I1371"/>
    </row>
    <row r="1372" spans="2:9" x14ac:dyDescent="0.25">
      <c r="B1372"/>
      <c r="C1372"/>
      <c r="D1372"/>
      <c r="E1372"/>
      <c r="F1372"/>
      <c r="G1372"/>
      <c r="H1372"/>
      <c r="I1372"/>
    </row>
    <row r="1373" spans="2:9" x14ac:dyDescent="0.25">
      <c r="B1373"/>
      <c r="C1373"/>
      <c r="D1373"/>
      <c r="E1373"/>
      <c r="F1373"/>
      <c r="G1373"/>
      <c r="H1373"/>
      <c r="I1373"/>
    </row>
    <row r="1374" spans="2:9" x14ac:dyDescent="0.25">
      <c r="B1374"/>
      <c r="C1374"/>
      <c r="D1374"/>
      <c r="E1374"/>
      <c r="F1374"/>
      <c r="G1374"/>
      <c r="H1374"/>
      <c r="I1374"/>
    </row>
    <row r="1375" spans="2:9" x14ac:dyDescent="0.25">
      <c r="B1375"/>
      <c r="C1375"/>
      <c r="D1375"/>
      <c r="E1375"/>
      <c r="F1375"/>
      <c r="G1375"/>
      <c r="H1375"/>
      <c r="I1375"/>
    </row>
    <row r="1376" spans="2:9" x14ac:dyDescent="0.25">
      <c r="B1376"/>
      <c r="C1376"/>
      <c r="D1376"/>
      <c r="E1376"/>
      <c r="F1376"/>
      <c r="G1376"/>
      <c r="H1376"/>
      <c r="I1376"/>
    </row>
    <row r="1377" spans="2:9" x14ac:dyDescent="0.25">
      <c r="B1377"/>
      <c r="C1377"/>
      <c r="D1377"/>
      <c r="E1377"/>
      <c r="F1377"/>
      <c r="G1377"/>
      <c r="H1377"/>
      <c r="I1377"/>
    </row>
    <row r="1378" spans="2:9" x14ac:dyDescent="0.25">
      <c r="B1378"/>
      <c r="C1378"/>
      <c r="D1378"/>
      <c r="E1378"/>
      <c r="F1378"/>
      <c r="G1378"/>
      <c r="H1378"/>
      <c r="I1378"/>
    </row>
    <row r="1379" spans="2:9" x14ac:dyDescent="0.25">
      <c r="B1379"/>
      <c r="C1379"/>
      <c r="D1379"/>
      <c r="E1379"/>
      <c r="F1379"/>
      <c r="G1379"/>
      <c r="H1379"/>
      <c r="I1379"/>
    </row>
    <row r="1380" spans="2:9" x14ac:dyDescent="0.25">
      <c r="B1380"/>
      <c r="C1380"/>
      <c r="D1380"/>
      <c r="E1380"/>
      <c r="F1380"/>
      <c r="G1380"/>
      <c r="H1380"/>
      <c r="I1380"/>
    </row>
    <row r="1381" spans="2:9" x14ac:dyDescent="0.25">
      <c r="B1381"/>
      <c r="C1381"/>
      <c r="D1381"/>
      <c r="E1381"/>
      <c r="F1381"/>
      <c r="G1381"/>
      <c r="H1381"/>
      <c r="I1381"/>
    </row>
    <row r="1382" spans="2:9" x14ac:dyDescent="0.25">
      <c r="B1382"/>
      <c r="C1382"/>
      <c r="D1382"/>
      <c r="E1382"/>
      <c r="F1382"/>
      <c r="G1382"/>
      <c r="H1382"/>
      <c r="I1382"/>
    </row>
    <row r="1383" spans="2:9" x14ac:dyDescent="0.25">
      <c r="B1383"/>
      <c r="C1383"/>
      <c r="D1383"/>
      <c r="E1383"/>
      <c r="F1383"/>
      <c r="G1383"/>
      <c r="H1383"/>
      <c r="I1383"/>
    </row>
    <row r="1384" spans="2:9" x14ac:dyDescent="0.25">
      <c r="B1384"/>
      <c r="C1384"/>
      <c r="D1384"/>
      <c r="E1384"/>
      <c r="F1384"/>
      <c r="G1384"/>
      <c r="H1384"/>
      <c r="I1384"/>
    </row>
    <row r="1385" spans="2:9" x14ac:dyDescent="0.25">
      <c r="B1385"/>
      <c r="C1385"/>
      <c r="D1385"/>
      <c r="E1385"/>
      <c r="F1385"/>
      <c r="G1385"/>
      <c r="H1385"/>
      <c r="I1385"/>
    </row>
    <row r="1386" spans="2:9" x14ac:dyDescent="0.25">
      <c r="B1386"/>
      <c r="C1386"/>
      <c r="D1386"/>
      <c r="E1386"/>
      <c r="F1386"/>
      <c r="G1386"/>
      <c r="H1386"/>
      <c r="I1386"/>
    </row>
    <row r="1387" spans="2:9" x14ac:dyDescent="0.25">
      <c r="B1387"/>
      <c r="C1387"/>
      <c r="D1387"/>
      <c r="E1387"/>
      <c r="F1387"/>
      <c r="G1387"/>
      <c r="H1387"/>
      <c r="I1387"/>
    </row>
    <row r="1388" spans="2:9" x14ac:dyDescent="0.25">
      <c r="B1388"/>
      <c r="C1388"/>
      <c r="D1388"/>
      <c r="E1388"/>
      <c r="F1388"/>
      <c r="G1388"/>
      <c r="H1388"/>
      <c r="I1388"/>
    </row>
    <row r="1389" spans="2:9" x14ac:dyDescent="0.25">
      <c r="B1389"/>
      <c r="C1389"/>
      <c r="D1389"/>
      <c r="E1389"/>
      <c r="F1389"/>
      <c r="G1389"/>
      <c r="H1389"/>
      <c r="I1389"/>
    </row>
    <row r="1390" spans="2:9" x14ac:dyDescent="0.25">
      <c r="B1390"/>
      <c r="C1390"/>
      <c r="D1390"/>
      <c r="E1390"/>
      <c r="F1390"/>
      <c r="G1390"/>
      <c r="H1390"/>
      <c r="I1390"/>
    </row>
    <row r="1391" spans="2:9" x14ac:dyDescent="0.25">
      <c r="B1391"/>
      <c r="C1391"/>
      <c r="D1391"/>
      <c r="E1391"/>
      <c r="F1391"/>
      <c r="G1391"/>
      <c r="H1391"/>
      <c r="I1391"/>
    </row>
    <row r="1392" spans="2:9" x14ac:dyDescent="0.25">
      <c r="B1392"/>
      <c r="C1392"/>
      <c r="D1392"/>
      <c r="E1392"/>
      <c r="F1392"/>
      <c r="G1392"/>
      <c r="H1392"/>
      <c r="I1392"/>
    </row>
    <row r="1393" spans="2:9" x14ac:dyDescent="0.25">
      <c r="B1393"/>
      <c r="C1393"/>
      <c r="D1393"/>
      <c r="E1393"/>
      <c r="F1393"/>
      <c r="G1393"/>
      <c r="H1393"/>
      <c r="I1393"/>
    </row>
    <row r="1394" spans="2:9" x14ac:dyDescent="0.25">
      <c r="B1394"/>
      <c r="C1394"/>
      <c r="D1394"/>
      <c r="E1394"/>
      <c r="F1394"/>
      <c r="G1394"/>
      <c r="H1394"/>
      <c r="I1394"/>
    </row>
    <row r="1395" spans="2:9" x14ac:dyDescent="0.25">
      <c r="B1395"/>
      <c r="C1395"/>
      <c r="D1395"/>
      <c r="E1395"/>
      <c r="F1395"/>
      <c r="G1395"/>
      <c r="H1395"/>
      <c r="I1395"/>
    </row>
    <row r="1396" spans="2:9" x14ac:dyDescent="0.25">
      <c r="B1396"/>
      <c r="C1396"/>
      <c r="D1396"/>
      <c r="E1396"/>
      <c r="F1396"/>
      <c r="G1396"/>
      <c r="H1396"/>
      <c r="I1396"/>
    </row>
    <row r="1397" spans="2:9" x14ac:dyDescent="0.25">
      <c r="B1397"/>
      <c r="C1397"/>
      <c r="D1397"/>
      <c r="E1397"/>
      <c r="F1397"/>
      <c r="G1397"/>
      <c r="H1397"/>
      <c r="I1397"/>
    </row>
    <row r="1398" spans="2:9" x14ac:dyDescent="0.25">
      <c r="B1398"/>
      <c r="C1398"/>
      <c r="D1398"/>
      <c r="E1398"/>
      <c r="F1398"/>
      <c r="G1398"/>
      <c r="H1398"/>
      <c r="I1398"/>
    </row>
    <row r="1399" spans="2:9" x14ac:dyDescent="0.25">
      <c r="B1399"/>
      <c r="C1399"/>
      <c r="D1399"/>
      <c r="E1399"/>
      <c r="F1399"/>
      <c r="G1399"/>
      <c r="H1399"/>
      <c r="I1399"/>
    </row>
    <row r="1400" spans="2:9" x14ac:dyDescent="0.25">
      <c r="B1400"/>
      <c r="C1400"/>
      <c r="D1400"/>
      <c r="E1400"/>
      <c r="F1400"/>
      <c r="G1400"/>
      <c r="H1400"/>
      <c r="I1400"/>
    </row>
    <row r="1401" spans="2:9" x14ac:dyDescent="0.25">
      <c r="B1401"/>
      <c r="C1401"/>
      <c r="D1401"/>
      <c r="E1401"/>
      <c r="F1401"/>
      <c r="G1401"/>
      <c r="H1401"/>
      <c r="I1401"/>
    </row>
    <row r="1402" spans="2:9" x14ac:dyDescent="0.25">
      <c r="B1402"/>
      <c r="C1402"/>
      <c r="D1402"/>
      <c r="E1402"/>
      <c r="F1402"/>
      <c r="G1402"/>
      <c r="H1402"/>
      <c r="I1402"/>
    </row>
    <row r="1403" spans="2:9" x14ac:dyDescent="0.25">
      <c r="B1403"/>
      <c r="C1403"/>
      <c r="D1403"/>
      <c r="E1403"/>
      <c r="F1403"/>
      <c r="G1403"/>
      <c r="H1403"/>
      <c r="I1403"/>
    </row>
    <row r="1404" spans="2:9" x14ac:dyDescent="0.25">
      <c r="B1404"/>
      <c r="C1404"/>
      <c r="D1404"/>
      <c r="E1404"/>
      <c r="F1404"/>
      <c r="G1404"/>
      <c r="H1404"/>
      <c r="I1404"/>
    </row>
    <row r="1405" spans="2:9" x14ac:dyDescent="0.25">
      <c r="B1405"/>
      <c r="C1405"/>
      <c r="D1405"/>
      <c r="E1405"/>
      <c r="F1405"/>
      <c r="G1405"/>
      <c r="H1405"/>
      <c r="I1405"/>
    </row>
    <row r="1406" spans="2:9" x14ac:dyDescent="0.25">
      <c r="B1406"/>
      <c r="C1406"/>
      <c r="D1406"/>
      <c r="E1406"/>
      <c r="F1406"/>
      <c r="G1406"/>
      <c r="H1406"/>
      <c r="I1406"/>
    </row>
    <row r="1407" spans="2:9" x14ac:dyDescent="0.25">
      <c r="B1407"/>
      <c r="C1407"/>
      <c r="D1407"/>
      <c r="E1407"/>
      <c r="F1407"/>
      <c r="G1407"/>
      <c r="H1407"/>
      <c r="I1407"/>
    </row>
    <row r="1408" spans="2:9" x14ac:dyDescent="0.25">
      <c r="B1408"/>
      <c r="C1408"/>
      <c r="D1408"/>
      <c r="E1408"/>
      <c r="F1408"/>
      <c r="G1408"/>
      <c r="H1408"/>
      <c r="I1408"/>
    </row>
    <row r="1409" spans="2:9" x14ac:dyDescent="0.25">
      <c r="B1409"/>
      <c r="C1409"/>
      <c r="D1409"/>
      <c r="E1409"/>
      <c r="F1409"/>
      <c r="G1409"/>
      <c r="H1409"/>
      <c r="I1409"/>
    </row>
    <row r="1410" spans="2:9" x14ac:dyDescent="0.25">
      <c r="B1410"/>
      <c r="C1410"/>
      <c r="D1410"/>
      <c r="E1410"/>
      <c r="F1410"/>
      <c r="G1410"/>
      <c r="H1410"/>
      <c r="I1410"/>
    </row>
    <row r="1411" spans="2:9" x14ac:dyDescent="0.25">
      <c r="B1411"/>
      <c r="C1411"/>
      <c r="D1411"/>
      <c r="E1411"/>
      <c r="F1411"/>
      <c r="G1411"/>
      <c r="H1411"/>
      <c r="I1411"/>
    </row>
    <row r="1412" spans="2:9" x14ac:dyDescent="0.25">
      <c r="B1412"/>
      <c r="C1412"/>
      <c r="D1412"/>
      <c r="E1412"/>
      <c r="F1412"/>
      <c r="G1412"/>
      <c r="H1412"/>
      <c r="I1412"/>
    </row>
    <row r="1413" spans="2:9" x14ac:dyDescent="0.25">
      <c r="B1413"/>
      <c r="C1413"/>
      <c r="D1413"/>
      <c r="E1413"/>
      <c r="F1413"/>
      <c r="G1413"/>
      <c r="H1413"/>
      <c r="I1413"/>
    </row>
    <row r="1414" spans="2:9" x14ac:dyDescent="0.25">
      <c r="B1414"/>
      <c r="C1414"/>
      <c r="D1414"/>
      <c r="E1414"/>
      <c r="F1414"/>
      <c r="G1414"/>
      <c r="H1414"/>
      <c r="I1414"/>
    </row>
    <row r="1415" spans="2:9" x14ac:dyDescent="0.25">
      <c r="B1415"/>
      <c r="C1415"/>
      <c r="D1415"/>
      <c r="E1415"/>
      <c r="F1415"/>
      <c r="G1415"/>
      <c r="H1415"/>
      <c r="I1415"/>
    </row>
    <row r="1416" spans="2:9" x14ac:dyDescent="0.25">
      <c r="B1416"/>
      <c r="C1416"/>
      <c r="D1416"/>
      <c r="E1416"/>
      <c r="F1416"/>
      <c r="G1416"/>
      <c r="H1416"/>
      <c r="I1416"/>
    </row>
    <row r="1417" spans="2:9" x14ac:dyDescent="0.25">
      <c r="B1417"/>
      <c r="C1417"/>
      <c r="D1417"/>
      <c r="E1417"/>
      <c r="F1417"/>
      <c r="G1417"/>
      <c r="H1417"/>
      <c r="I1417"/>
    </row>
    <row r="1418" spans="2:9" x14ac:dyDescent="0.25">
      <c r="B1418"/>
      <c r="C1418"/>
      <c r="D1418"/>
      <c r="E1418"/>
      <c r="F1418"/>
      <c r="G1418"/>
      <c r="H1418"/>
      <c r="I1418"/>
    </row>
    <row r="1419" spans="2:9" x14ac:dyDescent="0.25">
      <c r="B1419"/>
      <c r="C1419"/>
      <c r="D1419"/>
      <c r="E1419"/>
      <c r="F1419"/>
      <c r="G1419"/>
      <c r="H1419"/>
      <c r="I1419"/>
    </row>
    <row r="1420" spans="2:9" x14ac:dyDescent="0.25">
      <c r="B1420"/>
      <c r="C1420"/>
      <c r="D1420"/>
      <c r="E1420"/>
      <c r="F1420"/>
      <c r="G1420"/>
      <c r="H1420"/>
      <c r="I1420"/>
    </row>
    <row r="1421" spans="2:9" x14ac:dyDescent="0.25">
      <c r="B1421"/>
      <c r="C1421"/>
      <c r="D1421"/>
      <c r="E1421"/>
      <c r="F1421"/>
      <c r="G1421"/>
      <c r="H1421"/>
      <c r="I1421"/>
    </row>
    <row r="1422" spans="2:9" x14ac:dyDescent="0.25">
      <c r="B1422"/>
      <c r="C1422"/>
      <c r="D1422"/>
      <c r="E1422"/>
      <c r="F1422"/>
      <c r="G1422"/>
      <c r="H1422"/>
      <c r="I1422"/>
    </row>
    <row r="1423" spans="2:9" x14ac:dyDescent="0.25">
      <c r="B1423"/>
      <c r="C1423"/>
      <c r="D1423"/>
      <c r="E1423"/>
      <c r="F1423"/>
      <c r="G1423"/>
      <c r="H1423"/>
      <c r="I1423"/>
    </row>
    <row r="1424" spans="2:9" x14ac:dyDescent="0.25">
      <c r="B1424"/>
      <c r="C1424"/>
      <c r="D1424"/>
      <c r="E1424"/>
      <c r="F1424"/>
      <c r="G1424"/>
      <c r="H1424"/>
      <c r="I1424"/>
    </row>
    <row r="1425" spans="2:9" x14ac:dyDescent="0.25">
      <c r="B1425"/>
      <c r="C1425"/>
      <c r="D1425"/>
      <c r="E1425"/>
      <c r="F1425"/>
      <c r="G1425"/>
      <c r="H1425"/>
      <c r="I1425"/>
    </row>
    <row r="1426" spans="2:9" x14ac:dyDescent="0.25">
      <c r="B1426"/>
      <c r="C1426"/>
      <c r="D1426"/>
      <c r="E1426"/>
      <c r="F1426"/>
      <c r="G1426"/>
      <c r="H1426"/>
      <c r="I1426"/>
    </row>
    <row r="1427" spans="2:9" x14ac:dyDescent="0.25">
      <c r="B1427"/>
      <c r="C1427"/>
      <c r="D1427"/>
      <c r="E1427"/>
      <c r="F1427"/>
      <c r="G1427"/>
      <c r="H1427"/>
      <c r="I1427"/>
    </row>
    <row r="1428" spans="2:9" x14ac:dyDescent="0.25">
      <c r="B1428"/>
      <c r="C1428"/>
      <c r="D1428"/>
      <c r="E1428"/>
      <c r="F1428"/>
      <c r="G1428"/>
      <c r="H1428"/>
      <c r="I1428"/>
    </row>
    <row r="1429" spans="2:9" x14ac:dyDescent="0.25">
      <c r="B1429"/>
      <c r="C1429"/>
      <c r="D1429"/>
      <c r="E1429"/>
      <c r="F1429"/>
      <c r="G1429"/>
      <c r="H1429"/>
      <c r="I1429"/>
    </row>
    <row r="1430" spans="2:9" x14ac:dyDescent="0.25">
      <c r="B1430"/>
      <c r="C1430"/>
      <c r="D1430"/>
      <c r="E1430"/>
      <c r="F1430"/>
      <c r="G1430"/>
      <c r="H1430"/>
      <c r="I1430"/>
    </row>
    <row r="1431" spans="2:9" x14ac:dyDescent="0.25">
      <c r="B1431"/>
      <c r="C1431"/>
      <c r="D1431"/>
      <c r="E1431"/>
      <c r="F1431"/>
      <c r="G1431"/>
      <c r="H1431"/>
      <c r="I1431"/>
    </row>
    <row r="1432" spans="2:9" x14ac:dyDescent="0.25">
      <c r="B1432"/>
      <c r="C1432"/>
      <c r="D1432"/>
      <c r="E1432"/>
      <c r="F1432"/>
      <c r="G1432"/>
      <c r="H1432"/>
      <c r="I1432"/>
    </row>
    <row r="1433" spans="2:9" x14ac:dyDescent="0.25">
      <c r="B1433"/>
      <c r="C1433"/>
      <c r="D1433"/>
      <c r="E1433"/>
      <c r="F1433"/>
      <c r="G1433"/>
      <c r="H1433"/>
      <c r="I1433"/>
    </row>
    <row r="1434" spans="2:9" x14ac:dyDescent="0.25">
      <c r="B1434"/>
      <c r="C1434"/>
      <c r="D1434"/>
      <c r="E1434"/>
      <c r="F1434"/>
      <c r="G1434"/>
      <c r="H1434"/>
      <c r="I1434"/>
    </row>
    <row r="1435" spans="2:9" x14ac:dyDescent="0.25">
      <c r="B1435"/>
      <c r="C1435"/>
      <c r="D1435"/>
      <c r="E1435"/>
      <c r="F1435"/>
      <c r="G1435"/>
      <c r="H1435"/>
      <c r="I1435"/>
    </row>
    <row r="1436" spans="2:9" x14ac:dyDescent="0.25">
      <c r="B1436"/>
      <c r="C1436"/>
      <c r="D1436"/>
      <c r="E1436"/>
      <c r="F1436"/>
      <c r="G1436"/>
      <c r="H1436"/>
      <c r="I1436"/>
    </row>
    <row r="1437" spans="2:9" x14ac:dyDescent="0.25">
      <c r="B1437"/>
      <c r="C1437"/>
      <c r="D1437"/>
      <c r="E1437"/>
      <c r="F1437"/>
      <c r="G1437"/>
      <c r="H1437"/>
      <c r="I1437"/>
    </row>
    <row r="1438" spans="2:9" x14ac:dyDescent="0.25">
      <c r="B1438"/>
      <c r="C1438"/>
      <c r="D1438"/>
      <c r="E1438"/>
      <c r="F1438"/>
      <c r="G1438"/>
      <c r="H1438"/>
      <c r="I1438"/>
    </row>
    <row r="1439" spans="2:9" x14ac:dyDescent="0.25">
      <c r="B1439"/>
      <c r="C1439"/>
      <c r="D1439"/>
      <c r="E1439"/>
      <c r="F1439"/>
      <c r="G1439"/>
      <c r="H1439"/>
      <c r="I1439"/>
    </row>
    <row r="1440" spans="2:9" x14ac:dyDescent="0.25">
      <c r="B1440"/>
      <c r="C1440"/>
      <c r="D1440"/>
      <c r="E1440"/>
      <c r="F1440"/>
      <c r="G1440"/>
      <c r="H1440"/>
      <c r="I1440"/>
    </row>
    <row r="1441" spans="2:9" x14ac:dyDescent="0.25">
      <c r="B1441"/>
      <c r="C1441"/>
      <c r="D1441"/>
      <c r="E1441"/>
      <c r="F1441"/>
      <c r="G1441"/>
      <c r="H1441"/>
      <c r="I1441"/>
    </row>
    <row r="1442" spans="2:9" x14ac:dyDescent="0.25">
      <c r="B1442"/>
      <c r="C1442"/>
      <c r="D1442"/>
      <c r="E1442"/>
      <c r="F1442"/>
      <c r="G1442"/>
      <c r="H1442"/>
      <c r="I1442"/>
    </row>
    <row r="1443" spans="2:9" x14ac:dyDescent="0.25">
      <c r="B1443"/>
      <c r="C1443"/>
      <c r="D1443"/>
      <c r="E1443"/>
      <c r="F1443"/>
      <c r="G1443"/>
      <c r="H1443"/>
      <c r="I1443"/>
    </row>
    <row r="1444" spans="2:9" x14ac:dyDescent="0.25">
      <c r="B1444"/>
      <c r="C1444"/>
      <c r="D1444"/>
      <c r="E1444"/>
      <c r="F1444"/>
      <c r="G1444"/>
      <c r="H1444"/>
      <c r="I1444"/>
    </row>
    <row r="1445" spans="2:9" x14ac:dyDescent="0.25">
      <c r="B1445"/>
      <c r="C1445"/>
      <c r="D1445"/>
      <c r="E1445"/>
      <c r="F1445"/>
      <c r="G1445"/>
      <c r="H1445"/>
      <c r="I1445"/>
    </row>
    <row r="1446" spans="2:9" x14ac:dyDescent="0.25">
      <c r="B1446"/>
      <c r="C1446"/>
      <c r="D1446"/>
      <c r="E1446"/>
      <c r="F1446"/>
      <c r="G1446"/>
      <c r="H1446"/>
      <c r="I1446"/>
    </row>
    <row r="1447" spans="2:9" x14ac:dyDescent="0.25">
      <c r="B1447"/>
      <c r="C1447"/>
      <c r="D1447"/>
      <c r="E1447"/>
      <c r="F1447"/>
      <c r="G1447"/>
      <c r="H1447"/>
      <c r="I1447"/>
    </row>
    <row r="1448" spans="2:9" x14ac:dyDescent="0.25">
      <c r="B1448"/>
      <c r="C1448"/>
      <c r="D1448"/>
      <c r="E1448"/>
      <c r="F1448"/>
      <c r="G1448"/>
      <c r="H1448"/>
      <c r="I1448"/>
    </row>
    <row r="1449" spans="2:9" x14ac:dyDescent="0.25">
      <c r="B1449"/>
      <c r="C1449"/>
      <c r="D1449"/>
      <c r="E1449"/>
      <c r="F1449"/>
      <c r="G1449"/>
      <c r="H1449"/>
      <c r="I1449"/>
    </row>
    <row r="1450" spans="2:9" x14ac:dyDescent="0.25">
      <c r="B1450"/>
      <c r="C1450"/>
      <c r="D1450"/>
      <c r="E1450"/>
      <c r="F1450"/>
      <c r="G1450"/>
      <c r="H1450"/>
      <c r="I1450"/>
    </row>
    <row r="1451" spans="2:9" x14ac:dyDescent="0.25">
      <c r="B1451"/>
      <c r="C1451"/>
      <c r="D1451"/>
      <c r="E1451"/>
      <c r="F1451"/>
      <c r="G1451"/>
      <c r="H1451"/>
      <c r="I1451"/>
    </row>
    <row r="1452" spans="2:9" x14ac:dyDescent="0.25">
      <c r="B1452"/>
      <c r="C1452"/>
      <c r="D1452"/>
      <c r="E1452"/>
      <c r="F1452"/>
      <c r="G1452"/>
      <c r="H1452"/>
      <c r="I1452"/>
    </row>
    <row r="1453" spans="2:9" x14ac:dyDescent="0.25">
      <c r="B1453"/>
      <c r="C1453"/>
      <c r="D1453"/>
      <c r="E1453"/>
      <c r="F1453"/>
      <c r="G1453"/>
      <c r="H1453"/>
      <c r="I1453"/>
    </row>
    <row r="1454" spans="2:9" x14ac:dyDescent="0.25">
      <c r="B1454"/>
      <c r="C1454"/>
      <c r="D1454"/>
      <c r="E1454"/>
      <c r="F1454"/>
      <c r="G1454"/>
      <c r="H1454"/>
      <c r="I1454"/>
    </row>
    <row r="1455" spans="2:9" x14ac:dyDescent="0.25">
      <c r="B1455"/>
      <c r="C1455"/>
      <c r="D1455"/>
      <c r="E1455"/>
      <c r="F1455"/>
      <c r="G1455"/>
      <c r="H1455"/>
      <c r="I1455"/>
    </row>
    <row r="1456" spans="2:9" x14ac:dyDescent="0.25">
      <c r="B1456"/>
      <c r="C1456"/>
      <c r="D1456"/>
      <c r="E1456"/>
      <c r="F1456"/>
      <c r="G1456"/>
      <c r="H1456"/>
      <c r="I1456"/>
    </row>
    <row r="1457" spans="2:9" x14ac:dyDescent="0.25">
      <c r="B1457"/>
      <c r="C1457"/>
      <c r="D1457"/>
      <c r="E1457"/>
      <c r="F1457"/>
      <c r="G1457"/>
      <c r="H1457"/>
      <c r="I1457"/>
    </row>
    <row r="1458" spans="2:9" x14ac:dyDescent="0.25">
      <c r="B1458"/>
      <c r="C1458"/>
      <c r="D1458"/>
      <c r="E1458"/>
      <c r="F1458"/>
      <c r="G1458"/>
      <c r="H1458"/>
      <c r="I1458"/>
    </row>
    <row r="1459" spans="2:9" x14ac:dyDescent="0.25">
      <c r="B1459"/>
      <c r="C1459"/>
      <c r="D1459"/>
      <c r="E1459"/>
      <c r="F1459"/>
      <c r="G1459"/>
      <c r="H1459"/>
      <c r="I1459"/>
    </row>
    <row r="1460" spans="2:9" x14ac:dyDescent="0.25">
      <c r="B1460"/>
      <c r="C1460"/>
      <c r="D1460"/>
      <c r="E1460"/>
      <c r="F1460"/>
      <c r="G1460"/>
      <c r="H1460"/>
      <c r="I1460"/>
    </row>
    <row r="1461" spans="2:9" x14ac:dyDescent="0.25">
      <c r="B1461"/>
      <c r="C1461"/>
      <c r="D1461"/>
      <c r="E1461"/>
      <c r="F1461"/>
      <c r="G1461"/>
      <c r="H1461"/>
      <c r="I1461"/>
    </row>
    <row r="1462" spans="2:9" x14ac:dyDescent="0.25">
      <c r="B1462"/>
      <c r="C1462"/>
      <c r="D1462"/>
      <c r="E1462"/>
      <c r="F1462"/>
      <c r="G1462"/>
      <c r="H1462"/>
      <c r="I1462"/>
    </row>
    <row r="1463" spans="2:9" x14ac:dyDescent="0.25">
      <c r="B1463"/>
      <c r="C1463"/>
      <c r="D1463"/>
      <c r="E1463"/>
      <c r="F1463"/>
      <c r="G1463"/>
      <c r="H1463"/>
      <c r="I1463"/>
    </row>
    <row r="1464" spans="2:9" x14ac:dyDescent="0.25">
      <c r="B1464"/>
      <c r="C1464"/>
      <c r="D1464"/>
      <c r="E1464"/>
      <c r="F1464"/>
      <c r="G1464"/>
      <c r="H1464"/>
      <c r="I1464"/>
    </row>
    <row r="1465" spans="2:9" x14ac:dyDescent="0.25">
      <c r="B1465"/>
      <c r="C1465"/>
      <c r="D1465"/>
      <c r="E1465"/>
      <c r="F1465"/>
      <c r="G1465"/>
      <c r="H1465"/>
      <c r="I1465"/>
    </row>
    <row r="1466" spans="2:9" x14ac:dyDescent="0.25">
      <c r="B1466"/>
      <c r="C1466"/>
      <c r="D1466"/>
      <c r="E1466"/>
      <c r="F1466"/>
      <c r="G1466"/>
      <c r="H1466"/>
      <c r="I1466"/>
    </row>
    <row r="1467" spans="2:9" x14ac:dyDescent="0.25">
      <c r="B1467"/>
      <c r="C1467"/>
      <c r="D1467"/>
      <c r="E1467"/>
      <c r="F1467"/>
      <c r="G1467"/>
      <c r="H1467"/>
      <c r="I1467"/>
    </row>
    <row r="1468" spans="2:9" x14ac:dyDescent="0.25">
      <c r="B1468"/>
      <c r="C1468"/>
      <c r="D1468"/>
      <c r="E1468"/>
      <c r="F1468"/>
      <c r="G1468"/>
      <c r="H1468"/>
      <c r="I1468"/>
    </row>
    <row r="1469" spans="2:9" x14ac:dyDescent="0.25">
      <c r="B1469"/>
      <c r="C1469"/>
      <c r="D1469"/>
      <c r="E1469"/>
      <c r="F1469"/>
      <c r="G1469"/>
      <c r="H1469"/>
      <c r="I1469"/>
    </row>
    <row r="1470" spans="2:9" x14ac:dyDescent="0.25">
      <c r="B1470"/>
      <c r="C1470"/>
      <c r="D1470"/>
      <c r="E1470"/>
      <c r="F1470"/>
      <c r="G1470"/>
      <c r="H1470"/>
      <c r="I1470"/>
    </row>
    <row r="1471" spans="2:9" x14ac:dyDescent="0.25">
      <c r="B1471"/>
      <c r="C1471"/>
      <c r="D1471"/>
      <c r="E1471"/>
      <c r="F1471"/>
      <c r="G1471"/>
      <c r="H1471"/>
      <c r="I1471"/>
    </row>
    <row r="1472" spans="2:9" x14ac:dyDescent="0.25">
      <c r="B1472"/>
      <c r="C1472"/>
      <c r="D1472"/>
      <c r="E1472"/>
      <c r="F1472"/>
      <c r="G1472"/>
      <c r="H1472"/>
      <c r="I1472"/>
    </row>
    <row r="1473" spans="2:9" x14ac:dyDescent="0.25">
      <c r="B1473"/>
      <c r="C1473"/>
      <c r="D1473"/>
      <c r="E1473"/>
      <c r="F1473"/>
      <c r="G1473"/>
      <c r="H1473"/>
      <c r="I1473"/>
    </row>
    <row r="1474" spans="2:9" x14ac:dyDescent="0.25">
      <c r="B1474"/>
      <c r="C1474"/>
      <c r="D1474"/>
      <c r="E1474"/>
      <c r="F1474"/>
      <c r="G1474"/>
      <c r="H1474"/>
      <c r="I1474"/>
    </row>
    <row r="1475" spans="2:9" x14ac:dyDescent="0.25">
      <c r="B1475"/>
      <c r="C1475"/>
      <c r="D1475"/>
      <c r="E1475"/>
      <c r="F1475"/>
      <c r="G1475"/>
      <c r="H1475"/>
      <c r="I1475"/>
    </row>
    <row r="1476" spans="2:9" x14ac:dyDescent="0.25">
      <c r="B1476"/>
      <c r="C1476"/>
      <c r="D1476"/>
      <c r="E1476"/>
      <c r="F1476"/>
      <c r="G1476"/>
      <c r="H1476"/>
      <c r="I1476"/>
    </row>
    <row r="1477" spans="2:9" x14ac:dyDescent="0.25">
      <c r="B1477"/>
      <c r="C1477"/>
      <c r="D1477"/>
      <c r="E1477"/>
      <c r="F1477"/>
      <c r="G1477"/>
      <c r="H1477"/>
      <c r="I1477"/>
    </row>
    <row r="1478" spans="2:9" x14ac:dyDescent="0.25">
      <c r="B1478"/>
      <c r="C1478"/>
      <c r="D1478"/>
      <c r="E1478"/>
      <c r="F1478"/>
      <c r="G1478"/>
      <c r="H1478"/>
      <c r="I1478"/>
    </row>
    <row r="1479" spans="2:9" x14ac:dyDescent="0.25">
      <c r="B1479"/>
      <c r="C1479"/>
      <c r="D1479"/>
      <c r="E1479"/>
      <c r="F1479"/>
      <c r="G1479"/>
      <c r="H1479"/>
      <c r="I1479"/>
    </row>
    <row r="1480" spans="2:9" x14ac:dyDescent="0.25">
      <c r="B1480"/>
      <c r="C1480"/>
      <c r="D1480"/>
      <c r="E1480"/>
      <c r="F1480"/>
      <c r="G1480"/>
      <c r="H1480"/>
      <c r="I1480"/>
    </row>
    <row r="1481" spans="2:9" x14ac:dyDescent="0.25">
      <c r="B1481"/>
      <c r="C1481"/>
      <c r="D1481"/>
      <c r="E1481"/>
      <c r="F1481"/>
      <c r="G1481"/>
      <c r="H1481"/>
      <c r="I1481"/>
    </row>
    <row r="1482" spans="2:9" x14ac:dyDescent="0.25">
      <c r="B1482"/>
      <c r="C1482"/>
      <c r="D1482"/>
      <c r="E1482"/>
      <c r="F1482"/>
      <c r="G1482"/>
      <c r="H1482"/>
      <c r="I1482"/>
    </row>
    <row r="1483" spans="2:9" x14ac:dyDescent="0.25">
      <c r="B1483"/>
      <c r="C1483"/>
      <c r="D1483"/>
      <c r="E1483"/>
      <c r="F1483"/>
      <c r="G1483"/>
      <c r="H1483"/>
      <c r="I1483"/>
    </row>
    <row r="1484" spans="2:9" x14ac:dyDescent="0.25">
      <c r="B1484"/>
      <c r="C1484"/>
      <c r="D1484"/>
      <c r="E1484"/>
      <c r="F1484"/>
      <c r="G1484"/>
      <c r="H1484"/>
      <c r="I1484"/>
    </row>
    <row r="1485" spans="2:9" x14ac:dyDescent="0.25">
      <c r="B1485"/>
      <c r="C1485"/>
      <c r="D1485"/>
      <c r="E1485"/>
      <c r="F1485"/>
      <c r="G1485"/>
      <c r="H1485"/>
      <c r="I1485"/>
    </row>
    <row r="1486" spans="2:9" x14ac:dyDescent="0.25">
      <c r="B1486"/>
      <c r="C1486"/>
      <c r="D1486"/>
      <c r="E1486"/>
      <c r="F1486"/>
      <c r="G1486"/>
      <c r="H1486"/>
      <c r="I1486"/>
    </row>
    <row r="1487" spans="2:9" x14ac:dyDescent="0.25">
      <c r="B1487"/>
      <c r="C1487"/>
      <c r="D1487"/>
      <c r="E1487"/>
      <c r="F1487"/>
      <c r="G1487"/>
      <c r="H1487"/>
      <c r="I1487"/>
    </row>
    <row r="1488" spans="2:9" x14ac:dyDescent="0.25">
      <c r="B1488"/>
      <c r="C1488"/>
      <c r="D1488"/>
      <c r="E1488"/>
      <c r="F1488"/>
      <c r="G1488"/>
      <c r="H1488"/>
      <c r="I1488"/>
    </row>
    <row r="1489" spans="2:9" x14ac:dyDescent="0.25">
      <c r="B1489"/>
      <c r="C1489"/>
      <c r="D1489"/>
      <c r="E1489"/>
      <c r="F1489"/>
      <c r="G1489"/>
      <c r="H1489"/>
      <c r="I1489"/>
    </row>
    <row r="1490" spans="2:9" x14ac:dyDescent="0.25">
      <c r="B1490"/>
      <c r="C1490"/>
      <c r="D1490"/>
      <c r="E1490"/>
      <c r="F1490"/>
      <c r="G1490"/>
      <c r="H1490"/>
      <c r="I1490"/>
    </row>
    <row r="1491" spans="2:9" x14ac:dyDescent="0.25">
      <c r="B1491"/>
      <c r="C1491"/>
      <c r="D1491"/>
      <c r="E1491"/>
      <c r="F1491"/>
      <c r="G1491"/>
      <c r="H1491"/>
      <c r="I1491"/>
    </row>
    <row r="1492" spans="2:9" x14ac:dyDescent="0.25">
      <c r="B1492"/>
      <c r="C1492"/>
      <c r="D1492"/>
      <c r="E1492"/>
      <c r="F1492"/>
      <c r="G1492"/>
      <c r="H1492"/>
      <c r="I1492"/>
    </row>
    <row r="1493" spans="2:9" x14ac:dyDescent="0.25">
      <c r="B1493"/>
      <c r="C1493"/>
      <c r="D1493"/>
      <c r="E1493"/>
      <c r="F1493"/>
      <c r="G1493"/>
      <c r="H1493"/>
      <c r="I1493"/>
    </row>
    <row r="1494" spans="2:9" x14ac:dyDescent="0.25">
      <c r="B1494"/>
      <c r="C1494"/>
      <c r="D1494"/>
      <c r="E1494"/>
      <c r="F1494"/>
      <c r="G1494"/>
      <c r="H1494"/>
      <c r="I1494"/>
    </row>
    <row r="1495" spans="2:9" x14ac:dyDescent="0.25">
      <c r="B1495"/>
      <c r="C1495"/>
      <c r="D1495"/>
      <c r="E1495"/>
      <c r="F1495"/>
      <c r="G1495"/>
      <c r="H1495"/>
      <c r="I1495"/>
    </row>
    <row r="1496" spans="2:9" x14ac:dyDescent="0.25">
      <c r="B1496"/>
      <c r="C1496"/>
      <c r="D1496"/>
      <c r="E1496"/>
      <c r="F1496"/>
      <c r="G1496"/>
      <c r="H1496"/>
      <c r="I1496"/>
    </row>
    <row r="1497" spans="2:9" x14ac:dyDescent="0.25">
      <c r="B1497"/>
      <c r="C1497"/>
      <c r="D1497"/>
      <c r="E1497"/>
      <c r="F1497"/>
      <c r="G1497"/>
      <c r="H1497"/>
      <c r="I1497"/>
    </row>
    <row r="1498" spans="2:9" x14ac:dyDescent="0.25">
      <c r="B1498"/>
      <c r="C1498"/>
      <c r="D1498"/>
      <c r="E1498"/>
      <c r="F1498"/>
      <c r="G1498"/>
      <c r="H1498"/>
      <c r="I1498"/>
    </row>
    <row r="1499" spans="2:9" x14ac:dyDescent="0.25">
      <c r="B1499"/>
      <c r="C1499"/>
      <c r="D1499"/>
      <c r="E1499"/>
      <c r="F1499"/>
      <c r="G1499"/>
      <c r="H1499"/>
      <c r="I1499"/>
    </row>
    <row r="1500" spans="2:9" x14ac:dyDescent="0.25">
      <c r="B1500"/>
      <c r="C1500"/>
      <c r="D1500"/>
      <c r="E1500"/>
      <c r="F1500"/>
      <c r="G1500"/>
      <c r="H1500"/>
      <c r="I1500"/>
    </row>
    <row r="1501" spans="2:9" x14ac:dyDescent="0.25">
      <c r="B1501"/>
      <c r="C1501"/>
      <c r="D1501"/>
      <c r="E1501"/>
      <c r="F1501"/>
      <c r="G1501"/>
      <c r="H1501"/>
      <c r="I1501"/>
    </row>
    <row r="1502" spans="2:9" x14ac:dyDescent="0.25">
      <c r="B1502"/>
      <c r="C1502"/>
      <c r="D1502"/>
      <c r="E1502"/>
      <c r="F1502"/>
      <c r="G1502"/>
      <c r="H1502"/>
      <c r="I1502"/>
    </row>
    <row r="1503" spans="2:9" x14ac:dyDescent="0.25">
      <c r="B1503"/>
      <c r="C1503"/>
      <c r="D1503"/>
      <c r="E1503"/>
      <c r="F1503"/>
      <c r="G1503"/>
      <c r="H1503"/>
      <c r="I1503"/>
    </row>
    <row r="1504" spans="2:9" x14ac:dyDescent="0.25">
      <c r="B1504"/>
      <c r="C1504"/>
      <c r="D1504"/>
      <c r="E1504"/>
      <c r="F1504"/>
      <c r="G1504"/>
      <c r="H1504"/>
      <c r="I1504"/>
    </row>
    <row r="1505" spans="2:9" x14ac:dyDescent="0.25">
      <c r="B1505"/>
      <c r="C1505"/>
      <c r="D1505"/>
      <c r="E1505"/>
      <c r="F1505"/>
      <c r="G1505"/>
      <c r="H1505"/>
      <c r="I1505"/>
    </row>
    <row r="1506" spans="2:9" x14ac:dyDescent="0.25">
      <c r="B1506"/>
      <c r="C1506"/>
      <c r="D1506"/>
      <c r="E1506"/>
      <c r="F1506"/>
      <c r="G1506"/>
      <c r="H1506"/>
      <c r="I1506"/>
    </row>
    <row r="1507" spans="2:9" x14ac:dyDescent="0.25">
      <c r="B1507"/>
      <c r="C1507"/>
      <c r="D1507"/>
      <c r="E1507"/>
      <c r="F1507"/>
      <c r="G1507"/>
      <c r="H1507"/>
      <c r="I1507"/>
    </row>
    <row r="1508" spans="2:9" x14ac:dyDescent="0.25">
      <c r="B1508"/>
      <c r="C1508"/>
      <c r="D1508"/>
      <c r="E1508"/>
      <c r="F1508"/>
      <c r="G1508"/>
      <c r="H1508"/>
      <c r="I1508"/>
    </row>
    <row r="1509" spans="2:9" x14ac:dyDescent="0.25">
      <c r="B1509"/>
      <c r="C1509"/>
      <c r="D1509"/>
      <c r="E1509"/>
      <c r="F1509"/>
      <c r="G1509"/>
      <c r="H1509"/>
      <c r="I1509"/>
    </row>
    <row r="1510" spans="2:9" x14ac:dyDescent="0.25">
      <c r="B1510"/>
      <c r="C1510"/>
      <c r="D1510"/>
      <c r="E1510"/>
      <c r="F1510"/>
      <c r="G1510"/>
      <c r="H1510"/>
      <c r="I1510"/>
    </row>
    <row r="1511" spans="2:9" x14ac:dyDescent="0.25">
      <c r="B1511"/>
      <c r="C1511"/>
      <c r="D1511"/>
      <c r="E1511"/>
      <c r="F1511"/>
      <c r="G1511"/>
      <c r="H1511"/>
      <c r="I1511"/>
    </row>
    <row r="1512" spans="2:9" x14ac:dyDescent="0.25">
      <c r="B1512"/>
      <c r="C1512"/>
      <c r="D1512"/>
      <c r="E1512"/>
      <c r="F1512"/>
      <c r="G1512"/>
      <c r="H1512"/>
      <c r="I1512"/>
    </row>
    <row r="1513" spans="2:9" x14ac:dyDescent="0.25">
      <c r="B1513"/>
      <c r="C1513"/>
      <c r="D1513"/>
      <c r="E1513"/>
      <c r="F1513"/>
      <c r="G1513"/>
      <c r="H1513"/>
      <c r="I1513"/>
    </row>
    <row r="1514" spans="2:9" x14ac:dyDescent="0.25">
      <c r="B1514"/>
      <c r="C1514"/>
      <c r="D1514"/>
      <c r="E1514"/>
      <c r="F1514"/>
      <c r="G1514"/>
      <c r="H1514"/>
      <c r="I1514"/>
    </row>
    <row r="1515" spans="2:9" x14ac:dyDescent="0.25">
      <c r="B1515"/>
      <c r="C1515"/>
      <c r="D1515"/>
      <c r="E1515"/>
      <c r="F1515"/>
      <c r="G1515"/>
      <c r="H1515"/>
      <c r="I1515"/>
    </row>
    <row r="1516" spans="2:9" x14ac:dyDescent="0.25">
      <c r="B1516"/>
      <c r="C1516"/>
      <c r="D1516"/>
      <c r="E1516"/>
      <c r="F1516"/>
      <c r="G1516"/>
      <c r="H1516"/>
      <c r="I1516"/>
    </row>
    <row r="1517" spans="2:9" x14ac:dyDescent="0.25">
      <c r="B1517"/>
      <c r="C1517"/>
      <c r="D1517"/>
      <c r="E1517"/>
      <c r="F1517"/>
      <c r="G1517"/>
      <c r="H1517"/>
      <c r="I1517"/>
    </row>
    <row r="1518" spans="2:9" x14ac:dyDescent="0.25">
      <c r="B1518"/>
      <c r="C1518"/>
      <c r="D1518"/>
      <c r="E1518"/>
      <c r="F1518"/>
      <c r="G1518"/>
      <c r="H1518"/>
      <c r="I1518"/>
    </row>
    <row r="1519" spans="2:9" x14ac:dyDescent="0.25">
      <c r="B1519"/>
      <c r="C1519"/>
      <c r="D1519"/>
      <c r="E1519"/>
      <c r="F1519"/>
      <c r="G1519"/>
      <c r="H1519"/>
      <c r="I1519"/>
    </row>
    <row r="1520" spans="2:9" x14ac:dyDescent="0.25">
      <c r="B1520"/>
      <c r="C1520"/>
      <c r="D1520"/>
      <c r="E1520"/>
      <c r="F1520"/>
      <c r="G1520"/>
      <c r="H1520"/>
      <c r="I1520"/>
    </row>
    <row r="1521" spans="2:9" x14ac:dyDescent="0.25">
      <c r="B1521"/>
      <c r="C1521"/>
      <c r="D1521"/>
      <c r="E1521"/>
      <c r="F1521"/>
      <c r="G1521"/>
      <c r="H1521"/>
      <c r="I1521"/>
    </row>
    <row r="1522" spans="2:9" x14ac:dyDescent="0.25">
      <c r="B1522"/>
      <c r="C1522"/>
      <c r="D1522"/>
      <c r="E1522"/>
      <c r="F1522"/>
      <c r="G1522"/>
      <c r="H1522"/>
      <c r="I1522"/>
    </row>
    <row r="1523" spans="2:9" x14ac:dyDescent="0.25">
      <c r="B1523"/>
      <c r="C1523"/>
      <c r="D1523"/>
      <c r="E1523"/>
      <c r="F1523"/>
      <c r="G1523"/>
      <c r="H1523"/>
      <c r="I1523"/>
    </row>
    <row r="1524" spans="2:9" x14ac:dyDescent="0.25">
      <c r="B1524"/>
      <c r="C1524"/>
      <c r="D1524"/>
      <c r="E1524"/>
      <c r="F1524"/>
      <c r="G1524"/>
      <c r="H1524"/>
      <c r="I1524"/>
    </row>
    <row r="1525" spans="2:9" x14ac:dyDescent="0.25">
      <c r="B1525"/>
      <c r="C1525"/>
      <c r="D1525"/>
      <c r="E1525"/>
      <c r="F1525"/>
      <c r="G1525"/>
      <c r="H1525"/>
      <c r="I1525"/>
    </row>
    <row r="1526" spans="2:9" x14ac:dyDescent="0.25">
      <c r="B1526"/>
      <c r="C1526"/>
      <c r="D1526"/>
      <c r="E1526"/>
      <c r="F1526"/>
      <c r="G1526"/>
      <c r="H1526"/>
      <c r="I1526"/>
    </row>
    <row r="1527" spans="2:9" x14ac:dyDescent="0.25">
      <c r="B1527"/>
      <c r="C1527"/>
      <c r="D1527"/>
      <c r="E1527"/>
      <c r="F1527"/>
      <c r="G1527"/>
      <c r="H1527"/>
      <c r="I1527"/>
    </row>
    <row r="1528" spans="2:9" x14ac:dyDescent="0.25">
      <c r="B1528"/>
      <c r="C1528"/>
      <c r="D1528"/>
      <c r="E1528"/>
      <c r="F1528"/>
      <c r="G1528"/>
      <c r="H1528"/>
      <c r="I1528"/>
    </row>
    <row r="1529" spans="2:9" x14ac:dyDescent="0.25">
      <c r="B1529"/>
      <c r="C1529"/>
      <c r="D1529"/>
      <c r="E1529"/>
      <c r="F1529"/>
      <c r="G1529"/>
      <c r="H1529"/>
      <c r="I1529"/>
    </row>
    <row r="1530" spans="2:9" x14ac:dyDescent="0.25">
      <c r="B1530"/>
      <c r="C1530"/>
      <c r="D1530"/>
      <c r="E1530"/>
      <c r="F1530"/>
      <c r="G1530"/>
      <c r="H1530"/>
      <c r="I1530"/>
    </row>
    <row r="1531" spans="2:9" x14ac:dyDescent="0.25">
      <c r="B1531"/>
      <c r="C1531"/>
      <c r="D1531"/>
      <c r="E1531"/>
      <c r="F1531"/>
      <c r="G1531"/>
      <c r="H1531"/>
      <c r="I1531"/>
    </row>
    <row r="1532" spans="2:9" x14ac:dyDescent="0.25">
      <c r="B1532"/>
      <c r="C1532"/>
      <c r="D1532"/>
      <c r="E1532"/>
      <c r="F1532"/>
      <c r="G1532"/>
      <c r="H1532"/>
      <c r="I1532"/>
    </row>
    <row r="1533" spans="2:9" x14ac:dyDescent="0.25">
      <c r="B1533"/>
      <c r="C1533"/>
      <c r="D1533"/>
      <c r="E1533"/>
      <c r="F1533"/>
      <c r="G1533"/>
      <c r="H1533"/>
      <c r="I1533"/>
    </row>
    <row r="1534" spans="2:9" x14ac:dyDescent="0.25">
      <c r="B1534"/>
      <c r="C1534"/>
      <c r="D1534"/>
      <c r="E1534"/>
      <c r="F1534"/>
      <c r="G1534"/>
      <c r="H1534"/>
      <c r="I1534"/>
    </row>
    <row r="1535" spans="2:9" x14ac:dyDescent="0.25">
      <c r="B1535"/>
      <c r="C1535"/>
      <c r="D1535"/>
      <c r="E1535"/>
      <c r="F1535"/>
      <c r="G1535"/>
      <c r="H1535"/>
      <c r="I1535"/>
    </row>
    <row r="1536" spans="2:9" x14ac:dyDescent="0.25">
      <c r="B1536"/>
      <c r="C1536"/>
      <c r="D1536"/>
      <c r="E1536"/>
      <c r="F1536"/>
      <c r="G1536"/>
      <c r="H1536"/>
      <c r="I1536"/>
    </row>
    <row r="1537" spans="2:9" x14ac:dyDescent="0.25">
      <c r="B1537"/>
      <c r="C1537"/>
      <c r="D1537"/>
      <c r="E1537"/>
      <c r="F1537"/>
      <c r="G1537"/>
      <c r="H1537"/>
      <c r="I1537"/>
    </row>
    <row r="1538" spans="2:9" x14ac:dyDescent="0.25">
      <c r="B1538"/>
      <c r="C1538"/>
      <c r="D1538"/>
      <c r="E1538"/>
      <c r="F1538"/>
      <c r="G1538"/>
      <c r="H1538"/>
      <c r="I1538"/>
    </row>
    <row r="1539" spans="2:9" x14ac:dyDescent="0.25">
      <c r="B1539"/>
      <c r="C1539"/>
      <c r="D1539"/>
      <c r="E1539"/>
      <c r="F1539"/>
      <c r="G1539"/>
      <c r="H1539"/>
      <c r="I1539"/>
    </row>
    <row r="1540" spans="2:9" x14ac:dyDescent="0.25">
      <c r="B1540"/>
      <c r="C1540"/>
      <c r="D1540"/>
      <c r="E1540"/>
      <c r="F1540"/>
      <c r="G1540"/>
      <c r="H1540"/>
      <c r="I1540"/>
    </row>
    <row r="1541" spans="2:9" x14ac:dyDescent="0.25">
      <c r="B1541"/>
      <c r="C1541"/>
      <c r="D1541"/>
      <c r="E1541"/>
      <c r="F1541"/>
      <c r="G1541"/>
      <c r="H1541"/>
      <c r="I1541"/>
    </row>
    <row r="1542" spans="2:9" x14ac:dyDescent="0.25">
      <c r="B1542"/>
      <c r="C1542"/>
      <c r="D1542"/>
      <c r="E1542"/>
      <c r="F1542"/>
      <c r="G1542"/>
      <c r="H1542"/>
      <c r="I1542"/>
    </row>
    <row r="1543" spans="2:9" x14ac:dyDescent="0.25">
      <c r="B1543"/>
      <c r="C1543"/>
      <c r="D1543"/>
      <c r="E1543"/>
      <c r="F1543"/>
      <c r="G1543"/>
      <c r="H1543"/>
      <c r="I1543"/>
    </row>
    <row r="1544" spans="2:9" x14ac:dyDescent="0.25">
      <c r="B1544"/>
      <c r="C1544"/>
      <c r="D1544"/>
      <c r="E1544"/>
      <c r="F1544"/>
      <c r="G1544"/>
      <c r="H1544"/>
      <c r="I1544"/>
    </row>
    <row r="1545" spans="2:9" x14ac:dyDescent="0.25">
      <c r="B1545"/>
      <c r="C1545"/>
      <c r="D1545"/>
      <c r="E1545"/>
      <c r="F1545"/>
      <c r="G1545"/>
      <c r="H1545"/>
      <c r="I1545"/>
    </row>
    <row r="1546" spans="2:9" x14ac:dyDescent="0.25">
      <c r="B1546"/>
      <c r="C1546"/>
      <c r="D1546"/>
      <c r="E1546"/>
      <c r="F1546"/>
      <c r="G1546"/>
      <c r="H1546"/>
      <c r="I1546"/>
    </row>
    <row r="1547" spans="2:9" x14ac:dyDescent="0.25">
      <c r="B1547"/>
      <c r="C1547"/>
      <c r="D1547"/>
      <c r="E1547"/>
      <c r="F1547"/>
      <c r="G1547"/>
      <c r="H1547"/>
      <c r="I1547"/>
    </row>
    <row r="1548" spans="2:9" x14ac:dyDescent="0.25">
      <c r="B1548"/>
      <c r="C1548"/>
      <c r="D1548"/>
      <c r="E1548"/>
      <c r="F1548"/>
      <c r="G1548"/>
      <c r="H1548"/>
      <c r="I1548"/>
    </row>
    <row r="1549" spans="2:9" x14ac:dyDescent="0.25">
      <c r="B1549"/>
      <c r="C1549"/>
      <c r="D1549"/>
      <c r="E1549"/>
      <c r="F1549"/>
      <c r="G1549"/>
      <c r="H1549"/>
      <c r="I1549"/>
    </row>
    <row r="1550" spans="2:9" x14ac:dyDescent="0.25">
      <c r="B1550"/>
      <c r="C1550"/>
      <c r="D1550"/>
      <c r="E1550"/>
      <c r="F1550"/>
      <c r="G1550"/>
      <c r="H1550"/>
      <c r="I1550"/>
    </row>
    <row r="1551" spans="2:9" x14ac:dyDescent="0.25">
      <c r="B1551"/>
      <c r="C1551"/>
      <c r="D1551"/>
      <c r="E1551"/>
      <c r="F1551"/>
      <c r="G1551"/>
      <c r="H1551"/>
      <c r="I1551"/>
    </row>
    <row r="1552" spans="2:9" x14ac:dyDescent="0.25">
      <c r="B1552"/>
      <c r="C1552"/>
      <c r="D1552"/>
      <c r="E1552"/>
      <c r="F1552"/>
      <c r="G1552"/>
      <c r="H1552"/>
      <c r="I1552"/>
    </row>
    <row r="1553" spans="2:9" x14ac:dyDescent="0.25">
      <c r="B1553"/>
      <c r="C1553"/>
      <c r="D1553"/>
      <c r="E1553"/>
      <c r="F1553"/>
      <c r="G1553"/>
      <c r="H1553"/>
      <c r="I1553"/>
    </row>
    <row r="1554" spans="2:9" x14ac:dyDescent="0.25">
      <c r="B1554"/>
      <c r="C1554"/>
      <c r="D1554"/>
      <c r="E1554"/>
      <c r="F1554"/>
      <c r="G1554"/>
      <c r="H1554"/>
      <c r="I1554"/>
    </row>
    <row r="1555" spans="2:9" x14ac:dyDescent="0.25">
      <c r="B1555"/>
      <c r="C1555"/>
      <c r="D1555"/>
      <c r="E1555"/>
      <c r="F1555"/>
      <c r="G1555"/>
      <c r="H1555"/>
      <c r="I1555"/>
    </row>
    <row r="1556" spans="2:9" x14ac:dyDescent="0.25">
      <c r="B1556"/>
      <c r="C1556"/>
      <c r="D1556"/>
      <c r="E1556"/>
      <c r="F1556"/>
      <c r="G1556"/>
      <c r="H1556"/>
      <c r="I1556"/>
    </row>
    <row r="1557" spans="2:9" x14ac:dyDescent="0.25">
      <c r="B1557"/>
      <c r="C1557"/>
      <c r="D1557"/>
      <c r="E1557"/>
      <c r="F1557"/>
      <c r="G1557"/>
      <c r="H1557"/>
      <c r="I1557"/>
    </row>
    <row r="1558" spans="2:9" x14ac:dyDescent="0.25">
      <c r="B1558"/>
      <c r="C1558"/>
      <c r="D1558"/>
      <c r="E1558"/>
      <c r="F1558"/>
      <c r="G1558"/>
      <c r="H1558"/>
      <c r="I1558"/>
    </row>
    <row r="1559" spans="2:9" x14ac:dyDescent="0.25">
      <c r="B1559"/>
      <c r="C1559"/>
      <c r="D1559"/>
      <c r="E1559"/>
      <c r="F1559"/>
      <c r="G1559"/>
      <c r="H1559"/>
      <c r="I1559"/>
    </row>
    <row r="1560" spans="2:9" x14ac:dyDescent="0.25">
      <c r="B1560"/>
      <c r="C1560"/>
      <c r="D1560"/>
      <c r="E1560"/>
      <c r="F1560"/>
      <c r="G1560"/>
      <c r="H1560"/>
      <c r="I1560"/>
    </row>
    <row r="1561" spans="2:9" x14ac:dyDescent="0.25">
      <c r="B1561"/>
      <c r="C1561"/>
      <c r="D1561"/>
      <c r="E1561"/>
      <c r="F1561"/>
      <c r="G1561"/>
      <c r="H1561"/>
      <c r="I1561"/>
    </row>
    <row r="1562" spans="2:9" x14ac:dyDescent="0.25">
      <c r="B1562"/>
      <c r="C1562"/>
      <c r="D1562"/>
      <c r="E1562"/>
      <c r="F1562"/>
      <c r="G1562"/>
      <c r="H1562"/>
      <c r="I1562"/>
    </row>
    <row r="1563" spans="2:9" x14ac:dyDescent="0.25">
      <c r="B1563"/>
      <c r="C1563"/>
      <c r="D1563"/>
      <c r="E1563"/>
      <c r="F1563"/>
      <c r="G1563"/>
      <c r="H1563"/>
      <c r="I1563"/>
    </row>
    <row r="1564" spans="2:9" x14ac:dyDescent="0.25">
      <c r="B1564"/>
      <c r="C1564"/>
      <c r="D1564"/>
      <c r="E1564"/>
      <c r="F1564"/>
      <c r="G1564"/>
      <c r="H1564"/>
      <c r="I1564"/>
    </row>
    <row r="1565" spans="2:9" x14ac:dyDescent="0.25">
      <c r="B1565"/>
      <c r="C1565"/>
      <c r="D1565"/>
      <c r="E1565"/>
      <c r="F1565"/>
      <c r="G1565"/>
      <c r="H1565"/>
      <c r="I1565"/>
    </row>
    <row r="1566" spans="2:9" x14ac:dyDescent="0.25">
      <c r="B1566"/>
      <c r="C1566"/>
      <c r="D1566"/>
      <c r="E1566"/>
      <c r="F1566"/>
      <c r="G1566"/>
      <c r="H1566"/>
      <c r="I1566"/>
    </row>
    <row r="1567" spans="2:9" x14ac:dyDescent="0.25">
      <c r="B1567"/>
      <c r="C1567"/>
      <c r="D1567"/>
      <c r="E1567"/>
      <c r="F1567"/>
      <c r="G1567"/>
      <c r="H1567"/>
      <c r="I1567"/>
    </row>
    <row r="1568" spans="2:9" x14ac:dyDescent="0.25">
      <c r="B1568"/>
      <c r="C1568"/>
      <c r="D1568"/>
      <c r="E1568"/>
      <c r="F1568"/>
      <c r="G1568"/>
      <c r="H1568"/>
      <c r="I1568"/>
    </row>
    <row r="1569" spans="2:9" x14ac:dyDescent="0.25">
      <c r="B1569"/>
      <c r="C1569"/>
      <c r="D1569"/>
      <c r="E1569"/>
      <c r="F1569"/>
      <c r="G1569"/>
      <c r="H1569"/>
      <c r="I1569"/>
    </row>
    <row r="1570" spans="2:9" x14ac:dyDescent="0.25">
      <c r="B1570"/>
      <c r="C1570"/>
      <c r="D1570"/>
      <c r="E1570"/>
      <c r="F1570"/>
      <c r="G1570"/>
      <c r="H1570"/>
      <c r="I1570"/>
    </row>
    <row r="1571" spans="2:9" x14ac:dyDescent="0.25">
      <c r="B1571"/>
      <c r="C1571"/>
      <c r="D1571"/>
      <c r="E1571"/>
      <c r="F1571"/>
      <c r="G1571"/>
      <c r="H1571"/>
      <c r="I1571"/>
    </row>
    <row r="1572" spans="2:9" x14ac:dyDescent="0.25">
      <c r="B1572"/>
      <c r="C1572"/>
      <c r="D1572"/>
      <c r="E1572"/>
      <c r="F1572"/>
      <c r="G1572"/>
      <c r="H1572"/>
      <c r="I1572"/>
    </row>
    <row r="1573" spans="2:9" x14ac:dyDescent="0.25">
      <c r="B1573"/>
      <c r="C1573"/>
      <c r="D1573"/>
      <c r="E1573"/>
      <c r="F1573"/>
      <c r="G1573"/>
      <c r="H1573"/>
      <c r="I1573"/>
    </row>
    <row r="1574" spans="2:9" x14ac:dyDescent="0.25">
      <c r="B1574"/>
      <c r="C1574"/>
      <c r="D1574"/>
      <c r="E1574"/>
      <c r="F1574"/>
      <c r="G1574"/>
      <c r="H1574"/>
      <c r="I1574"/>
    </row>
    <row r="1575" spans="2:9" x14ac:dyDescent="0.25">
      <c r="B1575"/>
      <c r="C1575"/>
      <c r="D1575"/>
      <c r="E1575"/>
      <c r="F1575"/>
      <c r="G1575"/>
      <c r="H1575"/>
      <c r="I1575"/>
    </row>
    <row r="1576" spans="2:9" x14ac:dyDescent="0.25">
      <c r="B1576"/>
      <c r="C1576"/>
      <c r="D1576"/>
      <c r="E1576"/>
      <c r="F1576"/>
      <c r="G1576"/>
      <c r="H1576"/>
      <c r="I1576"/>
    </row>
    <row r="1577" spans="2:9" x14ac:dyDescent="0.25">
      <c r="B1577"/>
      <c r="C1577"/>
      <c r="D1577"/>
      <c r="E1577"/>
      <c r="F1577"/>
      <c r="G1577"/>
      <c r="H1577"/>
      <c r="I1577"/>
    </row>
    <row r="1578" spans="2:9" x14ac:dyDescent="0.25">
      <c r="B1578"/>
      <c r="C1578"/>
      <c r="D1578"/>
      <c r="E1578"/>
      <c r="F1578"/>
      <c r="G1578"/>
      <c r="H1578"/>
      <c r="I1578"/>
    </row>
    <row r="1579" spans="2:9" x14ac:dyDescent="0.25">
      <c r="B1579"/>
      <c r="C1579"/>
      <c r="D1579"/>
      <c r="E1579"/>
      <c r="F1579"/>
      <c r="G1579"/>
      <c r="H1579"/>
      <c r="I1579"/>
    </row>
    <row r="1580" spans="2:9" x14ac:dyDescent="0.25">
      <c r="B1580"/>
      <c r="C1580"/>
      <c r="D1580"/>
      <c r="E1580"/>
      <c r="F1580"/>
      <c r="G1580"/>
      <c r="H1580"/>
      <c r="I1580"/>
    </row>
    <row r="1581" spans="2:9" x14ac:dyDescent="0.25">
      <c r="B1581"/>
      <c r="C1581"/>
      <c r="D1581"/>
      <c r="E1581"/>
      <c r="F1581"/>
      <c r="G1581"/>
      <c r="H1581"/>
      <c r="I1581"/>
    </row>
    <row r="1582" spans="2:9" x14ac:dyDescent="0.25">
      <c r="B1582"/>
      <c r="C1582"/>
      <c r="D1582"/>
      <c r="E1582"/>
      <c r="F1582"/>
      <c r="G1582"/>
      <c r="H1582"/>
      <c r="I1582"/>
    </row>
    <row r="1583" spans="2:9" x14ac:dyDescent="0.25">
      <c r="B1583"/>
      <c r="C1583"/>
      <c r="D1583"/>
      <c r="E1583"/>
      <c r="F1583"/>
      <c r="G1583"/>
      <c r="H1583"/>
      <c r="I1583"/>
    </row>
    <row r="1584" spans="2:9" x14ac:dyDescent="0.25">
      <c r="B1584"/>
      <c r="C1584"/>
      <c r="D1584"/>
      <c r="E1584"/>
      <c r="F1584"/>
      <c r="G1584"/>
      <c r="H1584"/>
      <c r="I1584"/>
    </row>
    <row r="1585" spans="2:9" x14ac:dyDescent="0.25">
      <c r="B1585"/>
      <c r="C1585"/>
      <c r="D1585"/>
      <c r="E1585"/>
      <c r="F1585"/>
      <c r="G1585"/>
      <c r="H1585"/>
      <c r="I1585"/>
    </row>
    <row r="1586" spans="2:9" x14ac:dyDescent="0.25">
      <c r="B1586"/>
      <c r="C1586"/>
      <c r="D1586"/>
      <c r="E1586"/>
      <c r="F1586"/>
      <c r="G1586"/>
      <c r="H1586"/>
      <c r="I1586"/>
    </row>
    <row r="1587" spans="2:9" x14ac:dyDescent="0.25">
      <c r="B1587"/>
      <c r="C1587"/>
      <c r="D1587"/>
      <c r="E1587"/>
      <c r="F1587"/>
      <c r="G1587"/>
      <c r="H1587"/>
      <c r="I1587"/>
    </row>
    <row r="1588" spans="2:9" x14ac:dyDescent="0.25">
      <c r="B1588"/>
      <c r="C1588"/>
      <c r="D1588"/>
      <c r="E1588"/>
      <c r="F1588"/>
      <c r="G1588"/>
      <c r="H1588"/>
      <c r="I1588"/>
    </row>
    <row r="1589" spans="2:9" x14ac:dyDescent="0.25">
      <c r="B1589"/>
      <c r="C1589"/>
      <c r="D1589"/>
      <c r="E1589"/>
      <c r="F1589"/>
      <c r="G1589"/>
      <c r="H1589"/>
      <c r="I1589"/>
    </row>
    <row r="1590" spans="2:9" x14ac:dyDescent="0.25">
      <c r="B1590"/>
      <c r="C1590"/>
      <c r="D1590"/>
      <c r="E1590"/>
      <c r="F1590"/>
      <c r="G1590"/>
      <c r="H1590"/>
      <c r="I1590"/>
    </row>
    <row r="1591" spans="2:9" x14ac:dyDescent="0.25">
      <c r="B1591"/>
      <c r="C1591"/>
      <c r="D1591"/>
      <c r="E1591"/>
      <c r="F1591"/>
      <c r="G1591"/>
      <c r="H1591"/>
      <c r="I1591"/>
    </row>
    <row r="1592" spans="2:9" x14ac:dyDescent="0.25">
      <c r="B1592"/>
      <c r="C1592"/>
      <c r="D1592"/>
      <c r="E1592"/>
      <c r="F1592"/>
      <c r="G1592"/>
      <c r="H1592"/>
      <c r="I1592"/>
    </row>
    <row r="1593" spans="2:9" x14ac:dyDescent="0.25">
      <c r="B1593"/>
      <c r="C1593"/>
      <c r="D1593"/>
      <c r="E1593"/>
      <c r="F1593"/>
      <c r="G1593"/>
      <c r="H1593"/>
      <c r="I1593"/>
    </row>
    <row r="1594" spans="2:9" x14ac:dyDescent="0.25">
      <c r="B1594"/>
      <c r="C1594"/>
      <c r="D1594"/>
      <c r="E1594"/>
      <c r="F1594"/>
      <c r="G1594"/>
      <c r="H1594"/>
      <c r="I1594"/>
    </row>
    <row r="1595" spans="2:9" x14ac:dyDescent="0.25">
      <c r="B1595"/>
      <c r="C1595"/>
      <c r="D1595"/>
      <c r="E1595"/>
      <c r="F1595"/>
      <c r="G1595"/>
      <c r="H1595"/>
      <c r="I1595"/>
    </row>
    <row r="1596" spans="2:9" x14ac:dyDescent="0.25">
      <c r="B1596"/>
      <c r="C1596"/>
      <c r="D1596"/>
      <c r="E1596"/>
      <c r="F1596"/>
      <c r="G1596"/>
      <c r="H1596"/>
      <c r="I1596"/>
    </row>
    <row r="1597" spans="2:9" x14ac:dyDescent="0.25">
      <c r="B1597"/>
      <c r="C1597"/>
      <c r="D1597"/>
      <c r="E1597"/>
      <c r="F1597"/>
      <c r="G1597"/>
      <c r="H1597"/>
      <c r="I1597"/>
    </row>
    <row r="1598" spans="2:9" x14ac:dyDescent="0.25">
      <c r="B1598"/>
      <c r="C1598"/>
      <c r="D1598"/>
      <c r="E1598"/>
      <c r="F1598"/>
      <c r="G1598"/>
      <c r="H1598"/>
      <c r="I1598"/>
    </row>
    <row r="1599" spans="2:9" x14ac:dyDescent="0.25">
      <c r="B1599"/>
      <c r="C1599"/>
      <c r="D1599"/>
      <c r="E1599"/>
      <c r="F1599"/>
      <c r="G1599"/>
      <c r="H1599"/>
      <c r="I1599"/>
    </row>
    <row r="1600" spans="2:9" x14ac:dyDescent="0.25">
      <c r="B1600"/>
      <c r="C1600"/>
      <c r="D1600"/>
      <c r="E1600"/>
      <c r="F1600"/>
      <c r="G1600"/>
      <c r="H1600"/>
      <c r="I1600"/>
    </row>
    <row r="1601" spans="2:9" x14ac:dyDescent="0.25">
      <c r="B1601"/>
      <c r="C1601"/>
      <c r="D1601"/>
      <c r="E1601"/>
      <c r="F1601"/>
      <c r="G1601"/>
      <c r="H1601"/>
      <c r="I1601"/>
    </row>
    <row r="1602" spans="2:9" x14ac:dyDescent="0.25">
      <c r="B1602"/>
      <c r="C1602"/>
      <c r="D1602"/>
      <c r="E1602"/>
      <c r="F1602"/>
      <c r="G1602"/>
      <c r="H1602"/>
      <c r="I1602"/>
    </row>
    <row r="1603" spans="2:9" x14ac:dyDescent="0.25">
      <c r="B1603"/>
      <c r="C1603"/>
      <c r="D1603"/>
      <c r="E1603"/>
      <c r="F1603"/>
      <c r="G1603"/>
      <c r="H1603"/>
      <c r="I1603"/>
    </row>
    <row r="1604" spans="2:9" x14ac:dyDescent="0.25">
      <c r="B1604"/>
      <c r="C1604"/>
      <c r="D1604"/>
      <c r="E1604"/>
      <c r="F1604"/>
      <c r="G1604"/>
      <c r="H1604"/>
      <c r="I1604"/>
    </row>
    <row r="1605" spans="2:9" x14ac:dyDescent="0.25">
      <c r="B1605"/>
      <c r="C1605"/>
      <c r="D1605"/>
      <c r="E1605"/>
      <c r="F1605"/>
      <c r="G1605"/>
      <c r="H1605"/>
      <c r="I1605"/>
    </row>
    <row r="1606" spans="2:9" x14ac:dyDescent="0.25">
      <c r="B1606"/>
      <c r="C1606"/>
      <c r="D1606"/>
      <c r="E1606"/>
      <c r="F1606"/>
      <c r="G1606"/>
      <c r="H1606"/>
      <c r="I1606"/>
    </row>
    <row r="1607" spans="2:9" x14ac:dyDescent="0.25">
      <c r="B1607"/>
      <c r="C1607"/>
      <c r="D1607"/>
      <c r="E1607"/>
      <c r="F1607"/>
      <c r="G1607"/>
      <c r="H1607"/>
      <c r="I1607"/>
    </row>
    <row r="1608" spans="2:9" x14ac:dyDescent="0.25">
      <c r="B1608"/>
      <c r="C1608"/>
      <c r="D1608"/>
      <c r="E1608"/>
      <c r="F1608"/>
      <c r="G1608"/>
      <c r="H1608"/>
      <c r="I1608"/>
    </row>
    <row r="1609" spans="2:9" x14ac:dyDescent="0.25">
      <c r="B1609"/>
      <c r="C1609"/>
      <c r="D1609"/>
      <c r="E1609"/>
      <c r="F1609"/>
      <c r="G1609"/>
      <c r="H1609"/>
      <c r="I1609"/>
    </row>
    <row r="1610" spans="2:9" x14ac:dyDescent="0.25">
      <c r="B1610"/>
      <c r="C1610"/>
      <c r="D1610"/>
      <c r="E1610"/>
      <c r="F1610"/>
      <c r="G1610"/>
      <c r="H1610"/>
      <c r="I1610"/>
    </row>
    <row r="1611" spans="2:9" x14ac:dyDescent="0.25">
      <c r="B1611"/>
      <c r="C1611"/>
      <c r="D1611"/>
      <c r="E1611"/>
      <c r="F1611"/>
      <c r="G1611"/>
      <c r="H1611"/>
      <c r="I1611"/>
    </row>
    <row r="1612" spans="2:9" x14ac:dyDescent="0.25">
      <c r="B1612"/>
      <c r="C1612"/>
      <c r="D1612"/>
      <c r="E1612"/>
      <c r="F1612"/>
      <c r="G1612"/>
      <c r="H1612"/>
      <c r="I1612"/>
    </row>
    <row r="1613" spans="2:9" x14ac:dyDescent="0.25">
      <c r="B1613"/>
      <c r="C1613"/>
      <c r="D1613"/>
      <c r="E1613"/>
      <c r="F1613"/>
      <c r="G1613"/>
      <c r="H1613"/>
      <c r="I1613"/>
    </row>
    <row r="1614" spans="2:9" x14ac:dyDescent="0.25">
      <c r="B1614"/>
      <c r="C1614"/>
      <c r="D1614"/>
      <c r="E1614"/>
      <c r="F1614"/>
      <c r="G1614"/>
      <c r="H1614"/>
      <c r="I1614"/>
    </row>
    <row r="1615" spans="2:9" x14ac:dyDescent="0.25">
      <c r="B1615"/>
      <c r="C1615"/>
      <c r="D1615"/>
      <c r="E1615"/>
      <c r="F1615"/>
      <c r="G1615"/>
      <c r="H1615"/>
      <c r="I1615"/>
    </row>
    <row r="1616" spans="2:9" x14ac:dyDescent="0.25">
      <c r="B1616"/>
      <c r="C1616"/>
      <c r="D1616"/>
      <c r="E1616"/>
      <c r="F1616"/>
      <c r="G1616"/>
      <c r="H1616"/>
      <c r="I1616"/>
    </row>
    <row r="1617" spans="2:9" x14ac:dyDescent="0.25">
      <c r="B1617"/>
      <c r="C1617"/>
      <c r="D1617"/>
      <c r="E1617"/>
      <c r="F1617"/>
      <c r="G1617"/>
      <c r="H1617"/>
      <c r="I1617"/>
    </row>
    <row r="1618" spans="2:9" x14ac:dyDescent="0.25">
      <c r="B1618"/>
      <c r="C1618"/>
      <c r="D1618"/>
      <c r="E1618"/>
      <c r="F1618"/>
      <c r="G1618"/>
      <c r="H1618"/>
      <c r="I1618"/>
    </row>
    <row r="1619" spans="2:9" x14ac:dyDescent="0.25">
      <c r="B1619"/>
      <c r="C1619"/>
      <c r="D1619"/>
      <c r="E1619"/>
      <c r="F1619"/>
      <c r="G1619"/>
      <c r="H1619"/>
      <c r="I1619"/>
    </row>
    <row r="1620" spans="2:9" x14ac:dyDescent="0.25">
      <c r="B1620"/>
      <c r="C1620"/>
      <c r="D1620"/>
      <c r="E1620"/>
      <c r="F1620"/>
      <c r="G1620"/>
      <c r="H1620"/>
      <c r="I1620"/>
    </row>
    <row r="1621" spans="2:9" x14ac:dyDescent="0.25">
      <c r="B1621"/>
      <c r="C1621"/>
      <c r="D1621"/>
      <c r="E1621"/>
      <c r="F1621"/>
      <c r="G1621"/>
      <c r="H1621"/>
      <c r="I1621"/>
    </row>
    <row r="1622" spans="2:9" x14ac:dyDescent="0.25">
      <c r="B1622"/>
      <c r="C1622"/>
      <c r="D1622"/>
      <c r="E1622"/>
      <c r="F1622"/>
      <c r="G1622"/>
      <c r="H1622"/>
      <c r="I1622"/>
    </row>
    <row r="1623" spans="2:9" x14ac:dyDescent="0.25">
      <c r="B1623"/>
      <c r="C1623"/>
      <c r="D1623"/>
      <c r="E1623"/>
      <c r="F1623"/>
      <c r="G1623"/>
      <c r="H1623"/>
      <c r="I1623"/>
    </row>
    <row r="1624" spans="2:9" x14ac:dyDescent="0.25">
      <c r="B1624"/>
      <c r="C1624"/>
      <c r="D1624"/>
      <c r="E1624"/>
      <c r="F1624"/>
      <c r="G1624"/>
      <c r="H1624"/>
      <c r="I1624"/>
    </row>
    <row r="1625" spans="2:9" x14ac:dyDescent="0.25">
      <c r="B1625"/>
      <c r="C1625"/>
      <c r="D1625"/>
      <c r="E1625"/>
      <c r="F1625"/>
      <c r="G1625"/>
      <c r="H1625"/>
      <c r="I1625"/>
    </row>
    <row r="1626" spans="2:9" x14ac:dyDescent="0.25">
      <c r="B1626"/>
      <c r="C1626"/>
      <c r="D1626"/>
      <c r="E1626"/>
      <c r="F1626"/>
      <c r="G1626"/>
      <c r="H1626"/>
      <c r="I1626"/>
    </row>
    <row r="1627" spans="2:9" x14ac:dyDescent="0.25">
      <c r="B1627"/>
      <c r="C1627"/>
      <c r="D1627"/>
      <c r="E1627"/>
      <c r="F1627"/>
      <c r="G1627"/>
      <c r="H1627"/>
      <c r="I1627"/>
    </row>
    <row r="1628" spans="2:9" x14ac:dyDescent="0.25">
      <c r="B1628"/>
      <c r="C1628"/>
      <c r="D1628"/>
      <c r="E1628"/>
      <c r="F1628"/>
      <c r="G1628"/>
      <c r="H1628"/>
      <c r="I1628"/>
    </row>
    <row r="1629" spans="2:9" x14ac:dyDescent="0.25">
      <c r="B1629"/>
      <c r="C1629"/>
      <c r="D1629"/>
      <c r="E1629"/>
      <c r="F1629"/>
      <c r="G1629"/>
      <c r="H1629"/>
      <c r="I1629"/>
    </row>
    <row r="1630" spans="2:9" x14ac:dyDescent="0.25">
      <c r="B1630"/>
      <c r="C1630"/>
      <c r="D1630"/>
      <c r="E1630"/>
      <c r="F1630"/>
      <c r="G1630"/>
      <c r="H1630"/>
      <c r="I1630"/>
    </row>
    <row r="1631" spans="2:9" x14ac:dyDescent="0.25">
      <c r="B1631"/>
      <c r="C1631"/>
      <c r="D1631"/>
      <c r="E1631"/>
      <c r="F1631"/>
      <c r="G1631"/>
      <c r="H1631"/>
      <c r="I1631"/>
    </row>
    <row r="1632" spans="2:9" x14ac:dyDescent="0.25">
      <c r="B1632"/>
      <c r="C1632"/>
      <c r="D1632"/>
      <c r="E1632"/>
      <c r="F1632"/>
      <c r="G1632"/>
      <c r="H1632"/>
      <c r="I1632"/>
    </row>
    <row r="1633" spans="2:9" x14ac:dyDescent="0.25">
      <c r="B1633"/>
      <c r="C1633"/>
      <c r="D1633"/>
      <c r="E1633"/>
      <c r="F1633"/>
      <c r="G1633"/>
      <c r="H1633"/>
      <c r="I1633"/>
    </row>
    <row r="1634" spans="2:9" x14ac:dyDescent="0.25">
      <c r="B1634"/>
      <c r="C1634"/>
      <c r="D1634"/>
      <c r="E1634"/>
      <c r="F1634"/>
      <c r="G1634"/>
      <c r="H1634"/>
      <c r="I1634"/>
    </row>
    <row r="1635" spans="2:9" x14ac:dyDescent="0.25">
      <c r="B1635"/>
      <c r="C1635"/>
      <c r="D1635"/>
      <c r="E1635"/>
      <c r="F1635"/>
      <c r="G1635"/>
      <c r="H1635"/>
      <c r="I1635"/>
    </row>
    <row r="1636" spans="2:9" x14ac:dyDescent="0.25">
      <c r="B1636"/>
      <c r="C1636"/>
      <c r="D1636"/>
      <c r="E1636"/>
      <c r="F1636"/>
      <c r="G1636"/>
      <c r="H1636"/>
      <c r="I1636"/>
    </row>
    <row r="1637" spans="2:9" x14ac:dyDescent="0.25">
      <c r="B1637"/>
      <c r="C1637"/>
      <c r="D1637"/>
      <c r="E1637"/>
      <c r="F1637"/>
      <c r="G1637"/>
      <c r="H1637"/>
      <c r="I1637"/>
    </row>
    <row r="1638" spans="2:9" x14ac:dyDescent="0.25">
      <c r="B1638"/>
      <c r="C1638"/>
      <c r="D1638"/>
      <c r="E1638"/>
      <c r="F1638"/>
      <c r="G1638"/>
      <c r="H1638"/>
      <c r="I1638"/>
    </row>
    <row r="1639" spans="2:9" x14ac:dyDescent="0.25">
      <c r="B1639"/>
      <c r="C1639"/>
      <c r="D1639"/>
      <c r="E1639"/>
      <c r="F1639"/>
      <c r="G1639"/>
      <c r="H1639"/>
      <c r="I1639"/>
    </row>
    <row r="1640" spans="2:9" x14ac:dyDescent="0.25">
      <c r="B1640"/>
      <c r="C1640"/>
      <c r="D1640"/>
      <c r="E1640"/>
      <c r="F1640"/>
      <c r="G1640"/>
      <c r="H1640"/>
      <c r="I1640"/>
    </row>
    <row r="1641" spans="2:9" x14ac:dyDescent="0.25">
      <c r="B1641"/>
      <c r="C1641"/>
      <c r="D1641"/>
      <c r="E1641"/>
      <c r="F1641"/>
      <c r="G1641"/>
      <c r="H1641"/>
      <c r="I1641"/>
    </row>
    <row r="1642" spans="2:9" x14ac:dyDescent="0.25">
      <c r="B1642"/>
      <c r="C1642"/>
      <c r="D1642"/>
      <c r="E1642"/>
      <c r="F1642"/>
      <c r="G1642"/>
      <c r="H1642"/>
      <c r="I1642"/>
    </row>
    <row r="1643" spans="2:9" x14ac:dyDescent="0.25">
      <c r="B1643"/>
      <c r="C1643"/>
      <c r="D1643"/>
      <c r="E1643"/>
      <c r="F1643"/>
      <c r="G1643"/>
      <c r="H1643"/>
      <c r="I1643"/>
    </row>
    <row r="1644" spans="2:9" x14ac:dyDescent="0.25">
      <c r="B1644"/>
      <c r="C1644"/>
      <c r="D1644"/>
      <c r="E1644"/>
      <c r="F1644"/>
      <c r="G1644"/>
      <c r="H1644"/>
      <c r="I1644"/>
    </row>
    <row r="1645" spans="2:9" x14ac:dyDescent="0.25">
      <c r="B1645"/>
      <c r="C1645"/>
      <c r="D1645"/>
      <c r="E1645"/>
      <c r="F1645"/>
      <c r="G1645"/>
      <c r="H1645"/>
      <c r="I1645"/>
    </row>
    <row r="1646" spans="2:9" x14ac:dyDescent="0.25">
      <c r="B1646"/>
      <c r="C1646"/>
      <c r="D1646"/>
      <c r="E1646"/>
      <c r="F1646"/>
      <c r="G1646"/>
      <c r="H1646"/>
      <c r="I1646"/>
    </row>
    <row r="1647" spans="2:9" x14ac:dyDescent="0.25">
      <c r="B1647"/>
      <c r="C1647"/>
      <c r="D1647"/>
      <c r="E1647"/>
      <c r="F1647"/>
      <c r="G1647"/>
      <c r="H1647"/>
      <c r="I1647"/>
    </row>
    <row r="1648" spans="2:9" x14ac:dyDescent="0.25">
      <c r="B1648"/>
      <c r="C1648"/>
      <c r="D1648"/>
      <c r="E1648"/>
      <c r="F1648"/>
      <c r="G1648"/>
      <c r="H1648"/>
      <c r="I1648"/>
    </row>
    <row r="1649" spans="2:9" x14ac:dyDescent="0.25">
      <c r="B1649"/>
      <c r="C1649"/>
      <c r="D1649"/>
      <c r="E1649"/>
      <c r="F1649"/>
      <c r="G1649"/>
      <c r="H1649"/>
      <c r="I1649"/>
    </row>
    <row r="1650" spans="2:9" x14ac:dyDescent="0.25">
      <c r="B1650"/>
      <c r="C1650"/>
      <c r="D1650"/>
      <c r="E1650"/>
      <c r="F1650"/>
      <c r="G1650"/>
      <c r="H1650"/>
      <c r="I1650"/>
    </row>
    <row r="1651" spans="2:9" x14ac:dyDescent="0.25">
      <c r="B1651"/>
      <c r="C1651"/>
      <c r="D1651"/>
      <c r="E1651"/>
      <c r="F1651"/>
      <c r="G1651"/>
      <c r="H1651"/>
      <c r="I1651"/>
    </row>
    <row r="1652" spans="2:9" x14ac:dyDescent="0.25">
      <c r="B1652"/>
      <c r="C1652"/>
      <c r="D1652"/>
      <c r="E1652"/>
      <c r="F1652"/>
      <c r="G1652"/>
      <c r="H1652"/>
      <c r="I1652"/>
    </row>
    <row r="1653" spans="2:9" x14ac:dyDescent="0.25">
      <c r="B1653"/>
      <c r="C1653"/>
      <c r="D1653"/>
      <c r="E1653"/>
      <c r="F1653"/>
      <c r="G1653"/>
      <c r="H1653"/>
      <c r="I1653"/>
    </row>
    <row r="1654" spans="2:9" x14ac:dyDescent="0.25">
      <c r="B1654"/>
      <c r="C1654"/>
      <c r="D1654"/>
      <c r="E1654"/>
      <c r="F1654"/>
      <c r="G1654"/>
      <c r="H1654"/>
      <c r="I1654"/>
    </row>
    <row r="1655" spans="2:9" x14ac:dyDescent="0.25">
      <c r="B1655"/>
      <c r="C1655"/>
      <c r="D1655"/>
      <c r="E1655"/>
      <c r="F1655"/>
      <c r="G1655"/>
      <c r="H1655"/>
      <c r="I1655"/>
    </row>
    <row r="1656" spans="2:9" x14ac:dyDescent="0.25">
      <c r="B1656"/>
      <c r="C1656"/>
      <c r="D1656"/>
      <c r="E1656"/>
      <c r="F1656"/>
      <c r="G1656"/>
      <c r="H1656"/>
      <c r="I1656"/>
    </row>
    <row r="1657" spans="2:9" x14ac:dyDescent="0.25">
      <c r="B1657"/>
      <c r="C1657"/>
      <c r="D1657"/>
      <c r="E1657"/>
      <c r="F1657"/>
      <c r="G1657"/>
      <c r="H1657"/>
      <c r="I1657"/>
    </row>
    <row r="1658" spans="2:9" x14ac:dyDescent="0.25">
      <c r="B1658"/>
      <c r="C1658"/>
      <c r="D1658"/>
      <c r="E1658"/>
      <c r="F1658"/>
      <c r="G1658"/>
      <c r="H1658"/>
      <c r="I1658"/>
    </row>
    <row r="1659" spans="2:9" x14ac:dyDescent="0.25">
      <c r="B1659"/>
      <c r="C1659"/>
      <c r="D1659"/>
      <c r="E1659"/>
      <c r="F1659"/>
      <c r="G1659"/>
      <c r="H1659"/>
      <c r="I1659"/>
    </row>
    <row r="1660" spans="2:9" x14ac:dyDescent="0.25">
      <c r="B1660"/>
      <c r="C1660"/>
      <c r="D1660"/>
      <c r="E1660"/>
      <c r="F1660"/>
      <c r="G1660"/>
      <c r="H1660"/>
      <c r="I1660"/>
    </row>
    <row r="1661" spans="2:9" x14ac:dyDescent="0.25">
      <c r="B1661"/>
      <c r="C1661"/>
      <c r="D1661"/>
      <c r="E1661"/>
      <c r="F1661"/>
      <c r="G1661"/>
      <c r="H1661"/>
      <c r="I1661"/>
    </row>
    <row r="1662" spans="2:9" x14ac:dyDescent="0.25">
      <c r="B1662"/>
      <c r="C1662"/>
      <c r="D1662"/>
      <c r="E1662"/>
      <c r="F1662"/>
      <c r="G1662"/>
      <c r="H1662"/>
      <c r="I1662"/>
    </row>
    <row r="1663" spans="2:9" x14ac:dyDescent="0.25">
      <c r="B1663"/>
      <c r="C1663"/>
      <c r="D1663"/>
      <c r="E1663"/>
      <c r="F1663"/>
      <c r="G1663"/>
      <c r="H1663"/>
      <c r="I1663"/>
    </row>
    <row r="1664" spans="2:9" x14ac:dyDescent="0.25">
      <c r="B1664"/>
      <c r="C1664"/>
      <c r="D1664"/>
      <c r="E1664"/>
      <c r="F1664"/>
      <c r="G1664"/>
      <c r="H1664"/>
      <c r="I1664"/>
    </row>
    <row r="1665" spans="2:9" x14ac:dyDescent="0.25">
      <c r="B1665"/>
      <c r="C1665"/>
      <c r="D1665"/>
      <c r="E1665"/>
      <c r="F1665"/>
      <c r="G1665"/>
      <c r="H1665"/>
      <c r="I1665"/>
    </row>
    <row r="1666" spans="2:9" x14ac:dyDescent="0.25">
      <c r="B1666"/>
      <c r="C1666"/>
      <c r="D1666"/>
      <c r="E1666"/>
      <c r="F1666"/>
      <c r="G1666"/>
      <c r="H1666"/>
      <c r="I1666"/>
    </row>
    <row r="1667" spans="2:9" x14ac:dyDescent="0.25">
      <c r="B1667"/>
      <c r="C1667"/>
      <c r="D1667"/>
      <c r="E1667"/>
      <c r="F1667"/>
      <c r="G1667"/>
      <c r="H1667"/>
      <c r="I1667"/>
    </row>
    <row r="1668" spans="2:9" x14ac:dyDescent="0.25">
      <c r="B1668"/>
      <c r="C1668"/>
      <c r="D1668"/>
      <c r="E1668"/>
      <c r="F1668"/>
      <c r="G1668"/>
      <c r="H1668"/>
      <c r="I1668"/>
    </row>
    <row r="1669" spans="2:9" x14ac:dyDescent="0.25">
      <c r="B1669"/>
      <c r="C1669"/>
      <c r="D1669"/>
      <c r="E1669"/>
      <c r="F1669"/>
      <c r="G1669"/>
      <c r="H1669"/>
      <c r="I1669"/>
    </row>
    <row r="1670" spans="2:9" x14ac:dyDescent="0.25">
      <c r="B1670"/>
      <c r="C1670"/>
      <c r="D1670"/>
      <c r="E1670"/>
      <c r="F1670"/>
      <c r="G1670"/>
      <c r="H1670"/>
      <c r="I1670"/>
    </row>
    <row r="1671" spans="2:9" x14ac:dyDescent="0.25">
      <c r="B1671"/>
      <c r="C1671"/>
      <c r="D1671"/>
      <c r="E1671"/>
      <c r="F1671"/>
      <c r="G1671"/>
      <c r="H1671"/>
      <c r="I1671"/>
    </row>
    <row r="1672" spans="2:9" x14ac:dyDescent="0.25">
      <c r="B1672"/>
      <c r="C1672"/>
      <c r="D1672"/>
      <c r="E1672"/>
      <c r="F1672"/>
      <c r="G1672"/>
      <c r="H1672"/>
      <c r="I1672"/>
    </row>
    <row r="1673" spans="2:9" x14ac:dyDescent="0.25">
      <c r="B1673"/>
      <c r="C1673"/>
      <c r="D1673"/>
      <c r="E1673"/>
      <c r="F1673"/>
      <c r="G1673"/>
      <c r="H1673"/>
      <c r="I1673"/>
    </row>
    <row r="1674" spans="2:9" x14ac:dyDescent="0.25">
      <c r="B1674"/>
      <c r="C1674"/>
      <c r="D1674"/>
      <c r="E1674"/>
      <c r="F1674"/>
      <c r="G1674"/>
      <c r="H1674"/>
      <c r="I1674"/>
    </row>
    <row r="1675" spans="2:9" x14ac:dyDescent="0.25">
      <c r="B1675"/>
      <c r="C1675"/>
      <c r="D1675"/>
      <c r="E1675"/>
      <c r="F1675"/>
      <c r="G1675"/>
      <c r="H1675"/>
      <c r="I1675"/>
    </row>
    <row r="1676" spans="2:9" x14ac:dyDescent="0.25">
      <c r="B1676"/>
      <c r="C1676"/>
      <c r="D1676"/>
      <c r="E1676"/>
      <c r="F1676"/>
      <c r="G1676"/>
      <c r="H1676"/>
      <c r="I1676"/>
    </row>
    <row r="1677" spans="2:9" x14ac:dyDescent="0.25">
      <c r="B1677"/>
      <c r="C1677"/>
      <c r="D1677"/>
      <c r="E1677"/>
      <c r="F1677"/>
      <c r="G1677"/>
      <c r="H1677"/>
      <c r="I1677"/>
    </row>
    <row r="1678" spans="2:9" x14ac:dyDescent="0.25">
      <c r="B1678"/>
      <c r="C1678"/>
      <c r="D1678"/>
      <c r="E1678"/>
      <c r="F1678"/>
      <c r="G1678"/>
      <c r="H1678"/>
      <c r="I1678"/>
    </row>
    <row r="1679" spans="2:9" x14ac:dyDescent="0.25">
      <c r="B1679"/>
      <c r="C1679"/>
      <c r="D1679"/>
      <c r="E1679"/>
      <c r="F1679"/>
      <c r="G1679"/>
      <c r="H1679"/>
      <c r="I1679"/>
    </row>
    <row r="1680" spans="2:9" x14ac:dyDescent="0.25">
      <c r="B1680"/>
      <c r="C1680"/>
      <c r="D1680"/>
      <c r="E1680"/>
      <c r="F1680"/>
      <c r="G1680"/>
      <c r="H1680"/>
      <c r="I1680"/>
    </row>
    <row r="1681" spans="2:9" x14ac:dyDescent="0.25">
      <c r="B1681"/>
      <c r="C1681"/>
      <c r="D1681"/>
      <c r="E1681"/>
      <c r="F1681"/>
      <c r="G1681"/>
      <c r="H1681"/>
      <c r="I1681"/>
    </row>
    <row r="1682" spans="2:9" x14ac:dyDescent="0.25">
      <c r="B1682"/>
      <c r="C1682"/>
      <c r="D1682"/>
      <c r="E1682"/>
      <c r="F1682"/>
      <c r="G1682"/>
      <c r="H1682"/>
      <c r="I1682"/>
    </row>
    <row r="1683" spans="2:9" x14ac:dyDescent="0.25">
      <c r="B1683"/>
      <c r="C1683"/>
      <c r="D1683"/>
      <c r="E1683"/>
      <c r="F1683"/>
      <c r="G1683"/>
      <c r="H1683"/>
      <c r="I1683"/>
    </row>
    <row r="1684" spans="2:9" x14ac:dyDescent="0.25">
      <c r="B1684"/>
      <c r="C1684"/>
      <c r="D1684"/>
      <c r="E1684"/>
      <c r="F1684"/>
      <c r="G1684"/>
      <c r="H1684"/>
      <c r="I1684"/>
    </row>
    <row r="1685" spans="2:9" x14ac:dyDescent="0.25">
      <c r="B1685"/>
      <c r="C1685"/>
      <c r="D1685"/>
      <c r="E1685"/>
      <c r="F1685"/>
      <c r="G1685"/>
      <c r="H1685"/>
      <c r="I1685"/>
    </row>
    <row r="1686" spans="2:9" x14ac:dyDescent="0.25">
      <c r="B1686"/>
      <c r="C1686"/>
      <c r="D1686"/>
      <c r="E1686"/>
      <c r="F1686"/>
      <c r="G1686"/>
      <c r="H1686"/>
      <c r="I1686"/>
    </row>
    <row r="1687" spans="2:9" x14ac:dyDescent="0.25">
      <c r="B1687"/>
      <c r="C1687"/>
      <c r="D1687"/>
      <c r="E1687"/>
      <c r="F1687"/>
      <c r="G1687"/>
      <c r="H1687"/>
      <c r="I1687"/>
    </row>
    <row r="1688" spans="2:9" x14ac:dyDescent="0.25">
      <c r="B1688"/>
      <c r="C1688"/>
      <c r="D1688"/>
      <c r="E1688"/>
      <c r="F1688"/>
      <c r="G1688"/>
      <c r="H1688"/>
      <c r="I1688"/>
    </row>
    <row r="1689" spans="2:9" x14ac:dyDescent="0.25">
      <c r="B1689"/>
      <c r="C1689"/>
      <c r="D1689"/>
      <c r="E1689"/>
      <c r="F1689"/>
      <c r="G1689"/>
      <c r="H1689"/>
      <c r="I1689"/>
    </row>
    <row r="1690" spans="2:9" x14ac:dyDescent="0.25">
      <c r="B1690"/>
      <c r="C1690"/>
      <c r="D1690"/>
      <c r="E1690"/>
      <c r="F1690"/>
      <c r="G1690"/>
      <c r="H1690"/>
      <c r="I1690"/>
    </row>
    <row r="1691" spans="2:9" x14ac:dyDescent="0.25">
      <c r="B1691"/>
      <c r="C1691"/>
      <c r="D1691"/>
      <c r="E1691"/>
      <c r="F1691"/>
      <c r="G1691"/>
      <c r="H1691"/>
      <c r="I1691"/>
    </row>
    <row r="1692" spans="2:9" x14ac:dyDescent="0.25">
      <c r="B1692"/>
      <c r="C1692"/>
      <c r="D1692"/>
      <c r="E1692"/>
      <c r="F1692"/>
      <c r="G1692"/>
      <c r="H1692"/>
      <c r="I1692"/>
    </row>
    <row r="1693" spans="2:9" x14ac:dyDescent="0.25">
      <c r="B1693"/>
      <c r="C1693"/>
      <c r="D1693"/>
      <c r="E1693"/>
      <c r="F1693"/>
      <c r="G1693"/>
      <c r="H1693"/>
      <c r="I1693"/>
    </row>
    <row r="1694" spans="2:9" x14ac:dyDescent="0.25">
      <c r="B1694"/>
      <c r="C1694"/>
      <c r="D1694"/>
      <c r="E1694"/>
      <c r="F1694"/>
      <c r="G1694"/>
      <c r="H1694"/>
      <c r="I1694"/>
    </row>
    <row r="1695" spans="2:9" x14ac:dyDescent="0.25">
      <c r="B1695"/>
      <c r="C1695"/>
      <c r="D1695"/>
      <c r="E1695"/>
      <c r="F1695"/>
      <c r="G1695"/>
      <c r="H1695"/>
      <c r="I1695"/>
    </row>
    <row r="1696" spans="2:9" x14ac:dyDescent="0.25">
      <c r="B1696"/>
      <c r="C1696"/>
      <c r="D1696"/>
      <c r="E1696"/>
      <c r="F1696"/>
      <c r="G1696"/>
      <c r="H1696"/>
      <c r="I1696"/>
    </row>
    <row r="1697" spans="2:9" x14ac:dyDescent="0.25">
      <c r="B1697"/>
      <c r="C1697"/>
      <c r="D1697"/>
      <c r="E1697"/>
      <c r="F1697"/>
      <c r="G1697"/>
      <c r="H1697"/>
      <c r="I1697"/>
    </row>
    <row r="1698" spans="2:9" x14ac:dyDescent="0.25">
      <c r="B1698"/>
      <c r="C1698"/>
      <c r="D1698"/>
      <c r="E1698"/>
      <c r="F1698"/>
      <c r="G1698"/>
      <c r="H1698"/>
      <c r="I1698"/>
    </row>
    <row r="1699" spans="2:9" x14ac:dyDescent="0.25">
      <c r="B1699"/>
      <c r="C1699"/>
      <c r="D1699"/>
      <c r="E1699"/>
      <c r="F1699"/>
      <c r="G1699"/>
      <c r="H1699"/>
      <c r="I1699"/>
    </row>
    <row r="1700" spans="2:9" x14ac:dyDescent="0.25">
      <c r="B1700"/>
      <c r="C1700"/>
      <c r="D1700"/>
      <c r="E1700"/>
      <c r="F1700"/>
      <c r="G1700"/>
      <c r="H1700"/>
      <c r="I1700"/>
    </row>
    <row r="1701" spans="2:9" x14ac:dyDescent="0.25">
      <c r="B1701"/>
      <c r="C1701"/>
      <c r="D1701"/>
      <c r="E1701"/>
      <c r="F1701"/>
      <c r="G1701"/>
      <c r="H1701"/>
      <c r="I1701"/>
    </row>
    <row r="1702" spans="2:9" x14ac:dyDescent="0.25">
      <c r="B1702"/>
      <c r="C1702"/>
      <c r="D1702"/>
      <c r="E1702"/>
      <c r="F1702"/>
      <c r="G1702"/>
      <c r="H1702"/>
      <c r="I1702"/>
    </row>
    <row r="1703" spans="2:9" x14ac:dyDescent="0.25">
      <c r="B1703"/>
      <c r="C1703"/>
      <c r="D1703"/>
      <c r="E1703"/>
      <c r="F1703"/>
      <c r="G1703"/>
      <c r="H1703"/>
      <c r="I1703"/>
    </row>
    <row r="1704" spans="2:9" x14ac:dyDescent="0.25">
      <c r="B1704"/>
      <c r="C1704"/>
      <c r="D1704"/>
      <c r="E1704"/>
      <c r="F1704"/>
      <c r="G1704"/>
      <c r="H1704"/>
      <c r="I1704"/>
    </row>
    <row r="1705" spans="2:9" x14ac:dyDescent="0.25">
      <c r="B1705"/>
      <c r="C1705"/>
      <c r="D1705"/>
      <c r="E1705"/>
      <c r="F1705"/>
      <c r="G1705"/>
      <c r="H1705"/>
      <c r="I1705"/>
    </row>
    <row r="1706" spans="2:9" x14ac:dyDescent="0.25">
      <c r="B1706"/>
      <c r="C1706"/>
      <c r="D1706"/>
      <c r="E1706"/>
      <c r="F1706"/>
      <c r="G1706"/>
      <c r="H1706"/>
      <c r="I1706"/>
    </row>
    <row r="1707" spans="2:9" x14ac:dyDescent="0.25">
      <c r="B1707"/>
      <c r="C1707"/>
      <c r="D1707"/>
      <c r="E1707"/>
      <c r="F1707"/>
      <c r="G1707"/>
      <c r="H1707"/>
      <c r="I1707"/>
    </row>
    <row r="1708" spans="2:9" x14ac:dyDescent="0.25">
      <c r="B1708"/>
      <c r="C1708"/>
      <c r="D1708"/>
      <c r="E1708"/>
      <c r="F1708"/>
      <c r="G1708"/>
      <c r="H1708"/>
      <c r="I1708"/>
    </row>
    <row r="1709" spans="2:9" x14ac:dyDescent="0.25">
      <c r="B1709"/>
      <c r="C1709"/>
      <c r="D1709"/>
      <c r="E1709"/>
      <c r="F1709"/>
      <c r="G1709"/>
      <c r="H1709"/>
      <c r="I1709"/>
    </row>
    <row r="1710" spans="2:9" x14ac:dyDescent="0.25">
      <c r="B1710"/>
      <c r="C1710"/>
      <c r="D1710"/>
      <c r="E1710"/>
      <c r="F1710"/>
      <c r="G1710"/>
      <c r="H1710"/>
      <c r="I1710"/>
    </row>
    <row r="1711" spans="2:9" x14ac:dyDescent="0.25">
      <c r="B1711"/>
      <c r="C1711"/>
      <c r="D1711"/>
      <c r="E1711"/>
      <c r="F1711"/>
      <c r="G1711"/>
      <c r="H1711"/>
      <c r="I1711"/>
    </row>
    <row r="1712" spans="2:9" x14ac:dyDescent="0.25">
      <c r="B1712"/>
      <c r="C1712"/>
      <c r="D1712"/>
      <c r="E1712"/>
      <c r="F1712"/>
      <c r="G1712"/>
      <c r="H1712"/>
      <c r="I1712"/>
    </row>
    <row r="1713" spans="2:9" x14ac:dyDescent="0.25">
      <c r="B1713"/>
      <c r="C1713"/>
      <c r="D1713"/>
      <c r="E1713"/>
      <c r="F1713"/>
      <c r="G1713"/>
      <c r="H1713"/>
      <c r="I1713"/>
    </row>
    <row r="1714" spans="2:9" x14ac:dyDescent="0.25">
      <c r="B1714"/>
      <c r="C1714"/>
      <c r="D1714"/>
      <c r="E1714"/>
      <c r="F1714"/>
      <c r="G1714"/>
      <c r="H1714"/>
      <c r="I1714"/>
    </row>
    <row r="1715" spans="2:9" x14ac:dyDescent="0.25">
      <c r="B1715"/>
      <c r="C1715"/>
      <c r="D1715"/>
      <c r="E1715"/>
      <c r="F1715"/>
      <c r="G1715"/>
      <c r="H1715"/>
      <c r="I1715"/>
    </row>
    <row r="1716" spans="2:9" x14ac:dyDescent="0.25">
      <c r="B1716"/>
      <c r="C1716"/>
      <c r="D1716"/>
      <c r="E1716"/>
      <c r="F1716"/>
      <c r="G1716"/>
      <c r="H1716"/>
      <c r="I1716"/>
    </row>
    <row r="1717" spans="2:9" x14ac:dyDescent="0.25">
      <c r="B1717"/>
      <c r="C1717"/>
      <c r="D1717"/>
      <c r="E1717"/>
      <c r="F1717"/>
      <c r="G1717"/>
      <c r="H1717"/>
      <c r="I1717"/>
    </row>
    <row r="1718" spans="2:9" x14ac:dyDescent="0.25">
      <c r="B1718"/>
      <c r="C1718"/>
      <c r="D1718"/>
      <c r="E1718"/>
      <c r="F1718"/>
      <c r="G1718"/>
      <c r="H1718"/>
      <c r="I1718"/>
    </row>
    <row r="1719" spans="2:9" x14ac:dyDescent="0.25">
      <c r="B1719"/>
      <c r="C1719"/>
      <c r="D1719"/>
      <c r="E1719"/>
      <c r="F1719"/>
      <c r="G1719"/>
      <c r="H1719"/>
      <c r="I1719"/>
    </row>
    <row r="1720" spans="2:9" x14ac:dyDescent="0.25">
      <c r="B1720"/>
      <c r="C1720"/>
      <c r="D1720"/>
      <c r="E1720"/>
      <c r="F1720"/>
      <c r="G1720"/>
      <c r="H1720"/>
      <c r="I1720"/>
    </row>
    <row r="1721" spans="2:9" x14ac:dyDescent="0.25">
      <c r="B1721"/>
      <c r="C1721"/>
      <c r="D1721"/>
      <c r="E1721"/>
      <c r="F1721"/>
      <c r="G1721"/>
      <c r="H1721"/>
      <c r="I1721"/>
    </row>
    <row r="1722" spans="2:9" x14ac:dyDescent="0.25">
      <c r="B1722"/>
      <c r="C1722"/>
      <c r="D1722"/>
      <c r="E1722"/>
      <c r="F1722"/>
      <c r="G1722"/>
      <c r="H1722"/>
      <c r="I1722"/>
    </row>
    <row r="1723" spans="2:9" x14ac:dyDescent="0.25">
      <c r="B1723"/>
      <c r="C1723"/>
      <c r="D1723"/>
      <c r="E1723"/>
      <c r="F1723"/>
      <c r="G1723"/>
      <c r="H1723"/>
      <c r="I1723"/>
    </row>
    <row r="1724" spans="2:9" x14ac:dyDescent="0.25">
      <c r="B1724"/>
      <c r="C1724"/>
      <c r="D1724"/>
      <c r="E1724"/>
      <c r="F1724"/>
      <c r="G1724"/>
      <c r="H1724"/>
      <c r="I1724"/>
    </row>
    <row r="1725" spans="2:9" x14ac:dyDescent="0.25">
      <c r="B1725"/>
      <c r="C1725"/>
      <c r="D1725"/>
      <c r="E1725"/>
      <c r="F1725"/>
      <c r="G1725"/>
      <c r="H1725"/>
      <c r="I1725"/>
    </row>
    <row r="1726" spans="2:9" x14ac:dyDescent="0.25">
      <c r="B1726"/>
      <c r="C1726"/>
      <c r="D1726"/>
      <c r="E1726"/>
      <c r="F1726"/>
      <c r="G1726"/>
      <c r="H1726"/>
      <c r="I1726"/>
    </row>
    <row r="1727" spans="2:9" x14ac:dyDescent="0.25">
      <c r="B1727"/>
      <c r="C1727"/>
      <c r="D1727"/>
      <c r="E1727"/>
      <c r="F1727"/>
      <c r="G1727"/>
      <c r="H1727"/>
      <c r="I1727"/>
    </row>
    <row r="1728" spans="2:9" x14ac:dyDescent="0.25">
      <c r="B1728"/>
      <c r="C1728"/>
      <c r="D1728"/>
      <c r="E1728"/>
      <c r="F1728"/>
      <c r="G1728"/>
      <c r="H1728"/>
      <c r="I1728"/>
    </row>
    <row r="1729" spans="2:9" x14ac:dyDescent="0.25">
      <c r="B1729"/>
      <c r="C1729"/>
      <c r="D1729"/>
      <c r="E1729"/>
      <c r="F1729"/>
      <c r="G1729"/>
      <c r="H1729"/>
      <c r="I1729"/>
    </row>
    <row r="1730" spans="2:9" x14ac:dyDescent="0.25">
      <c r="B1730"/>
      <c r="C1730"/>
      <c r="D1730"/>
      <c r="E1730"/>
      <c r="F1730"/>
      <c r="G1730"/>
      <c r="H1730"/>
      <c r="I1730"/>
    </row>
    <row r="1731" spans="2:9" x14ac:dyDescent="0.25">
      <c r="B1731"/>
      <c r="C1731"/>
      <c r="D1731"/>
      <c r="E1731"/>
      <c r="F1731"/>
      <c r="G1731"/>
      <c r="H1731"/>
      <c r="I1731"/>
    </row>
    <row r="1732" spans="2:9" x14ac:dyDescent="0.25">
      <c r="B1732"/>
      <c r="C1732"/>
      <c r="D1732"/>
      <c r="E1732"/>
      <c r="F1732"/>
      <c r="G1732"/>
      <c r="H1732"/>
      <c r="I1732"/>
    </row>
    <row r="1733" spans="2:9" x14ac:dyDescent="0.25">
      <c r="B1733"/>
      <c r="C1733"/>
      <c r="D1733"/>
      <c r="E1733"/>
      <c r="F1733"/>
      <c r="G1733"/>
      <c r="H1733"/>
      <c r="I1733"/>
    </row>
    <row r="1734" spans="2:9" x14ac:dyDescent="0.25">
      <c r="B1734"/>
      <c r="C1734"/>
      <c r="D1734"/>
      <c r="E1734"/>
      <c r="F1734"/>
      <c r="G1734"/>
      <c r="H1734"/>
      <c r="I1734"/>
    </row>
    <row r="1735" spans="2:9" x14ac:dyDescent="0.25">
      <c r="B1735"/>
      <c r="C1735"/>
      <c r="D1735"/>
      <c r="E1735"/>
      <c r="F1735"/>
      <c r="G1735"/>
      <c r="H1735"/>
      <c r="I1735"/>
    </row>
    <row r="1736" spans="2:9" x14ac:dyDescent="0.25">
      <c r="B1736"/>
      <c r="C1736"/>
      <c r="D1736"/>
      <c r="E1736"/>
      <c r="F1736"/>
      <c r="G1736"/>
      <c r="H1736"/>
      <c r="I1736"/>
    </row>
    <row r="1737" spans="2:9" x14ac:dyDescent="0.25">
      <c r="B1737"/>
      <c r="C1737"/>
      <c r="D1737"/>
      <c r="E1737"/>
      <c r="F1737"/>
      <c r="G1737"/>
      <c r="H1737"/>
      <c r="I1737"/>
    </row>
    <row r="1738" spans="2:9" x14ac:dyDescent="0.25">
      <c r="B1738"/>
      <c r="C1738"/>
      <c r="D1738"/>
      <c r="E1738"/>
      <c r="F1738"/>
      <c r="G1738"/>
      <c r="H1738"/>
      <c r="I1738"/>
    </row>
    <row r="1739" spans="2:9" x14ac:dyDescent="0.25">
      <c r="B1739"/>
      <c r="C1739"/>
      <c r="D1739"/>
      <c r="E1739"/>
      <c r="F1739"/>
      <c r="G1739"/>
      <c r="H1739"/>
      <c r="I1739"/>
    </row>
    <row r="1740" spans="2:9" x14ac:dyDescent="0.25">
      <c r="B1740"/>
      <c r="C1740"/>
      <c r="D1740"/>
      <c r="E1740"/>
      <c r="F1740"/>
      <c r="G1740"/>
      <c r="H1740"/>
      <c r="I1740"/>
    </row>
    <row r="1741" spans="2:9" x14ac:dyDescent="0.25">
      <c r="B1741"/>
      <c r="C1741"/>
      <c r="D1741"/>
      <c r="E1741"/>
      <c r="F1741"/>
      <c r="G1741"/>
      <c r="H1741"/>
      <c r="I1741"/>
    </row>
    <row r="1742" spans="2:9" x14ac:dyDescent="0.25">
      <c r="B1742"/>
      <c r="C1742"/>
      <c r="D1742"/>
      <c r="E1742"/>
      <c r="F1742"/>
      <c r="G1742"/>
      <c r="H1742"/>
      <c r="I1742"/>
    </row>
    <row r="1743" spans="2:9" x14ac:dyDescent="0.25">
      <c r="B1743"/>
      <c r="C1743"/>
      <c r="D1743"/>
      <c r="E1743"/>
      <c r="F1743"/>
      <c r="G1743"/>
      <c r="H1743"/>
      <c r="I1743"/>
    </row>
    <row r="1744" spans="2:9" x14ac:dyDescent="0.25">
      <c r="B1744"/>
      <c r="C1744"/>
      <c r="D1744"/>
      <c r="E1744"/>
      <c r="F1744"/>
      <c r="G1744"/>
      <c r="H1744"/>
      <c r="I1744"/>
    </row>
    <row r="1745" spans="2:9" x14ac:dyDescent="0.25">
      <c r="B1745"/>
      <c r="C1745"/>
      <c r="D1745"/>
      <c r="E1745"/>
      <c r="F1745"/>
      <c r="G1745"/>
      <c r="H1745"/>
      <c r="I1745"/>
    </row>
    <row r="1746" spans="2:9" x14ac:dyDescent="0.25">
      <c r="B1746"/>
      <c r="C1746"/>
      <c r="D1746"/>
      <c r="E1746"/>
      <c r="F1746"/>
      <c r="G1746"/>
      <c r="H1746"/>
      <c r="I1746"/>
    </row>
    <row r="1747" spans="2:9" x14ac:dyDescent="0.25">
      <c r="B1747"/>
      <c r="C1747"/>
      <c r="D1747"/>
      <c r="E1747"/>
      <c r="F1747"/>
      <c r="G1747"/>
      <c r="H1747"/>
      <c r="I1747"/>
    </row>
    <row r="1748" spans="2:9" x14ac:dyDescent="0.25">
      <c r="B1748"/>
      <c r="C1748"/>
      <c r="D1748"/>
      <c r="E1748"/>
      <c r="F1748"/>
      <c r="G1748"/>
      <c r="H1748"/>
      <c r="I1748"/>
    </row>
    <row r="1749" spans="2:9" x14ac:dyDescent="0.25">
      <c r="B1749"/>
      <c r="C1749"/>
      <c r="D1749"/>
      <c r="E1749"/>
      <c r="F1749"/>
      <c r="G1749"/>
      <c r="H1749"/>
      <c r="I1749"/>
    </row>
    <row r="1750" spans="2:9" x14ac:dyDescent="0.25">
      <c r="B1750"/>
      <c r="C1750"/>
      <c r="D1750"/>
      <c r="E1750"/>
      <c r="F1750"/>
      <c r="G1750"/>
      <c r="H1750"/>
      <c r="I1750"/>
    </row>
    <row r="1751" spans="2:9" x14ac:dyDescent="0.25">
      <c r="B1751"/>
      <c r="C1751"/>
      <c r="D1751"/>
      <c r="E1751"/>
      <c r="F1751"/>
      <c r="G1751"/>
      <c r="H1751"/>
      <c r="I1751"/>
    </row>
    <row r="1752" spans="2:9" x14ac:dyDescent="0.25">
      <c r="B1752"/>
      <c r="C1752"/>
      <c r="D1752"/>
      <c r="E1752"/>
      <c r="F1752"/>
      <c r="G1752"/>
      <c r="H1752"/>
      <c r="I1752"/>
    </row>
    <row r="1753" spans="2:9" x14ac:dyDescent="0.25">
      <c r="B1753"/>
      <c r="C1753"/>
      <c r="D1753"/>
      <c r="E1753"/>
      <c r="F1753"/>
      <c r="G1753"/>
      <c r="H1753"/>
      <c r="I1753"/>
    </row>
    <row r="1754" spans="2:9" x14ac:dyDescent="0.25">
      <c r="B1754"/>
      <c r="C1754"/>
      <c r="D1754"/>
      <c r="E1754"/>
      <c r="F1754"/>
      <c r="G1754"/>
      <c r="H1754"/>
      <c r="I1754"/>
    </row>
    <row r="1755" spans="2:9" x14ac:dyDescent="0.25">
      <c r="B1755"/>
      <c r="C1755"/>
      <c r="D1755"/>
      <c r="E1755"/>
      <c r="F1755"/>
      <c r="G1755"/>
      <c r="H1755"/>
      <c r="I1755"/>
    </row>
    <row r="1756" spans="2:9" x14ac:dyDescent="0.25">
      <c r="B1756"/>
      <c r="C1756"/>
      <c r="D1756"/>
      <c r="E1756"/>
      <c r="F1756"/>
      <c r="G1756"/>
      <c r="H1756"/>
      <c r="I1756"/>
    </row>
    <row r="1757" spans="2:9" x14ac:dyDescent="0.25">
      <c r="B1757"/>
      <c r="C1757"/>
      <c r="D1757"/>
      <c r="E1757"/>
      <c r="F1757"/>
      <c r="G1757"/>
      <c r="H1757"/>
      <c r="I1757"/>
    </row>
    <row r="1758" spans="2:9" x14ac:dyDescent="0.25">
      <c r="B1758"/>
      <c r="C1758"/>
      <c r="D1758"/>
      <c r="E1758"/>
      <c r="F1758"/>
      <c r="G1758"/>
      <c r="H1758"/>
      <c r="I1758"/>
    </row>
    <row r="1759" spans="2:9" x14ac:dyDescent="0.25">
      <c r="B1759"/>
      <c r="C1759"/>
      <c r="D1759"/>
      <c r="E1759"/>
      <c r="F1759"/>
      <c r="G1759"/>
      <c r="H1759"/>
      <c r="I1759"/>
    </row>
    <row r="1760" spans="2:9" x14ac:dyDescent="0.25">
      <c r="B1760"/>
      <c r="C1760"/>
      <c r="D1760"/>
      <c r="E1760"/>
      <c r="F1760"/>
      <c r="G1760"/>
      <c r="H1760"/>
      <c r="I1760"/>
    </row>
    <row r="1761" spans="2:9" x14ac:dyDescent="0.25">
      <c r="B1761"/>
      <c r="C1761"/>
      <c r="D1761"/>
      <c r="E1761"/>
      <c r="F1761"/>
      <c r="G1761"/>
      <c r="H1761"/>
      <c r="I1761"/>
    </row>
    <row r="1762" spans="2:9" x14ac:dyDescent="0.25">
      <c r="B1762"/>
      <c r="C1762"/>
      <c r="D1762"/>
      <c r="E1762"/>
      <c r="F1762"/>
      <c r="G1762"/>
      <c r="H1762"/>
      <c r="I1762"/>
    </row>
    <row r="1763" spans="2:9" x14ac:dyDescent="0.25">
      <c r="B1763"/>
      <c r="C1763"/>
      <c r="D1763"/>
      <c r="E1763"/>
      <c r="F1763"/>
      <c r="G1763"/>
      <c r="H1763"/>
      <c r="I1763"/>
    </row>
    <row r="1764" spans="2:9" x14ac:dyDescent="0.25">
      <c r="B1764"/>
      <c r="C1764"/>
      <c r="D1764"/>
      <c r="E1764"/>
      <c r="F1764"/>
      <c r="G1764"/>
      <c r="H1764"/>
      <c r="I1764"/>
    </row>
    <row r="1765" spans="2:9" x14ac:dyDescent="0.25">
      <c r="B1765"/>
      <c r="C1765"/>
      <c r="D1765"/>
      <c r="E1765"/>
      <c r="F1765"/>
      <c r="G1765"/>
      <c r="H1765"/>
      <c r="I1765"/>
    </row>
    <row r="1766" spans="2:9" x14ac:dyDescent="0.25">
      <c r="B1766"/>
      <c r="C1766"/>
      <c r="D1766"/>
      <c r="E1766"/>
      <c r="F1766"/>
      <c r="G1766"/>
      <c r="H1766"/>
      <c r="I1766"/>
    </row>
    <row r="1767" spans="2:9" x14ac:dyDescent="0.25">
      <c r="B1767"/>
      <c r="C1767"/>
      <c r="D1767"/>
      <c r="E1767"/>
      <c r="F1767"/>
      <c r="G1767"/>
      <c r="H1767"/>
      <c r="I1767"/>
    </row>
    <row r="1768" spans="2:9" x14ac:dyDescent="0.25">
      <c r="B1768"/>
      <c r="C1768"/>
      <c r="D1768"/>
      <c r="E1768"/>
      <c r="F1768"/>
      <c r="G1768"/>
      <c r="H1768"/>
      <c r="I1768"/>
    </row>
    <row r="1769" spans="2:9" x14ac:dyDescent="0.25">
      <c r="B1769"/>
      <c r="C1769"/>
      <c r="D1769"/>
      <c r="E1769"/>
      <c r="F1769"/>
      <c r="G1769"/>
      <c r="H1769"/>
      <c r="I1769"/>
    </row>
    <row r="1770" spans="2:9" x14ac:dyDescent="0.25">
      <c r="B1770"/>
      <c r="C1770"/>
      <c r="D1770"/>
      <c r="E1770"/>
      <c r="F1770"/>
      <c r="G1770"/>
      <c r="H1770"/>
      <c r="I1770"/>
    </row>
    <row r="1771" spans="2:9" x14ac:dyDescent="0.25">
      <c r="B1771"/>
      <c r="C1771"/>
      <c r="D1771"/>
      <c r="E1771"/>
      <c r="F1771"/>
      <c r="G1771"/>
      <c r="H1771"/>
      <c r="I1771"/>
    </row>
    <row r="1772" spans="2:9" x14ac:dyDescent="0.25">
      <c r="B1772"/>
      <c r="C1772"/>
      <c r="D1772"/>
      <c r="E1772"/>
      <c r="F1772"/>
      <c r="G1772"/>
      <c r="H1772"/>
      <c r="I1772"/>
    </row>
    <row r="1773" spans="2:9" x14ac:dyDescent="0.25">
      <c r="B1773"/>
      <c r="C1773"/>
      <c r="D1773"/>
      <c r="E1773"/>
      <c r="F1773"/>
      <c r="G1773"/>
      <c r="H1773"/>
      <c r="I1773"/>
    </row>
    <row r="1774" spans="2:9" x14ac:dyDescent="0.25">
      <c r="B1774"/>
      <c r="C1774"/>
      <c r="D1774"/>
      <c r="E1774"/>
      <c r="F1774"/>
      <c r="G1774"/>
      <c r="H1774"/>
      <c r="I1774"/>
    </row>
    <row r="1775" spans="2:9" x14ac:dyDescent="0.25">
      <c r="B1775"/>
      <c r="C1775"/>
      <c r="D1775"/>
      <c r="E1775"/>
      <c r="F1775"/>
      <c r="G1775"/>
      <c r="H1775"/>
      <c r="I1775"/>
    </row>
    <row r="1776" spans="2:9" x14ac:dyDescent="0.25">
      <c r="B1776"/>
      <c r="C1776"/>
      <c r="D1776"/>
      <c r="E1776"/>
      <c r="F1776"/>
      <c r="G1776"/>
      <c r="H1776"/>
      <c r="I1776"/>
    </row>
    <row r="1777" spans="2:9" x14ac:dyDescent="0.25">
      <c r="B1777"/>
      <c r="C1777"/>
      <c r="D1777"/>
      <c r="E1777"/>
      <c r="F1777"/>
      <c r="G1777"/>
      <c r="H1777"/>
      <c r="I1777"/>
    </row>
    <row r="1778" spans="2:9" x14ac:dyDescent="0.25">
      <c r="B1778"/>
      <c r="C1778"/>
      <c r="D1778"/>
      <c r="E1778"/>
      <c r="F1778"/>
      <c r="G1778"/>
      <c r="H1778"/>
      <c r="I1778"/>
    </row>
    <row r="1779" spans="2:9" x14ac:dyDescent="0.25">
      <c r="B1779"/>
      <c r="C1779"/>
      <c r="D1779"/>
      <c r="E1779"/>
      <c r="F1779"/>
      <c r="G1779"/>
      <c r="H1779"/>
      <c r="I1779"/>
    </row>
    <row r="1780" spans="2:9" x14ac:dyDescent="0.25">
      <c r="B1780"/>
      <c r="C1780"/>
      <c r="D1780"/>
      <c r="E1780"/>
      <c r="F1780"/>
      <c r="G1780"/>
      <c r="H1780"/>
      <c r="I1780"/>
    </row>
    <row r="1781" spans="2:9" x14ac:dyDescent="0.25">
      <c r="B1781"/>
      <c r="C1781"/>
      <c r="D1781"/>
      <c r="E1781"/>
      <c r="F1781"/>
      <c r="G1781"/>
      <c r="H1781"/>
      <c r="I1781"/>
    </row>
    <row r="1782" spans="2:9" x14ac:dyDescent="0.25">
      <c r="B1782"/>
      <c r="C1782"/>
      <c r="D1782"/>
      <c r="E1782"/>
      <c r="F1782"/>
      <c r="G1782"/>
      <c r="H1782"/>
      <c r="I1782"/>
    </row>
    <row r="1783" spans="2:9" x14ac:dyDescent="0.25">
      <c r="B1783"/>
      <c r="C1783"/>
      <c r="D1783"/>
      <c r="E1783"/>
      <c r="F1783"/>
      <c r="G1783"/>
      <c r="H1783"/>
      <c r="I1783"/>
    </row>
    <row r="1784" spans="2:9" x14ac:dyDescent="0.25">
      <c r="B1784"/>
      <c r="C1784"/>
      <c r="D1784"/>
      <c r="E1784"/>
      <c r="F1784"/>
      <c r="G1784"/>
      <c r="H1784"/>
      <c r="I1784"/>
    </row>
    <row r="1785" spans="2:9" x14ac:dyDescent="0.25">
      <c r="B1785"/>
      <c r="C1785"/>
      <c r="D1785"/>
      <c r="E1785"/>
      <c r="F1785"/>
      <c r="G1785"/>
      <c r="H1785"/>
      <c r="I1785"/>
    </row>
    <row r="1786" spans="2:9" x14ac:dyDescent="0.25">
      <c r="B1786"/>
      <c r="C1786"/>
      <c r="D1786"/>
      <c r="E1786"/>
      <c r="F1786"/>
      <c r="G1786"/>
      <c r="H1786"/>
      <c r="I1786"/>
    </row>
    <row r="1787" spans="2:9" x14ac:dyDescent="0.25">
      <c r="B1787"/>
      <c r="C1787"/>
      <c r="D1787"/>
      <c r="E1787"/>
      <c r="F1787"/>
      <c r="G1787"/>
      <c r="H1787"/>
      <c r="I1787"/>
    </row>
    <row r="1788" spans="2:9" x14ac:dyDescent="0.25">
      <c r="B1788"/>
      <c r="C1788"/>
      <c r="D1788"/>
      <c r="E1788"/>
      <c r="F1788"/>
      <c r="G1788"/>
      <c r="H1788"/>
      <c r="I1788"/>
    </row>
    <row r="1789" spans="2:9" x14ac:dyDescent="0.25">
      <c r="B1789"/>
      <c r="C1789"/>
      <c r="D1789"/>
      <c r="E1789"/>
      <c r="F1789"/>
      <c r="G1789"/>
      <c r="H1789"/>
      <c r="I1789"/>
    </row>
    <row r="1790" spans="2:9" x14ac:dyDescent="0.25">
      <c r="B1790"/>
      <c r="C1790"/>
      <c r="D1790"/>
      <c r="E1790"/>
      <c r="F1790"/>
      <c r="G1790"/>
      <c r="H1790"/>
      <c r="I1790"/>
    </row>
    <row r="1791" spans="2:9" x14ac:dyDescent="0.25">
      <c r="B1791"/>
      <c r="C1791"/>
      <c r="D1791"/>
      <c r="E1791"/>
      <c r="F1791"/>
      <c r="G1791"/>
      <c r="H1791"/>
      <c r="I1791"/>
    </row>
    <row r="1792" spans="2:9" x14ac:dyDescent="0.25">
      <c r="B1792"/>
      <c r="C1792"/>
      <c r="D1792"/>
      <c r="E1792"/>
      <c r="F1792"/>
      <c r="G1792"/>
      <c r="H1792"/>
      <c r="I1792"/>
    </row>
    <row r="1793" spans="2:9" x14ac:dyDescent="0.25">
      <c r="B1793"/>
      <c r="C1793"/>
      <c r="D1793"/>
      <c r="E1793"/>
      <c r="F1793"/>
      <c r="G1793"/>
      <c r="H1793"/>
      <c r="I1793"/>
    </row>
    <row r="1794" spans="2:9" x14ac:dyDescent="0.25">
      <c r="B1794"/>
      <c r="C1794"/>
      <c r="D1794"/>
      <c r="E1794"/>
      <c r="F1794"/>
      <c r="G1794"/>
      <c r="H1794"/>
      <c r="I1794"/>
    </row>
    <row r="1795" spans="2:9" x14ac:dyDescent="0.25">
      <c r="B1795"/>
      <c r="C1795"/>
      <c r="D1795"/>
      <c r="E1795"/>
      <c r="F1795"/>
      <c r="G1795"/>
      <c r="H1795"/>
      <c r="I1795"/>
    </row>
    <row r="1796" spans="2:9" x14ac:dyDescent="0.25">
      <c r="B1796"/>
      <c r="C1796"/>
      <c r="D1796"/>
      <c r="E1796"/>
      <c r="F1796"/>
      <c r="G1796"/>
      <c r="H1796"/>
      <c r="I1796"/>
    </row>
    <row r="1797" spans="2:9" x14ac:dyDescent="0.25">
      <c r="B1797"/>
      <c r="C1797"/>
      <c r="D1797"/>
      <c r="E1797"/>
      <c r="F1797"/>
      <c r="G1797"/>
      <c r="H1797"/>
      <c r="I1797"/>
    </row>
    <row r="1798" spans="2:9" x14ac:dyDescent="0.25">
      <c r="B1798"/>
      <c r="C1798"/>
      <c r="D1798"/>
      <c r="E1798"/>
      <c r="F1798"/>
      <c r="G1798"/>
      <c r="H1798"/>
      <c r="I1798"/>
    </row>
    <row r="1799" spans="2:9" x14ac:dyDescent="0.25">
      <c r="B1799"/>
      <c r="C1799"/>
      <c r="D1799"/>
      <c r="E1799"/>
      <c r="F1799"/>
      <c r="G1799"/>
      <c r="H1799"/>
      <c r="I1799"/>
    </row>
    <row r="1800" spans="2:9" x14ac:dyDescent="0.25">
      <c r="B1800"/>
      <c r="C1800"/>
      <c r="D1800"/>
      <c r="E1800"/>
      <c r="F1800"/>
      <c r="G1800"/>
      <c r="H1800"/>
      <c r="I1800"/>
    </row>
    <row r="1801" spans="2:9" x14ac:dyDescent="0.25">
      <c r="B1801"/>
      <c r="C1801"/>
      <c r="D1801"/>
      <c r="E1801"/>
      <c r="F1801"/>
      <c r="G1801"/>
      <c r="H1801"/>
      <c r="I1801"/>
    </row>
    <row r="1802" spans="2:9" x14ac:dyDescent="0.25">
      <c r="B1802"/>
      <c r="C1802"/>
      <c r="D1802"/>
      <c r="E1802"/>
      <c r="F1802"/>
      <c r="G1802"/>
      <c r="H1802"/>
      <c r="I1802"/>
    </row>
    <row r="1803" spans="2:9" x14ac:dyDescent="0.25">
      <c r="B1803"/>
      <c r="C1803"/>
      <c r="D1803"/>
      <c r="E1803"/>
      <c r="F1803"/>
      <c r="G1803"/>
      <c r="H1803"/>
      <c r="I1803"/>
    </row>
    <row r="1804" spans="2:9" x14ac:dyDescent="0.25">
      <c r="B1804"/>
      <c r="C1804"/>
      <c r="D1804"/>
      <c r="E1804"/>
      <c r="F1804"/>
      <c r="G1804"/>
      <c r="H1804"/>
      <c r="I1804"/>
    </row>
    <row r="1805" spans="2:9" x14ac:dyDescent="0.25">
      <c r="B1805"/>
      <c r="C1805"/>
      <c r="D1805"/>
      <c r="E1805"/>
      <c r="F1805"/>
      <c r="G1805"/>
      <c r="H1805"/>
      <c r="I1805"/>
    </row>
    <row r="1806" spans="2:9" x14ac:dyDescent="0.25">
      <c r="B1806"/>
      <c r="C1806"/>
      <c r="D1806"/>
      <c r="E1806"/>
      <c r="F1806"/>
      <c r="G1806"/>
      <c r="H1806"/>
      <c r="I1806"/>
    </row>
    <row r="1807" spans="2:9" x14ac:dyDescent="0.25">
      <c r="B1807"/>
      <c r="C1807"/>
      <c r="D1807"/>
      <c r="E1807"/>
      <c r="F1807"/>
      <c r="G1807"/>
      <c r="H1807"/>
      <c r="I1807"/>
    </row>
    <row r="1808" spans="2:9" x14ac:dyDescent="0.25">
      <c r="B1808"/>
      <c r="C1808"/>
      <c r="D1808"/>
      <c r="E1808"/>
      <c r="F1808"/>
      <c r="G1808"/>
      <c r="H1808"/>
      <c r="I1808"/>
    </row>
    <row r="1809" spans="2:9" x14ac:dyDescent="0.25">
      <c r="B1809"/>
      <c r="C1809"/>
      <c r="D1809"/>
      <c r="E1809"/>
      <c r="F1809"/>
      <c r="G1809"/>
      <c r="H1809"/>
      <c r="I1809"/>
    </row>
    <row r="1810" spans="2:9" x14ac:dyDescent="0.25">
      <c r="B1810"/>
      <c r="C1810"/>
      <c r="D1810"/>
      <c r="E1810"/>
      <c r="F1810"/>
      <c r="G1810"/>
      <c r="H1810"/>
      <c r="I1810"/>
    </row>
    <row r="1811" spans="2:9" x14ac:dyDescent="0.25">
      <c r="B1811"/>
      <c r="C1811"/>
      <c r="D1811"/>
      <c r="E1811"/>
      <c r="F1811"/>
      <c r="G1811"/>
      <c r="H1811"/>
      <c r="I1811"/>
    </row>
    <row r="1812" spans="2:9" x14ac:dyDescent="0.25">
      <c r="B1812"/>
      <c r="C1812"/>
      <c r="D1812"/>
      <c r="E1812"/>
      <c r="F1812"/>
      <c r="G1812"/>
      <c r="H1812"/>
      <c r="I1812"/>
    </row>
    <row r="1813" spans="2:9" x14ac:dyDescent="0.25">
      <c r="B1813"/>
      <c r="C1813"/>
      <c r="D1813"/>
      <c r="E1813"/>
      <c r="F1813"/>
      <c r="G1813"/>
      <c r="H1813"/>
      <c r="I1813"/>
    </row>
    <row r="1814" spans="2:9" x14ac:dyDescent="0.25">
      <c r="B1814"/>
      <c r="C1814"/>
      <c r="D1814"/>
      <c r="E1814"/>
      <c r="F1814"/>
      <c r="G1814"/>
      <c r="H1814"/>
      <c r="I1814"/>
    </row>
    <row r="1815" spans="2:9" x14ac:dyDescent="0.25">
      <c r="B1815"/>
      <c r="C1815"/>
      <c r="D1815"/>
      <c r="E1815"/>
      <c r="F1815"/>
      <c r="G1815"/>
      <c r="H1815"/>
      <c r="I1815"/>
    </row>
    <row r="1816" spans="2:9" x14ac:dyDescent="0.25">
      <c r="B1816"/>
      <c r="C1816"/>
      <c r="D1816"/>
      <c r="E1816"/>
      <c r="F1816"/>
      <c r="G1816"/>
      <c r="H1816"/>
      <c r="I1816"/>
    </row>
    <row r="1817" spans="2:9" x14ac:dyDescent="0.25">
      <c r="B1817"/>
      <c r="C1817"/>
      <c r="D1817"/>
      <c r="E1817"/>
      <c r="F1817"/>
      <c r="G1817"/>
      <c r="H1817"/>
      <c r="I1817"/>
    </row>
    <row r="1818" spans="2:9" x14ac:dyDescent="0.25">
      <c r="B1818"/>
      <c r="C1818"/>
      <c r="D1818"/>
      <c r="E1818"/>
      <c r="F1818"/>
      <c r="G1818"/>
      <c r="H1818"/>
      <c r="I1818"/>
    </row>
    <row r="1819" spans="2:9" x14ac:dyDescent="0.25">
      <c r="B1819"/>
      <c r="C1819"/>
      <c r="D1819"/>
      <c r="E1819"/>
      <c r="F1819"/>
      <c r="G1819"/>
      <c r="H1819"/>
      <c r="I1819"/>
    </row>
    <row r="1820" spans="2:9" x14ac:dyDescent="0.25">
      <c r="B1820"/>
      <c r="C1820"/>
      <c r="D1820"/>
      <c r="E1820"/>
      <c r="F1820"/>
      <c r="G1820"/>
      <c r="H1820"/>
      <c r="I1820"/>
    </row>
    <row r="1821" spans="2:9" x14ac:dyDescent="0.25">
      <c r="B1821"/>
      <c r="C1821"/>
      <c r="D1821"/>
      <c r="E1821"/>
      <c r="F1821"/>
      <c r="G1821"/>
      <c r="H1821"/>
      <c r="I1821"/>
    </row>
    <row r="1822" spans="2:9" x14ac:dyDescent="0.25">
      <c r="B1822"/>
      <c r="C1822"/>
      <c r="D1822"/>
      <c r="E1822"/>
      <c r="F1822"/>
      <c r="G1822"/>
      <c r="H1822"/>
      <c r="I1822"/>
    </row>
    <row r="1823" spans="2:9" x14ac:dyDescent="0.25">
      <c r="B1823"/>
      <c r="C1823"/>
      <c r="D1823"/>
      <c r="E1823"/>
      <c r="F1823"/>
      <c r="G1823"/>
      <c r="H1823"/>
      <c r="I1823"/>
    </row>
    <row r="1824" spans="2:9" x14ac:dyDescent="0.25">
      <c r="B1824"/>
      <c r="C1824"/>
      <c r="D1824"/>
      <c r="E1824"/>
      <c r="F1824"/>
      <c r="G1824"/>
      <c r="H1824"/>
      <c r="I1824"/>
    </row>
    <row r="1825" spans="2:9" x14ac:dyDescent="0.25">
      <c r="B1825"/>
      <c r="C1825"/>
      <c r="D1825"/>
      <c r="E1825"/>
      <c r="F1825"/>
      <c r="G1825"/>
      <c r="H1825"/>
      <c r="I1825"/>
    </row>
    <row r="1826" spans="2:9" x14ac:dyDescent="0.25">
      <c r="B1826"/>
      <c r="C1826"/>
      <c r="D1826"/>
      <c r="E1826"/>
      <c r="F1826"/>
      <c r="G1826"/>
      <c r="H1826"/>
      <c r="I1826"/>
    </row>
    <row r="1827" spans="2:9" x14ac:dyDescent="0.25">
      <c r="B1827"/>
      <c r="C1827"/>
      <c r="D1827"/>
      <c r="E1827"/>
      <c r="F1827"/>
      <c r="G1827"/>
      <c r="H1827"/>
      <c r="I1827"/>
    </row>
    <row r="1828" spans="2:9" x14ac:dyDescent="0.25">
      <c r="B1828"/>
      <c r="C1828"/>
      <c r="D1828"/>
      <c r="E1828"/>
      <c r="F1828"/>
      <c r="G1828"/>
      <c r="H1828"/>
      <c r="I1828"/>
    </row>
    <row r="1829" spans="2:9" x14ac:dyDescent="0.25">
      <c r="B1829"/>
      <c r="C1829"/>
      <c r="D1829"/>
      <c r="E1829"/>
      <c r="F1829"/>
      <c r="G1829"/>
      <c r="H1829"/>
      <c r="I1829"/>
    </row>
    <row r="1830" spans="2:9" x14ac:dyDescent="0.25">
      <c r="B1830"/>
      <c r="C1830"/>
      <c r="D1830"/>
      <c r="E1830"/>
      <c r="F1830"/>
      <c r="G1830"/>
      <c r="H1830"/>
      <c r="I1830"/>
    </row>
    <row r="1831" spans="2:9" x14ac:dyDescent="0.25">
      <c r="B1831"/>
      <c r="C1831"/>
      <c r="D1831"/>
      <c r="E1831"/>
      <c r="F1831"/>
      <c r="G1831"/>
      <c r="H1831"/>
      <c r="I1831"/>
    </row>
    <row r="1832" spans="2:9" x14ac:dyDescent="0.25">
      <c r="B1832"/>
      <c r="C1832"/>
      <c r="D1832"/>
      <c r="E1832"/>
      <c r="F1832"/>
      <c r="G1832"/>
      <c r="H1832"/>
      <c r="I1832"/>
    </row>
    <row r="1833" spans="2:9" x14ac:dyDescent="0.25">
      <c r="B1833"/>
      <c r="C1833"/>
      <c r="D1833"/>
      <c r="E1833"/>
      <c r="F1833"/>
      <c r="G1833"/>
      <c r="H1833"/>
      <c r="I1833"/>
    </row>
    <row r="1834" spans="2:9" x14ac:dyDescent="0.25">
      <c r="B1834"/>
      <c r="C1834"/>
      <c r="D1834"/>
      <c r="E1834"/>
      <c r="F1834"/>
      <c r="G1834"/>
      <c r="H1834"/>
      <c r="I1834"/>
    </row>
    <row r="1835" spans="2:9" x14ac:dyDescent="0.25">
      <c r="B1835"/>
      <c r="C1835"/>
      <c r="D1835"/>
      <c r="E1835"/>
      <c r="F1835"/>
      <c r="G1835"/>
      <c r="H1835"/>
      <c r="I1835"/>
    </row>
    <row r="1836" spans="2:9" x14ac:dyDescent="0.25">
      <c r="B1836"/>
      <c r="C1836"/>
      <c r="D1836"/>
      <c r="E1836"/>
      <c r="F1836"/>
      <c r="G1836"/>
      <c r="H1836"/>
      <c r="I1836"/>
    </row>
    <row r="1837" spans="2:9" x14ac:dyDescent="0.25">
      <c r="B1837"/>
      <c r="C1837"/>
      <c r="D1837"/>
      <c r="E1837"/>
      <c r="F1837"/>
      <c r="G1837"/>
      <c r="H1837"/>
      <c r="I1837"/>
    </row>
    <row r="1838" spans="2:9" x14ac:dyDescent="0.25">
      <c r="B1838"/>
      <c r="C1838"/>
      <c r="D1838"/>
      <c r="E1838"/>
      <c r="F1838"/>
      <c r="G1838"/>
      <c r="H1838"/>
      <c r="I1838"/>
    </row>
    <row r="1839" spans="2:9" x14ac:dyDescent="0.25">
      <c r="B1839"/>
      <c r="C1839"/>
      <c r="D1839"/>
      <c r="E1839"/>
      <c r="F1839"/>
      <c r="G1839"/>
      <c r="H1839"/>
      <c r="I1839"/>
    </row>
    <row r="1840" spans="2:9" x14ac:dyDescent="0.25">
      <c r="B1840"/>
      <c r="C1840"/>
      <c r="D1840"/>
      <c r="E1840"/>
      <c r="F1840"/>
      <c r="G1840"/>
      <c r="H1840"/>
      <c r="I1840"/>
    </row>
    <row r="1841" spans="2:9" x14ac:dyDescent="0.25">
      <c r="B1841"/>
      <c r="C1841"/>
      <c r="D1841"/>
      <c r="E1841"/>
      <c r="F1841"/>
      <c r="G1841"/>
      <c r="H1841"/>
      <c r="I1841"/>
    </row>
    <row r="1842" spans="2:9" x14ac:dyDescent="0.25">
      <c r="B1842"/>
      <c r="C1842"/>
      <c r="D1842"/>
      <c r="E1842"/>
      <c r="F1842"/>
      <c r="G1842"/>
      <c r="H1842"/>
      <c r="I1842"/>
    </row>
    <row r="1843" spans="2:9" x14ac:dyDescent="0.25">
      <c r="B1843"/>
      <c r="C1843"/>
      <c r="D1843"/>
      <c r="E1843"/>
      <c r="F1843"/>
      <c r="G1843"/>
      <c r="H1843"/>
      <c r="I1843"/>
    </row>
    <row r="1844" spans="2:9" x14ac:dyDescent="0.25">
      <c r="B1844"/>
      <c r="C1844"/>
      <c r="D1844"/>
      <c r="E1844"/>
      <c r="F1844"/>
      <c r="G1844"/>
      <c r="H1844"/>
      <c r="I1844"/>
    </row>
    <row r="1845" spans="2:9" x14ac:dyDescent="0.25">
      <c r="B1845"/>
      <c r="C1845"/>
      <c r="D1845"/>
      <c r="E1845"/>
      <c r="F1845"/>
      <c r="G1845"/>
      <c r="H1845"/>
      <c r="I1845"/>
    </row>
    <row r="1846" spans="2:9" x14ac:dyDescent="0.25">
      <c r="B1846"/>
      <c r="C1846"/>
      <c r="D1846"/>
      <c r="E1846"/>
      <c r="F1846"/>
      <c r="G1846"/>
      <c r="H1846"/>
      <c r="I1846"/>
    </row>
    <row r="1847" spans="2:9" x14ac:dyDescent="0.25">
      <c r="B1847"/>
      <c r="C1847"/>
      <c r="D1847"/>
      <c r="E1847"/>
      <c r="F1847"/>
      <c r="G1847"/>
      <c r="H1847"/>
      <c r="I1847"/>
    </row>
    <row r="1848" spans="2:9" x14ac:dyDescent="0.25">
      <c r="B1848"/>
      <c r="C1848"/>
      <c r="D1848"/>
      <c r="E1848"/>
      <c r="F1848"/>
      <c r="G1848"/>
      <c r="H1848"/>
      <c r="I1848"/>
    </row>
    <row r="1849" spans="2:9" x14ac:dyDescent="0.25">
      <c r="B1849"/>
      <c r="C1849"/>
      <c r="D1849"/>
      <c r="E1849"/>
      <c r="F1849"/>
      <c r="G1849"/>
      <c r="H1849"/>
      <c r="I1849"/>
    </row>
    <row r="1850" spans="2:9" x14ac:dyDescent="0.25">
      <c r="B1850"/>
      <c r="C1850"/>
      <c r="D1850"/>
      <c r="E1850"/>
      <c r="F1850"/>
      <c r="G1850"/>
      <c r="H1850"/>
      <c r="I1850"/>
    </row>
    <row r="1851" spans="2:9" x14ac:dyDescent="0.25">
      <c r="B1851"/>
      <c r="C1851"/>
      <c r="D1851"/>
      <c r="E1851"/>
      <c r="F1851"/>
      <c r="G1851"/>
      <c r="H1851"/>
      <c r="I1851"/>
    </row>
    <row r="1852" spans="2:9" x14ac:dyDescent="0.25">
      <c r="B1852"/>
      <c r="C1852"/>
      <c r="D1852"/>
      <c r="E1852"/>
      <c r="F1852"/>
      <c r="G1852"/>
      <c r="H1852"/>
      <c r="I1852"/>
    </row>
    <row r="1853" spans="2:9" x14ac:dyDescent="0.25">
      <c r="B1853"/>
      <c r="C1853"/>
      <c r="D1853"/>
      <c r="E1853"/>
      <c r="F1853"/>
      <c r="G1853"/>
      <c r="H1853"/>
      <c r="I1853"/>
    </row>
    <row r="1854" spans="2:9" x14ac:dyDescent="0.25">
      <c r="B1854"/>
      <c r="C1854"/>
      <c r="D1854"/>
      <c r="E1854"/>
      <c r="F1854"/>
      <c r="G1854"/>
      <c r="H1854"/>
      <c r="I1854"/>
    </row>
    <row r="1855" spans="2:9" x14ac:dyDescent="0.25">
      <c r="B1855"/>
      <c r="C1855"/>
      <c r="D1855"/>
      <c r="E1855"/>
      <c r="F1855"/>
      <c r="G1855"/>
      <c r="H1855"/>
      <c r="I1855"/>
    </row>
    <row r="1856" spans="2:9" x14ac:dyDescent="0.25">
      <c r="B1856"/>
      <c r="C1856"/>
      <c r="D1856"/>
      <c r="E1856"/>
      <c r="F1856"/>
      <c r="G1856"/>
      <c r="H1856"/>
      <c r="I1856"/>
    </row>
    <row r="1857" spans="2:9" x14ac:dyDescent="0.25">
      <c r="B1857"/>
      <c r="C1857"/>
      <c r="D1857"/>
      <c r="E1857"/>
      <c r="F1857"/>
      <c r="G1857"/>
      <c r="H1857"/>
      <c r="I1857"/>
    </row>
    <row r="1858" spans="2:9" x14ac:dyDescent="0.25">
      <c r="B1858"/>
      <c r="C1858"/>
      <c r="D1858"/>
      <c r="E1858"/>
      <c r="F1858"/>
      <c r="G1858"/>
      <c r="H1858"/>
      <c r="I1858"/>
    </row>
    <row r="1859" spans="2:9" x14ac:dyDescent="0.25">
      <c r="B1859"/>
      <c r="C1859"/>
      <c r="D1859"/>
      <c r="E1859"/>
      <c r="F1859"/>
      <c r="G1859"/>
      <c r="H1859"/>
      <c r="I1859"/>
    </row>
    <row r="1860" spans="2:9" x14ac:dyDescent="0.25">
      <c r="B1860"/>
      <c r="C1860"/>
      <c r="D1860"/>
      <c r="E1860"/>
      <c r="F1860"/>
      <c r="G1860"/>
      <c r="H1860"/>
      <c r="I1860"/>
    </row>
    <row r="1861" spans="2:9" x14ac:dyDescent="0.25">
      <c r="B1861"/>
      <c r="C1861"/>
      <c r="D1861"/>
      <c r="E1861"/>
      <c r="F1861"/>
      <c r="G1861"/>
      <c r="H1861"/>
      <c r="I1861"/>
    </row>
    <row r="1862" spans="2:9" x14ac:dyDescent="0.25">
      <c r="B1862"/>
      <c r="C1862"/>
      <c r="D1862"/>
      <c r="E1862"/>
      <c r="F1862"/>
      <c r="G1862"/>
      <c r="H1862"/>
      <c r="I1862"/>
    </row>
    <row r="1863" spans="2:9" x14ac:dyDescent="0.25">
      <c r="B1863"/>
      <c r="C1863"/>
      <c r="D1863"/>
      <c r="E1863"/>
      <c r="F1863"/>
      <c r="G1863"/>
      <c r="H1863"/>
      <c r="I1863"/>
    </row>
    <row r="1864" spans="2:9" x14ac:dyDescent="0.25">
      <c r="B1864"/>
      <c r="C1864"/>
      <c r="D1864"/>
      <c r="E1864"/>
      <c r="F1864"/>
      <c r="G1864"/>
      <c r="H1864"/>
      <c r="I1864"/>
    </row>
    <row r="1865" spans="2:9" x14ac:dyDescent="0.25">
      <c r="B1865"/>
      <c r="C1865"/>
      <c r="D1865"/>
      <c r="E1865"/>
      <c r="F1865"/>
      <c r="G1865"/>
      <c r="H1865"/>
      <c r="I1865"/>
    </row>
    <row r="1866" spans="2:9" x14ac:dyDescent="0.25">
      <c r="B1866"/>
      <c r="C1866"/>
      <c r="D1866"/>
      <c r="E1866"/>
      <c r="F1866"/>
      <c r="G1866"/>
      <c r="H1866"/>
      <c r="I1866"/>
    </row>
    <row r="1867" spans="2:9" x14ac:dyDescent="0.25">
      <c r="B1867"/>
      <c r="C1867"/>
      <c r="D1867"/>
      <c r="E1867"/>
      <c r="F1867"/>
      <c r="G1867"/>
      <c r="H1867"/>
      <c r="I1867"/>
    </row>
    <row r="1868" spans="2:9" x14ac:dyDescent="0.25">
      <c r="B1868"/>
      <c r="C1868"/>
      <c r="D1868"/>
      <c r="E1868"/>
      <c r="F1868"/>
      <c r="G1868"/>
      <c r="H1868"/>
      <c r="I1868"/>
    </row>
    <row r="1869" spans="2:9" x14ac:dyDescent="0.25">
      <c r="B1869"/>
      <c r="C1869"/>
      <c r="D1869"/>
      <c r="E1869"/>
      <c r="F1869"/>
      <c r="G1869"/>
      <c r="H1869"/>
      <c r="I1869"/>
    </row>
    <row r="1870" spans="2:9" x14ac:dyDescent="0.25">
      <c r="B1870"/>
      <c r="C1870"/>
      <c r="D1870"/>
      <c r="E1870"/>
      <c r="F1870"/>
      <c r="G1870"/>
      <c r="H1870"/>
      <c r="I1870"/>
    </row>
    <row r="1871" spans="2:9" x14ac:dyDescent="0.25">
      <c r="B1871"/>
      <c r="C1871"/>
      <c r="D1871"/>
      <c r="E1871"/>
      <c r="F1871"/>
      <c r="G1871"/>
      <c r="H1871"/>
      <c r="I1871"/>
    </row>
    <row r="1872" spans="2:9" x14ac:dyDescent="0.25">
      <c r="B1872"/>
      <c r="C1872"/>
      <c r="D1872"/>
      <c r="E1872"/>
      <c r="F1872"/>
      <c r="G1872"/>
      <c r="H1872"/>
      <c r="I1872"/>
    </row>
    <row r="1873" spans="2:9" x14ac:dyDescent="0.25">
      <c r="B1873"/>
      <c r="C1873"/>
      <c r="D1873"/>
      <c r="E1873"/>
      <c r="F1873"/>
      <c r="G1873"/>
      <c r="H1873"/>
      <c r="I1873"/>
    </row>
    <row r="1874" spans="2:9" x14ac:dyDescent="0.25">
      <c r="B1874"/>
      <c r="C1874"/>
      <c r="D1874"/>
      <c r="E1874"/>
      <c r="F1874"/>
      <c r="G1874"/>
      <c r="H1874"/>
      <c r="I1874"/>
    </row>
    <row r="1875" spans="2:9" x14ac:dyDescent="0.25">
      <c r="B1875"/>
      <c r="C1875"/>
      <c r="D1875"/>
      <c r="E1875"/>
      <c r="F1875"/>
      <c r="G1875"/>
      <c r="H1875"/>
      <c r="I1875"/>
    </row>
    <row r="1876" spans="2:9" x14ac:dyDescent="0.25">
      <c r="B1876"/>
      <c r="C1876"/>
      <c r="D1876"/>
      <c r="E1876"/>
      <c r="F1876"/>
      <c r="G1876"/>
      <c r="H1876"/>
      <c r="I1876"/>
    </row>
    <row r="1877" spans="2:9" x14ac:dyDescent="0.25">
      <c r="B1877"/>
      <c r="C1877"/>
      <c r="D1877"/>
      <c r="E1877"/>
      <c r="F1877"/>
      <c r="G1877"/>
      <c r="H1877"/>
      <c r="I1877"/>
    </row>
    <row r="1878" spans="2:9" x14ac:dyDescent="0.25">
      <c r="B1878"/>
      <c r="C1878"/>
      <c r="D1878"/>
      <c r="E1878"/>
      <c r="F1878"/>
      <c r="G1878"/>
      <c r="H1878"/>
      <c r="I1878"/>
    </row>
    <row r="1879" spans="2:9" x14ac:dyDescent="0.25">
      <c r="B1879"/>
      <c r="C1879"/>
      <c r="D1879"/>
      <c r="E1879"/>
      <c r="F1879"/>
      <c r="G1879"/>
      <c r="H1879"/>
      <c r="I1879"/>
    </row>
    <row r="1880" spans="2:9" x14ac:dyDescent="0.25">
      <c r="B1880"/>
      <c r="C1880"/>
      <c r="D1880"/>
      <c r="E1880"/>
      <c r="F1880"/>
      <c r="G1880"/>
      <c r="H1880"/>
      <c r="I1880"/>
    </row>
    <row r="1881" spans="2:9" x14ac:dyDescent="0.25">
      <c r="B1881"/>
      <c r="C1881"/>
      <c r="D1881"/>
      <c r="E1881"/>
      <c r="F1881"/>
      <c r="G1881"/>
      <c r="H1881"/>
      <c r="I1881"/>
    </row>
    <row r="1882" spans="2:9" x14ac:dyDescent="0.25">
      <c r="B1882"/>
      <c r="C1882"/>
      <c r="D1882"/>
      <c r="E1882"/>
      <c r="F1882"/>
      <c r="G1882"/>
      <c r="H1882"/>
      <c r="I1882"/>
    </row>
    <row r="1883" spans="2:9" x14ac:dyDescent="0.25">
      <c r="B1883"/>
      <c r="C1883"/>
      <c r="D1883"/>
      <c r="E1883"/>
      <c r="F1883"/>
      <c r="G1883"/>
      <c r="H1883"/>
      <c r="I1883"/>
    </row>
    <row r="1884" spans="2:9" x14ac:dyDescent="0.25">
      <c r="B1884"/>
      <c r="C1884"/>
      <c r="D1884"/>
      <c r="E1884"/>
      <c r="F1884"/>
      <c r="G1884"/>
      <c r="H1884"/>
      <c r="I1884"/>
    </row>
    <row r="1885" spans="2:9" x14ac:dyDescent="0.25">
      <c r="B1885"/>
      <c r="C1885"/>
      <c r="D1885"/>
      <c r="E1885"/>
      <c r="F1885"/>
      <c r="G1885"/>
      <c r="H1885"/>
      <c r="I1885"/>
    </row>
    <row r="1886" spans="2:9" x14ac:dyDescent="0.25">
      <c r="B1886"/>
      <c r="C1886"/>
      <c r="D1886"/>
      <c r="E1886"/>
      <c r="F1886"/>
      <c r="G1886"/>
      <c r="H1886"/>
      <c r="I1886"/>
    </row>
    <row r="1887" spans="2:9" x14ac:dyDescent="0.25">
      <c r="B1887"/>
      <c r="C1887"/>
      <c r="D1887"/>
      <c r="E1887"/>
      <c r="F1887"/>
      <c r="G1887"/>
      <c r="H1887"/>
      <c r="I1887"/>
    </row>
    <row r="1888" spans="2:9" x14ac:dyDescent="0.25">
      <c r="B1888"/>
      <c r="C1888"/>
      <c r="D1888"/>
      <c r="E1888"/>
      <c r="F1888"/>
      <c r="G1888"/>
      <c r="H1888"/>
      <c r="I1888"/>
    </row>
    <row r="1889" spans="2:9" x14ac:dyDescent="0.25">
      <c r="B1889"/>
      <c r="C1889"/>
      <c r="D1889"/>
      <c r="E1889"/>
      <c r="F1889"/>
      <c r="G1889"/>
      <c r="H1889"/>
      <c r="I1889"/>
    </row>
    <row r="1890" spans="2:9" x14ac:dyDescent="0.25">
      <c r="B1890"/>
      <c r="C1890"/>
      <c r="D1890"/>
      <c r="E1890"/>
      <c r="F1890"/>
      <c r="G1890"/>
      <c r="H1890"/>
      <c r="I1890"/>
    </row>
    <row r="1891" spans="2:9" x14ac:dyDescent="0.25">
      <c r="B1891"/>
      <c r="C1891"/>
      <c r="D1891"/>
      <c r="E1891"/>
      <c r="F1891"/>
      <c r="G1891"/>
      <c r="H1891"/>
      <c r="I1891"/>
    </row>
    <row r="1892" spans="2:9" x14ac:dyDescent="0.25">
      <c r="B1892"/>
      <c r="C1892"/>
      <c r="D1892"/>
      <c r="E1892"/>
      <c r="F1892"/>
      <c r="G1892"/>
      <c r="H1892"/>
      <c r="I1892"/>
    </row>
    <row r="1893" spans="2:9" x14ac:dyDescent="0.25">
      <c r="B1893"/>
      <c r="C1893"/>
      <c r="D1893"/>
      <c r="E1893"/>
      <c r="F1893"/>
      <c r="G1893"/>
      <c r="H1893"/>
      <c r="I1893"/>
    </row>
    <row r="1894" spans="2:9" x14ac:dyDescent="0.25">
      <c r="B1894"/>
      <c r="C1894"/>
      <c r="D1894"/>
      <c r="E1894"/>
      <c r="F1894"/>
      <c r="G1894"/>
      <c r="H1894"/>
      <c r="I1894"/>
    </row>
    <row r="1895" spans="2:9" x14ac:dyDescent="0.25">
      <c r="B1895"/>
      <c r="C1895"/>
      <c r="D1895"/>
      <c r="E1895"/>
      <c r="F1895"/>
      <c r="G1895"/>
      <c r="H1895"/>
      <c r="I1895"/>
    </row>
    <row r="1896" spans="2:9" x14ac:dyDescent="0.25">
      <c r="B1896"/>
      <c r="C1896"/>
      <c r="D1896"/>
      <c r="E1896"/>
      <c r="F1896"/>
      <c r="G1896"/>
      <c r="H1896"/>
      <c r="I1896"/>
    </row>
    <row r="1897" spans="2:9" x14ac:dyDescent="0.25">
      <c r="B1897"/>
      <c r="C1897"/>
      <c r="D1897"/>
      <c r="E1897"/>
      <c r="F1897"/>
      <c r="G1897"/>
      <c r="H1897"/>
      <c r="I1897"/>
    </row>
    <row r="1898" spans="2:9" x14ac:dyDescent="0.25">
      <c r="B1898"/>
      <c r="C1898"/>
      <c r="D1898"/>
      <c r="E1898"/>
      <c r="F1898"/>
      <c r="G1898"/>
      <c r="H1898"/>
      <c r="I1898"/>
    </row>
    <row r="1899" spans="2:9" x14ac:dyDescent="0.25">
      <c r="B1899"/>
      <c r="C1899"/>
      <c r="D1899"/>
      <c r="E1899"/>
      <c r="F1899"/>
      <c r="G1899"/>
      <c r="H1899"/>
      <c r="I1899"/>
    </row>
    <row r="1900" spans="2:9" x14ac:dyDescent="0.25">
      <c r="B1900"/>
      <c r="C1900"/>
      <c r="D1900"/>
      <c r="E1900"/>
      <c r="F1900"/>
      <c r="G1900"/>
      <c r="H1900"/>
      <c r="I1900"/>
    </row>
    <row r="1901" spans="2:9" x14ac:dyDescent="0.25">
      <c r="B1901"/>
      <c r="C1901"/>
      <c r="D1901"/>
      <c r="E1901"/>
      <c r="F1901"/>
      <c r="G1901"/>
      <c r="H1901"/>
      <c r="I1901"/>
    </row>
    <row r="1902" spans="2:9" x14ac:dyDescent="0.25">
      <c r="B1902"/>
      <c r="C1902"/>
      <c r="D1902"/>
      <c r="E1902"/>
      <c r="F1902"/>
      <c r="G1902"/>
      <c r="H1902"/>
      <c r="I1902"/>
    </row>
    <row r="1903" spans="2:9" x14ac:dyDescent="0.25">
      <c r="B1903"/>
      <c r="C1903"/>
      <c r="D1903"/>
      <c r="E1903"/>
      <c r="F1903"/>
      <c r="G1903"/>
      <c r="H1903"/>
      <c r="I1903"/>
    </row>
    <row r="1904" spans="2:9" x14ac:dyDescent="0.25">
      <c r="B1904"/>
      <c r="C1904"/>
      <c r="D1904"/>
      <c r="E1904"/>
      <c r="F1904"/>
      <c r="G1904"/>
      <c r="H1904"/>
      <c r="I1904"/>
    </row>
    <row r="1905" spans="2:9" x14ac:dyDescent="0.25">
      <c r="B1905"/>
      <c r="C1905"/>
      <c r="D1905"/>
      <c r="E1905"/>
      <c r="F1905"/>
      <c r="G1905"/>
      <c r="H1905"/>
      <c r="I1905"/>
    </row>
    <row r="1906" spans="2:9" x14ac:dyDescent="0.25">
      <c r="B1906"/>
      <c r="C1906"/>
      <c r="D1906"/>
      <c r="E1906"/>
      <c r="F1906"/>
      <c r="G1906"/>
      <c r="H1906"/>
      <c r="I1906"/>
    </row>
    <row r="1907" spans="2:9" x14ac:dyDescent="0.25">
      <c r="B1907"/>
      <c r="C1907"/>
      <c r="D1907"/>
      <c r="E1907"/>
      <c r="F1907"/>
      <c r="G1907"/>
      <c r="H1907"/>
      <c r="I1907"/>
    </row>
    <row r="1908" spans="2:9" x14ac:dyDescent="0.25">
      <c r="B1908"/>
      <c r="C1908"/>
      <c r="D1908"/>
      <c r="E1908"/>
      <c r="F1908"/>
      <c r="G1908"/>
      <c r="H1908"/>
      <c r="I1908"/>
    </row>
    <row r="1909" spans="2:9" x14ac:dyDescent="0.25">
      <c r="B1909"/>
      <c r="C1909"/>
      <c r="D1909"/>
      <c r="E1909"/>
      <c r="F1909"/>
      <c r="G1909"/>
      <c r="H1909"/>
      <c r="I1909"/>
    </row>
    <row r="1910" spans="2:9" x14ac:dyDescent="0.25">
      <c r="B1910"/>
      <c r="C1910"/>
      <c r="D1910"/>
      <c r="E1910"/>
      <c r="F1910"/>
      <c r="G1910"/>
      <c r="H1910"/>
      <c r="I1910"/>
    </row>
    <row r="1911" spans="2:9" x14ac:dyDescent="0.25">
      <c r="B1911"/>
      <c r="C1911"/>
      <c r="D1911"/>
      <c r="E1911"/>
      <c r="F1911"/>
      <c r="G1911"/>
      <c r="H1911"/>
      <c r="I1911"/>
    </row>
    <row r="1912" spans="2:9" x14ac:dyDescent="0.25">
      <c r="B1912"/>
      <c r="C1912"/>
      <c r="D1912"/>
      <c r="E1912"/>
      <c r="F1912"/>
      <c r="G1912"/>
      <c r="H1912"/>
      <c r="I1912"/>
    </row>
    <row r="1913" spans="2:9" x14ac:dyDescent="0.25">
      <c r="B1913"/>
      <c r="C1913"/>
      <c r="D1913"/>
      <c r="E1913"/>
      <c r="F1913"/>
      <c r="G1913"/>
      <c r="H1913"/>
      <c r="I1913"/>
    </row>
    <row r="1914" spans="2:9" x14ac:dyDescent="0.25">
      <c r="B1914"/>
      <c r="C1914"/>
      <c r="D1914"/>
      <c r="E1914"/>
      <c r="F1914"/>
      <c r="G1914"/>
      <c r="H1914"/>
      <c r="I1914"/>
    </row>
    <row r="1915" spans="2:9" x14ac:dyDescent="0.25">
      <c r="B1915"/>
      <c r="C1915"/>
      <c r="D1915"/>
      <c r="E1915"/>
      <c r="F1915"/>
      <c r="G1915"/>
      <c r="H1915"/>
      <c r="I1915"/>
    </row>
    <row r="1916" spans="2:9" x14ac:dyDescent="0.25">
      <c r="B1916"/>
      <c r="C1916"/>
      <c r="D1916"/>
      <c r="E1916"/>
      <c r="F1916"/>
      <c r="G1916"/>
      <c r="H1916"/>
      <c r="I1916"/>
    </row>
    <row r="1917" spans="2:9" x14ac:dyDescent="0.25">
      <c r="B1917"/>
      <c r="C1917"/>
      <c r="D1917"/>
      <c r="E1917"/>
      <c r="F1917"/>
      <c r="G1917"/>
      <c r="H1917"/>
      <c r="I1917"/>
    </row>
    <row r="1918" spans="2:9" x14ac:dyDescent="0.25">
      <c r="B1918"/>
      <c r="C1918"/>
      <c r="D1918"/>
      <c r="E1918"/>
      <c r="F1918"/>
      <c r="G1918"/>
      <c r="H1918"/>
      <c r="I1918"/>
    </row>
    <row r="1919" spans="2:9" x14ac:dyDescent="0.25">
      <c r="B1919"/>
      <c r="C1919"/>
      <c r="D1919"/>
      <c r="E1919"/>
      <c r="F1919"/>
      <c r="G1919"/>
      <c r="H1919"/>
      <c r="I1919"/>
    </row>
    <row r="1920" spans="2:9" x14ac:dyDescent="0.25">
      <c r="B1920"/>
      <c r="C1920"/>
      <c r="D1920"/>
      <c r="E1920"/>
      <c r="F1920"/>
      <c r="G1920"/>
      <c r="H1920"/>
      <c r="I1920"/>
    </row>
    <row r="1921" spans="2:9" x14ac:dyDescent="0.25">
      <c r="B1921"/>
      <c r="C1921"/>
      <c r="D1921"/>
      <c r="E1921"/>
      <c r="F1921"/>
      <c r="G1921"/>
      <c r="H1921"/>
      <c r="I1921"/>
    </row>
    <row r="1922" spans="2:9" x14ac:dyDescent="0.25">
      <c r="B1922"/>
      <c r="C1922"/>
      <c r="D1922"/>
      <c r="E1922"/>
      <c r="F1922"/>
      <c r="G1922"/>
      <c r="H1922"/>
      <c r="I1922"/>
    </row>
    <row r="1923" spans="2:9" x14ac:dyDescent="0.25">
      <c r="B1923"/>
      <c r="C1923"/>
      <c r="D1923"/>
      <c r="E1923"/>
      <c r="F1923"/>
      <c r="G1923"/>
      <c r="H1923"/>
      <c r="I1923"/>
    </row>
    <row r="1924" spans="2:9" x14ac:dyDescent="0.25">
      <c r="B1924"/>
      <c r="C1924"/>
      <c r="D1924"/>
      <c r="E1924"/>
      <c r="F1924"/>
      <c r="G1924"/>
      <c r="H1924"/>
      <c r="I1924"/>
    </row>
    <row r="1925" spans="2:9" x14ac:dyDescent="0.25">
      <c r="B1925"/>
      <c r="C1925"/>
      <c r="D1925"/>
      <c r="E1925"/>
      <c r="F1925"/>
      <c r="G1925"/>
      <c r="H1925"/>
      <c r="I1925"/>
    </row>
    <row r="1926" spans="2:9" x14ac:dyDescent="0.25">
      <c r="B1926"/>
      <c r="C1926"/>
      <c r="D1926"/>
      <c r="E1926"/>
      <c r="F1926"/>
      <c r="G1926"/>
      <c r="H1926"/>
      <c r="I1926"/>
    </row>
    <row r="1927" spans="2:9" x14ac:dyDescent="0.25">
      <c r="B1927"/>
      <c r="C1927"/>
      <c r="D1927"/>
      <c r="E1927"/>
      <c r="F1927"/>
      <c r="G1927"/>
      <c r="H1927"/>
      <c r="I1927"/>
    </row>
    <row r="1928" spans="2:9" x14ac:dyDescent="0.25">
      <c r="B1928"/>
      <c r="C1928"/>
      <c r="D1928"/>
      <c r="E1928"/>
      <c r="F1928"/>
      <c r="G1928"/>
      <c r="H1928"/>
      <c r="I1928"/>
    </row>
    <row r="1929" spans="2:9" x14ac:dyDescent="0.25">
      <c r="B1929"/>
      <c r="C1929"/>
      <c r="D1929"/>
      <c r="E1929"/>
      <c r="F1929"/>
      <c r="G1929"/>
      <c r="H1929"/>
      <c r="I1929"/>
    </row>
    <row r="1930" spans="2:9" x14ac:dyDescent="0.25">
      <c r="B1930"/>
      <c r="C1930"/>
      <c r="D1930"/>
      <c r="E1930"/>
      <c r="F1930"/>
      <c r="G1930"/>
      <c r="H1930"/>
      <c r="I1930"/>
    </row>
    <row r="1931" spans="2:9" x14ac:dyDescent="0.25">
      <c r="B1931"/>
      <c r="C1931"/>
      <c r="D1931"/>
      <c r="E1931"/>
      <c r="F1931"/>
      <c r="G1931"/>
      <c r="H1931"/>
      <c r="I1931"/>
    </row>
    <row r="1932" spans="2:9" x14ac:dyDescent="0.25">
      <c r="B1932"/>
      <c r="C1932"/>
      <c r="D1932"/>
      <c r="E1932"/>
      <c r="F1932"/>
      <c r="G1932"/>
      <c r="H1932"/>
      <c r="I1932"/>
    </row>
    <row r="1933" spans="2:9" x14ac:dyDescent="0.25">
      <c r="B1933"/>
      <c r="C1933"/>
      <c r="D1933"/>
      <c r="E1933"/>
      <c r="F1933"/>
      <c r="G1933"/>
      <c r="H1933"/>
      <c r="I1933"/>
    </row>
    <row r="1934" spans="2:9" x14ac:dyDescent="0.25">
      <c r="B1934"/>
      <c r="C1934"/>
      <c r="D1934"/>
      <c r="E1934"/>
      <c r="F1934"/>
      <c r="G1934"/>
      <c r="H1934"/>
      <c r="I1934"/>
    </row>
    <row r="1935" spans="2:9" x14ac:dyDescent="0.25">
      <c r="B1935"/>
      <c r="C1935"/>
      <c r="D1935"/>
      <c r="E1935"/>
      <c r="F1935"/>
      <c r="G1935"/>
      <c r="H1935"/>
      <c r="I1935"/>
    </row>
    <row r="1936" spans="2:9" x14ac:dyDescent="0.25">
      <c r="B1936"/>
      <c r="C1936"/>
      <c r="D1936"/>
      <c r="E1936"/>
      <c r="F1936"/>
      <c r="G1936"/>
      <c r="H1936"/>
      <c r="I1936"/>
    </row>
    <row r="1937" spans="2:9" x14ac:dyDescent="0.25">
      <c r="B1937"/>
      <c r="C1937"/>
      <c r="D1937"/>
      <c r="E1937"/>
      <c r="F1937"/>
      <c r="G1937"/>
      <c r="H1937"/>
      <c r="I1937"/>
    </row>
    <row r="1938" spans="2:9" x14ac:dyDescent="0.25">
      <c r="B1938"/>
      <c r="C1938"/>
      <c r="D1938"/>
      <c r="E1938"/>
      <c r="F1938"/>
      <c r="G1938"/>
      <c r="H1938"/>
      <c r="I1938"/>
    </row>
    <row r="1939" spans="2:9" x14ac:dyDescent="0.25">
      <c r="B1939"/>
      <c r="C1939"/>
      <c r="D1939"/>
      <c r="E1939"/>
      <c r="F1939"/>
      <c r="G1939"/>
      <c r="H1939"/>
      <c r="I1939"/>
    </row>
    <row r="1940" spans="2:9" x14ac:dyDescent="0.25">
      <c r="B1940"/>
      <c r="C1940"/>
      <c r="D1940"/>
      <c r="E1940"/>
      <c r="F1940"/>
      <c r="G1940"/>
      <c r="H1940"/>
      <c r="I1940"/>
    </row>
    <row r="1941" spans="2:9" x14ac:dyDescent="0.25">
      <c r="B1941"/>
      <c r="C1941"/>
      <c r="D1941"/>
      <c r="E1941"/>
      <c r="F1941"/>
      <c r="G1941"/>
      <c r="H1941"/>
      <c r="I1941"/>
    </row>
    <row r="1942" spans="2:9" x14ac:dyDescent="0.25">
      <c r="B1942"/>
      <c r="C1942"/>
      <c r="D1942"/>
      <c r="E1942"/>
      <c r="F1942"/>
      <c r="G1942"/>
      <c r="H1942"/>
      <c r="I1942"/>
    </row>
    <row r="1943" spans="2:9" x14ac:dyDescent="0.25">
      <c r="B1943"/>
      <c r="C1943"/>
      <c r="D1943"/>
      <c r="E1943"/>
      <c r="F1943"/>
      <c r="G1943"/>
      <c r="H1943"/>
      <c r="I1943"/>
    </row>
    <row r="1944" spans="2:9" x14ac:dyDescent="0.25">
      <c r="B1944"/>
      <c r="C1944"/>
      <c r="D1944"/>
      <c r="E1944"/>
      <c r="F1944"/>
      <c r="G1944"/>
      <c r="H1944"/>
      <c r="I1944"/>
    </row>
    <row r="1945" spans="2:9" x14ac:dyDescent="0.25">
      <c r="B1945"/>
      <c r="C1945"/>
      <c r="D1945"/>
      <c r="E1945"/>
      <c r="F1945"/>
      <c r="G1945"/>
      <c r="H1945"/>
      <c r="I1945"/>
    </row>
    <row r="1946" spans="2:9" x14ac:dyDescent="0.25">
      <c r="B1946"/>
      <c r="C1946"/>
      <c r="D1946"/>
      <c r="E1946"/>
      <c r="F1946"/>
      <c r="G1946"/>
      <c r="H1946"/>
      <c r="I1946"/>
    </row>
    <row r="1947" spans="2:9" x14ac:dyDescent="0.25">
      <c r="B1947"/>
      <c r="C1947"/>
      <c r="D1947"/>
      <c r="E1947"/>
      <c r="F1947"/>
      <c r="G1947"/>
      <c r="H1947"/>
      <c r="I1947"/>
    </row>
    <row r="1948" spans="2:9" x14ac:dyDescent="0.25">
      <c r="B1948"/>
      <c r="C1948"/>
      <c r="D1948"/>
      <c r="E1948"/>
      <c r="F1948"/>
      <c r="G1948"/>
      <c r="H1948"/>
      <c r="I1948"/>
    </row>
    <row r="1949" spans="2:9" x14ac:dyDescent="0.25">
      <c r="B1949"/>
      <c r="C1949"/>
      <c r="D1949"/>
      <c r="E1949"/>
      <c r="F1949"/>
      <c r="G1949"/>
      <c r="H1949"/>
      <c r="I1949"/>
    </row>
    <row r="1950" spans="2:9" x14ac:dyDescent="0.25">
      <c r="B1950"/>
      <c r="C1950"/>
      <c r="D1950"/>
      <c r="E1950"/>
      <c r="F1950"/>
      <c r="G1950"/>
      <c r="H1950"/>
      <c r="I1950"/>
    </row>
    <row r="1951" spans="2:9" x14ac:dyDescent="0.25">
      <c r="B1951"/>
      <c r="C1951"/>
      <c r="D1951"/>
      <c r="E1951"/>
      <c r="F1951"/>
      <c r="G1951"/>
      <c r="H1951"/>
      <c r="I1951"/>
    </row>
    <row r="1952" spans="2:9" x14ac:dyDescent="0.25">
      <c r="B1952"/>
      <c r="C1952"/>
      <c r="D1952"/>
      <c r="E1952"/>
      <c r="F1952"/>
      <c r="G1952"/>
      <c r="H1952"/>
      <c r="I1952"/>
    </row>
    <row r="1953" spans="2:9" x14ac:dyDescent="0.25">
      <c r="B1953"/>
      <c r="C1953"/>
      <c r="D1953"/>
      <c r="E1953"/>
      <c r="F1953"/>
      <c r="G1953"/>
      <c r="H1953"/>
      <c r="I1953"/>
    </row>
    <row r="1954" spans="2:9" x14ac:dyDescent="0.25">
      <c r="B1954"/>
      <c r="C1954"/>
      <c r="D1954"/>
      <c r="E1954"/>
      <c r="F1954"/>
      <c r="G1954"/>
      <c r="H1954"/>
      <c r="I1954"/>
    </row>
    <row r="1955" spans="2:9" x14ac:dyDescent="0.25">
      <c r="B1955"/>
      <c r="C1955"/>
      <c r="D1955"/>
      <c r="E1955"/>
      <c r="F1955"/>
      <c r="G1955"/>
      <c r="H1955"/>
      <c r="I1955"/>
    </row>
    <row r="1956" spans="2:9" x14ac:dyDescent="0.25">
      <c r="B1956"/>
      <c r="C1956"/>
      <c r="D1956"/>
      <c r="E1956"/>
      <c r="F1956"/>
      <c r="G1956"/>
      <c r="H1956"/>
      <c r="I1956"/>
    </row>
    <row r="1957" spans="2:9" x14ac:dyDescent="0.25">
      <c r="B1957"/>
      <c r="C1957"/>
      <c r="D1957"/>
      <c r="E1957"/>
      <c r="F1957"/>
      <c r="G1957"/>
      <c r="H1957"/>
      <c r="I1957"/>
    </row>
    <row r="1958" spans="2:9" x14ac:dyDescent="0.25">
      <c r="B1958"/>
      <c r="C1958"/>
      <c r="D1958"/>
      <c r="E1958"/>
      <c r="F1958"/>
      <c r="G1958"/>
      <c r="H1958"/>
      <c r="I1958"/>
    </row>
    <row r="1959" spans="2:9" x14ac:dyDescent="0.25">
      <c r="B1959"/>
      <c r="C1959"/>
      <c r="D1959"/>
      <c r="E1959"/>
      <c r="F1959"/>
      <c r="G1959"/>
      <c r="H1959"/>
      <c r="I1959"/>
    </row>
    <row r="1960" spans="2:9" x14ac:dyDescent="0.25">
      <c r="B1960"/>
      <c r="C1960"/>
      <c r="D1960"/>
      <c r="E1960"/>
      <c r="F1960"/>
      <c r="G1960"/>
      <c r="H1960"/>
      <c r="I1960"/>
    </row>
    <row r="1961" spans="2:9" x14ac:dyDescent="0.25">
      <c r="B1961"/>
      <c r="C1961"/>
      <c r="D1961"/>
      <c r="E1961"/>
      <c r="F1961"/>
      <c r="G1961"/>
      <c r="H1961"/>
      <c r="I1961"/>
    </row>
    <row r="1962" spans="2:9" x14ac:dyDescent="0.25">
      <c r="B1962"/>
      <c r="C1962"/>
      <c r="D1962"/>
      <c r="E1962"/>
      <c r="F1962"/>
      <c r="G1962"/>
      <c r="H1962"/>
      <c r="I1962"/>
    </row>
    <row r="1963" spans="2:9" x14ac:dyDescent="0.25">
      <c r="B1963"/>
      <c r="C1963"/>
      <c r="D1963"/>
      <c r="E1963"/>
      <c r="F1963"/>
      <c r="G1963"/>
      <c r="H1963"/>
      <c r="I1963"/>
    </row>
    <row r="1964" spans="2:9" x14ac:dyDescent="0.25">
      <c r="B1964"/>
      <c r="C1964"/>
      <c r="D1964"/>
      <c r="E1964"/>
      <c r="F1964"/>
      <c r="G1964"/>
      <c r="H1964"/>
      <c r="I1964"/>
    </row>
    <row r="1965" spans="2:9" x14ac:dyDescent="0.25">
      <c r="B1965"/>
      <c r="C1965"/>
      <c r="D1965"/>
      <c r="E1965"/>
      <c r="F1965"/>
      <c r="G1965"/>
      <c r="H1965"/>
      <c r="I1965"/>
    </row>
    <row r="1966" spans="2:9" x14ac:dyDescent="0.25">
      <c r="B1966"/>
      <c r="C1966"/>
      <c r="D1966"/>
      <c r="E1966"/>
      <c r="F1966"/>
      <c r="G1966"/>
      <c r="H1966"/>
      <c r="I1966"/>
    </row>
    <row r="1967" spans="2:9" x14ac:dyDescent="0.25">
      <c r="B1967"/>
      <c r="C1967"/>
      <c r="D1967"/>
      <c r="E1967"/>
      <c r="F1967"/>
      <c r="G1967"/>
      <c r="H1967"/>
      <c r="I1967"/>
    </row>
    <row r="1968" spans="2:9" x14ac:dyDescent="0.25">
      <c r="B1968"/>
      <c r="C1968"/>
      <c r="D1968"/>
      <c r="E1968"/>
      <c r="F1968"/>
      <c r="G1968"/>
      <c r="H1968"/>
      <c r="I1968"/>
    </row>
    <row r="1969" spans="2:9" x14ac:dyDescent="0.25">
      <c r="B1969"/>
      <c r="C1969"/>
      <c r="D1969"/>
      <c r="E1969"/>
      <c r="F1969"/>
      <c r="G1969"/>
      <c r="H1969"/>
      <c r="I1969"/>
    </row>
    <row r="1970" spans="2:9" x14ac:dyDescent="0.25">
      <c r="B1970"/>
      <c r="C1970"/>
      <c r="D1970"/>
      <c r="E1970"/>
      <c r="F1970"/>
      <c r="G1970"/>
      <c r="H1970"/>
      <c r="I1970"/>
    </row>
    <row r="1971" spans="2:9" x14ac:dyDescent="0.25">
      <c r="B1971"/>
      <c r="C1971"/>
      <c r="D1971"/>
      <c r="E1971"/>
      <c r="F1971"/>
      <c r="G1971"/>
      <c r="H1971"/>
      <c r="I1971"/>
    </row>
    <row r="1972" spans="2:9" x14ac:dyDescent="0.25">
      <c r="B1972"/>
      <c r="C1972"/>
      <c r="D1972"/>
      <c r="E1972"/>
      <c r="F1972"/>
      <c r="G1972"/>
      <c r="H1972"/>
      <c r="I1972"/>
    </row>
    <row r="1973" spans="2:9" x14ac:dyDescent="0.25">
      <c r="B1973"/>
      <c r="C1973"/>
      <c r="D1973"/>
      <c r="E1973"/>
      <c r="F1973"/>
      <c r="G1973"/>
      <c r="H1973"/>
      <c r="I1973"/>
    </row>
    <row r="1974" spans="2:9" x14ac:dyDescent="0.25">
      <c r="B1974"/>
      <c r="C1974"/>
      <c r="D1974"/>
      <c r="E1974"/>
      <c r="F1974"/>
      <c r="G1974"/>
      <c r="H1974"/>
      <c r="I1974"/>
    </row>
    <row r="1975" spans="2:9" x14ac:dyDescent="0.25">
      <c r="B1975"/>
      <c r="C1975"/>
      <c r="D1975"/>
      <c r="E1975"/>
      <c r="F1975"/>
      <c r="G1975"/>
      <c r="H1975"/>
      <c r="I1975"/>
    </row>
    <row r="1976" spans="2:9" x14ac:dyDescent="0.25">
      <c r="B1976"/>
      <c r="C1976"/>
      <c r="D1976"/>
      <c r="E1976"/>
      <c r="F1976"/>
      <c r="G1976"/>
      <c r="H1976"/>
      <c r="I1976"/>
    </row>
    <row r="1977" spans="2:9" x14ac:dyDescent="0.25">
      <c r="B1977"/>
      <c r="C1977"/>
      <c r="D1977"/>
      <c r="E1977"/>
      <c r="F1977"/>
      <c r="G1977"/>
      <c r="H1977"/>
      <c r="I1977"/>
    </row>
    <row r="1978" spans="2:9" x14ac:dyDescent="0.25">
      <c r="B1978"/>
      <c r="C1978"/>
      <c r="D1978"/>
      <c r="E1978"/>
      <c r="F1978"/>
      <c r="G1978"/>
      <c r="H1978"/>
      <c r="I1978"/>
    </row>
    <row r="1979" spans="2:9" x14ac:dyDescent="0.25">
      <c r="B1979"/>
      <c r="C1979"/>
      <c r="D1979"/>
      <c r="E1979"/>
      <c r="F1979"/>
      <c r="G1979"/>
      <c r="H1979"/>
      <c r="I1979"/>
    </row>
    <row r="1980" spans="2:9" x14ac:dyDescent="0.25">
      <c r="B1980"/>
      <c r="C1980"/>
      <c r="D1980"/>
      <c r="E1980"/>
      <c r="F1980"/>
      <c r="G1980"/>
      <c r="H1980"/>
      <c r="I1980"/>
    </row>
    <row r="1981" spans="2:9" x14ac:dyDescent="0.25">
      <c r="B1981"/>
      <c r="C1981"/>
      <c r="D1981"/>
      <c r="E1981"/>
      <c r="F1981"/>
      <c r="G1981"/>
      <c r="H1981"/>
      <c r="I1981"/>
    </row>
    <row r="1982" spans="2:9" x14ac:dyDescent="0.25">
      <c r="B1982"/>
      <c r="C1982"/>
      <c r="D1982"/>
      <c r="E1982"/>
      <c r="F1982"/>
      <c r="G1982"/>
      <c r="H1982"/>
      <c r="I1982"/>
    </row>
    <row r="1983" spans="2:9" x14ac:dyDescent="0.25">
      <c r="B1983"/>
      <c r="C1983"/>
      <c r="D1983"/>
      <c r="E1983"/>
      <c r="F1983"/>
      <c r="G1983"/>
      <c r="H1983"/>
      <c r="I1983"/>
    </row>
    <row r="1984" spans="2:9" x14ac:dyDescent="0.25">
      <c r="B1984"/>
      <c r="C1984"/>
      <c r="D1984"/>
      <c r="E1984"/>
      <c r="F1984"/>
      <c r="G1984"/>
      <c r="H1984"/>
      <c r="I1984"/>
    </row>
    <row r="1985" spans="2:9" x14ac:dyDescent="0.25">
      <c r="B1985"/>
      <c r="C1985"/>
      <c r="D1985"/>
      <c r="E1985"/>
      <c r="F1985"/>
      <c r="G1985"/>
      <c r="H1985"/>
      <c r="I1985"/>
    </row>
    <row r="1986" spans="2:9" x14ac:dyDescent="0.25">
      <c r="B1986"/>
      <c r="C1986"/>
      <c r="D1986"/>
      <c r="E1986"/>
      <c r="F1986"/>
      <c r="G1986"/>
      <c r="H1986"/>
      <c r="I1986"/>
    </row>
    <row r="1987" spans="2:9" x14ac:dyDescent="0.25">
      <c r="B1987"/>
      <c r="C1987"/>
      <c r="D1987"/>
      <c r="E1987"/>
      <c r="F1987"/>
      <c r="G1987"/>
      <c r="H1987"/>
      <c r="I1987"/>
    </row>
    <row r="1988" spans="2:9" x14ac:dyDescent="0.25">
      <c r="B1988"/>
      <c r="C1988"/>
      <c r="D1988"/>
      <c r="E1988"/>
      <c r="F1988"/>
      <c r="G1988"/>
      <c r="H1988"/>
      <c r="I1988"/>
    </row>
    <row r="1989" spans="2:9" x14ac:dyDescent="0.25">
      <c r="B1989"/>
      <c r="C1989"/>
      <c r="D1989"/>
      <c r="E1989"/>
      <c r="F1989"/>
      <c r="G1989"/>
      <c r="H1989"/>
      <c r="I1989"/>
    </row>
    <row r="1990" spans="2:9" x14ac:dyDescent="0.25">
      <c r="B1990"/>
      <c r="C1990"/>
      <c r="D1990"/>
      <c r="E1990"/>
      <c r="F1990"/>
      <c r="G1990"/>
      <c r="H1990"/>
      <c r="I1990"/>
    </row>
    <row r="1991" spans="2:9" x14ac:dyDescent="0.25">
      <c r="B1991"/>
      <c r="C1991"/>
      <c r="D1991"/>
      <c r="E1991"/>
      <c r="F1991"/>
      <c r="G1991"/>
      <c r="H1991"/>
      <c r="I1991"/>
    </row>
    <row r="1992" spans="2:9" x14ac:dyDescent="0.25">
      <c r="B1992"/>
      <c r="C1992"/>
      <c r="D1992"/>
      <c r="E1992"/>
      <c r="F1992"/>
      <c r="G1992"/>
      <c r="H1992"/>
      <c r="I1992"/>
    </row>
    <row r="1993" spans="2:9" x14ac:dyDescent="0.25">
      <c r="B1993"/>
      <c r="C1993"/>
      <c r="D1993"/>
      <c r="E1993"/>
      <c r="F1993"/>
      <c r="G1993"/>
      <c r="H1993"/>
      <c r="I1993"/>
    </row>
    <row r="1994" spans="2:9" x14ac:dyDescent="0.25">
      <c r="B1994"/>
      <c r="C1994"/>
      <c r="D1994"/>
      <c r="E1994"/>
      <c r="F1994"/>
      <c r="G1994"/>
      <c r="H1994"/>
      <c r="I1994"/>
    </row>
    <row r="1995" spans="2:9" x14ac:dyDescent="0.25">
      <c r="B1995"/>
      <c r="C1995"/>
      <c r="D1995"/>
      <c r="E1995"/>
      <c r="F1995"/>
      <c r="G1995"/>
      <c r="H1995"/>
      <c r="I1995"/>
    </row>
    <row r="1996" spans="2:9" x14ac:dyDescent="0.25">
      <c r="B1996"/>
      <c r="C1996"/>
      <c r="D1996"/>
      <c r="E1996"/>
      <c r="F1996"/>
      <c r="G1996"/>
      <c r="H1996"/>
      <c r="I1996"/>
    </row>
    <row r="1997" spans="2:9" x14ac:dyDescent="0.25">
      <c r="B1997"/>
      <c r="C1997"/>
      <c r="D1997"/>
      <c r="E1997"/>
      <c r="F1997"/>
      <c r="G1997"/>
      <c r="H1997"/>
      <c r="I1997"/>
    </row>
    <row r="1998" spans="2:9" x14ac:dyDescent="0.25">
      <c r="B1998"/>
      <c r="C1998"/>
      <c r="D1998"/>
      <c r="E1998"/>
      <c r="F1998"/>
      <c r="G1998"/>
      <c r="H1998"/>
      <c r="I1998"/>
    </row>
    <row r="1999" spans="2:9" x14ac:dyDescent="0.25">
      <c r="B1999"/>
      <c r="C1999"/>
      <c r="D1999"/>
      <c r="E1999"/>
      <c r="F1999"/>
      <c r="G1999"/>
      <c r="H1999"/>
      <c r="I1999"/>
    </row>
    <row r="2000" spans="2:9" x14ac:dyDescent="0.25">
      <c r="B2000"/>
      <c r="C2000"/>
      <c r="D2000"/>
      <c r="E2000"/>
      <c r="F2000"/>
      <c r="G2000"/>
      <c r="H2000"/>
      <c r="I2000"/>
    </row>
    <row r="2001" spans="2:9" x14ac:dyDescent="0.25">
      <c r="B2001"/>
      <c r="C2001"/>
      <c r="D2001"/>
      <c r="E2001"/>
      <c r="F2001"/>
      <c r="G2001"/>
      <c r="H2001"/>
      <c r="I2001"/>
    </row>
    <row r="2002" spans="2:9" x14ac:dyDescent="0.25">
      <c r="B2002"/>
      <c r="C2002"/>
      <c r="D2002"/>
      <c r="E2002"/>
      <c r="F2002"/>
      <c r="G2002"/>
      <c r="H2002"/>
      <c r="I2002"/>
    </row>
    <row r="2003" spans="2:9" x14ac:dyDescent="0.25">
      <c r="B2003"/>
      <c r="C2003"/>
      <c r="D2003"/>
      <c r="E2003"/>
      <c r="F2003"/>
      <c r="G2003"/>
      <c r="H2003"/>
      <c r="I2003"/>
    </row>
    <row r="2004" spans="2:9" x14ac:dyDescent="0.25">
      <c r="B2004"/>
      <c r="C2004"/>
      <c r="D2004"/>
      <c r="E2004"/>
      <c r="F2004"/>
      <c r="G2004"/>
      <c r="H2004"/>
      <c r="I2004"/>
    </row>
    <row r="2005" spans="2:9" x14ac:dyDescent="0.25">
      <c r="B2005"/>
      <c r="C2005"/>
      <c r="D2005"/>
      <c r="E2005"/>
      <c r="F2005"/>
      <c r="G2005"/>
      <c r="H2005"/>
      <c r="I2005"/>
    </row>
    <row r="2006" spans="2:9" x14ac:dyDescent="0.25">
      <c r="B2006"/>
      <c r="C2006"/>
      <c r="D2006"/>
      <c r="E2006"/>
      <c r="F2006"/>
      <c r="G2006"/>
      <c r="H2006"/>
      <c r="I2006"/>
    </row>
    <row r="2007" spans="2:9" x14ac:dyDescent="0.25">
      <c r="B2007"/>
      <c r="C2007"/>
      <c r="D2007"/>
      <c r="E2007"/>
      <c r="F2007"/>
      <c r="G2007"/>
      <c r="H2007"/>
      <c r="I2007"/>
    </row>
    <row r="2008" spans="2:9" x14ac:dyDescent="0.25">
      <c r="B2008"/>
      <c r="C2008"/>
      <c r="D2008"/>
      <c r="E2008"/>
      <c r="F2008"/>
      <c r="G2008"/>
      <c r="H2008"/>
      <c r="I2008"/>
    </row>
    <row r="2009" spans="2:9" x14ac:dyDescent="0.25">
      <c r="B2009"/>
      <c r="C2009"/>
      <c r="D2009"/>
      <c r="E2009"/>
      <c r="F2009"/>
      <c r="G2009"/>
      <c r="H2009"/>
      <c r="I2009"/>
    </row>
    <row r="2010" spans="2:9" x14ac:dyDescent="0.25">
      <c r="B2010"/>
      <c r="C2010"/>
      <c r="D2010"/>
      <c r="E2010"/>
      <c r="F2010"/>
      <c r="G2010"/>
      <c r="H2010"/>
      <c r="I2010"/>
    </row>
    <row r="2011" spans="2:9" x14ac:dyDescent="0.25">
      <c r="B2011"/>
      <c r="C2011"/>
      <c r="D2011"/>
      <c r="E2011"/>
      <c r="F2011"/>
      <c r="G2011"/>
      <c r="H2011"/>
      <c r="I2011"/>
    </row>
    <row r="2012" spans="2:9" x14ac:dyDescent="0.25">
      <c r="B2012"/>
      <c r="C2012"/>
      <c r="D2012"/>
      <c r="E2012"/>
      <c r="F2012"/>
      <c r="G2012"/>
      <c r="H2012"/>
      <c r="I2012"/>
    </row>
    <row r="2013" spans="2:9" x14ac:dyDescent="0.25">
      <c r="B2013"/>
      <c r="C2013"/>
      <c r="D2013"/>
      <c r="E2013"/>
      <c r="F2013"/>
      <c r="G2013"/>
      <c r="H2013"/>
      <c r="I2013"/>
    </row>
    <row r="2014" spans="2:9" x14ac:dyDescent="0.25">
      <c r="B2014"/>
      <c r="C2014"/>
      <c r="D2014"/>
      <c r="E2014"/>
      <c r="F2014"/>
      <c r="G2014"/>
      <c r="H2014"/>
      <c r="I2014"/>
    </row>
    <row r="2015" spans="2:9" x14ac:dyDescent="0.25">
      <c r="B2015"/>
      <c r="C2015"/>
      <c r="D2015"/>
      <c r="E2015"/>
      <c r="F2015"/>
      <c r="G2015"/>
      <c r="H2015"/>
      <c r="I2015"/>
    </row>
    <row r="2016" spans="2:9" x14ac:dyDescent="0.25">
      <c r="B2016"/>
      <c r="C2016"/>
      <c r="D2016"/>
      <c r="E2016"/>
      <c r="F2016"/>
      <c r="G2016"/>
      <c r="H2016"/>
      <c r="I2016"/>
    </row>
    <row r="2017" spans="2:9" x14ac:dyDescent="0.25">
      <c r="B2017"/>
      <c r="C2017"/>
      <c r="D2017"/>
      <c r="E2017"/>
      <c r="F2017"/>
      <c r="G2017"/>
      <c r="H2017"/>
      <c r="I2017"/>
    </row>
    <row r="2018" spans="2:9" x14ac:dyDescent="0.25">
      <c r="B2018"/>
      <c r="C2018"/>
      <c r="D2018"/>
      <c r="E2018"/>
      <c r="F2018"/>
      <c r="G2018"/>
      <c r="H2018"/>
      <c r="I2018"/>
    </row>
    <row r="2019" spans="2:9" x14ac:dyDescent="0.25">
      <c r="B2019"/>
      <c r="C2019"/>
      <c r="D2019"/>
      <c r="E2019"/>
      <c r="F2019"/>
      <c r="G2019"/>
      <c r="H2019"/>
      <c r="I2019"/>
    </row>
    <row r="2020" spans="2:9" x14ac:dyDescent="0.25">
      <c r="B2020"/>
      <c r="C2020"/>
      <c r="D2020"/>
      <c r="E2020"/>
      <c r="F2020"/>
      <c r="G2020"/>
      <c r="H2020"/>
      <c r="I2020"/>
    </row>
    <row r="2021" spans="2:9" x14ac:dyDescent="0.25">
      <c r="B2021"/>
      <c r="C2021"/>
      <c r="D2021"/>
      <c r="E2021"/>
      <c r="F2021"/>
      <c r="G2021"/>
      <c r="H2021"/>
      <c r="I2021"/>
    </row>
    <row r="2022" spans="2:9" x14ac:dyDescent="0.25">
      <c r="B2022"/>
      <c r="C2022"/>
      <c r="D2022"/>
      <c r="E2022"/>
      <c r="F2022"/>
      <c r="G2022"/>
      <c r="H2022"/>
      <c r="I2022"/>
    </row>
    <row r="2023" spans="2:9" x14ac:dyDescent="0.25">
      <c r="B2023"/>
      <c r="C2023"/>
      <c r="D2023"/>
      <c r="E2023"/>
      <c r="F2023"/>
      <c r="G2023"/>
      <c r="H2023"/>
      <c r="I2023"/>
    </row>
    <row r="2024" spans="2:9" x14ac:dyDescent="0.25">
      <c r="B2024"/>
      <c r="C2024"/>
      <c r="D2024"/>
      <c r="E2024"/>
      <c r="F2024"/>
      <c r="G2024"/>
      <c r="H2024"/>
      <c r="I2024"/>
    </row>
    <row r="2025" spans="2:9" x14ac:dyDescent="0.25">
      <c r="B2025"/>
      <c r="C2025"/>
      <c r="D2025"/>
      <c r="E2025"/>
      <c r="F2025"/>
      <c r="G2025"/>
      <c r="H2025"/>
      <c r="I2025"/>
    </row>
    <row r="2026" spans="2:9" x14ac:dyDescent="0.25">
      <c r="B2026"/>
      <c r="C2026"/>
      <c r="D2026"/>
      <c r="E2026"/>
      <c r="F2026"/>
      <c r="G2026"/>
      <c r="H2026"/>
      <c r="I2026"/>
    </row>
    <row r="2027" spans="2:9" x14ac:dyDescent="0.25">
      <c r="B2027"/>
      <c r="C2027"/>
      <c r="D2027"/>
      <c r="E2027"/>
      <c r="F2027"/>
      <c r="G2027"/>
      <c r="H2027"/>
      <c r="I2027"/>
    </row>
    <row r="2028" spans="2:9" x14ac:dyDescent="0.25">
      <c r="B2028"/>
      <c r="C2028"/>
      <c r="D2028"/>
      <c r="E2028"/>
      <c r="F2028"/>
      <c r="G2028"/>
      <c r="H2028"/>
      <c r="I2028"/>
    </row>
    <row r="2029" spans="2:9" x14ac:dyDescent="0.25">
      <c r="B2029"/>
      <c r="C2029"/>
      <c r="D2029"/>
      <c r="E2029"/>
      <c r="F2029"/>
      <c r="G2029"/>
      <c r="H2029"/>
      <c r="I2029"/>
    </row>
    <row r="2030" spans="2:9" x14ac:dyDescent="0.25">
      <c r="B2030"/>
      <c r="C2030"/>
      <c r="D2030"/>
      <c r="E2030"/>
      <c r="F2030"/>
      <c r="G2030"/>
      <c r="H2030"/>
      <c r="I2030"/>
    </row>
    <row r="2031" spans="2:9" x14ac:dyDescent="0.25">
      <c r="B2031"/>
      <c r="C2031"/>
      <c r="D2031"/>
      <c r="E2031"/>
      <c r="F2031"/>
      <c r="G2031"/>
      <c r="H2031"/>
      <c r="I2031"/>
    </row>
    <row r="2032" spans="2:9" x14ac:dyDescent="0.25">
      <c r="B2032"/>
      <c r="C2032"/>
      <c r="D2032"/>
      <c r="E2032"/>
      <c r="F2032"/>
      <c r="G2032"/>
      <c r="H2032"/>
      <c r="I2032"/>
    </row>
    <row r="2033" spans="2:9" x14ac:dyDescent="0.25">
      <c r="B2033"/>
      <c r="C2033"/>
      <c r="D2033"/>
      <c r="E2033"/>
      <c r="F2033"/>
      <c r="G2033"/>
      <c r="H2033"/>
      <c r="I2033"/>
    </row>
    <row r="2034" spans="2:9" x14ac:dyDescent="0.25">
      <c r="B2034"/>
      <c r="C2034"/>
      <c r="D2034"/>
      <c r="E2034"/>
      <c r="F2034"/>
      <c r="G2034"/>
      <c r="H2034"/>
      <c r="I2034"/>
    </row>
    <row r="2035" spans="2:9" x14ac:dyDescent="0.25">
      <c r="B2035"/>
      <c r="C2035"/>
      <c r="D2035"/>
      <c r="E2035"/>
      <c r="F2035"/>
      <c r="G2035"/>
      <c r="H2035"/>
      <c r="I2035"/>
    </row>
    <row r="2036" spans="2:9" x14ac:dyDescent="0.25">
      <c r="B2036"/>
      <c r="C2036"/>
      <c r="D2036"/>
      <c r="E2036"/>
      <c r="F2036"/>
      <c r="G2036"/>
      <c r="H2036"/>
      <c r="I2036"/>
    </row>
    <row r="2037" spans="2:9" x14ac:dyDescent="0.25">
      <c r="B2037"/>
      <c r="C2037"/>
      <c r="D2037"/>
      <c r="E2037"/>
      <c r="F2037"/>
      <c r="G2037"/>
      <c r="H2037"/>
      <c r="I2037"/>
    </row>
    <row r="2038" spans="2:9" x14ac:dyDescent="0.25">
      <c r="B2038"/>
      <c r="C2038"/>
      <c r="D2038"/>
      <c r="E2038"/>
      <c r="F2038"/>
      <c r="G2038"/>
      <c r="H2038"/>
      <c r="I2038"/>
    </row>
    <row r="2039" spans="2:9" x14ac:dyDescent="0.25">
      <c r="B2039"/>
      <c r="C2039"/>
      <c r="D2039"/>
      <c r="E2039"/>
      <c r="F2039"/>
      <c r="G2039"/>
      <c r="H2039"/>
      <c r="I2039"/>
    </row>
    <row r="2040" spans="2:9" x14ac:dyDescent="0.25">
      <c r="B2040"/>
      <c r="C2040"/>
      <c r="D2040"/>
      <c r="E2040"/>
      <c r="F2040"/>
      <c r="G2040"/>
      <c r="H2040"/>
      <c r="I2040"/>
    </row>
    <row r="2041" spans="2:9" x14ac:dyDescent="0.25">
      <c r="B2041"/>
      <c r="C2041"/>
      <c r="D2041"/>
      <c r="E2041"/>
      <c r="F2041"/>
      <c r="G2041"/>
      <c r="H2041"/>
      <c r="I2041"/>
    </row>
    <row r="2042" spans="2:9" x14ac:dyDescent="0.25">
      <c r="B2042"/>
      <c r="C2042"/>
      <c r="D2042"/>
      <c r="E2042"/>
      <c r="F2042"/>
      <c r="G2042"/>
      <c r="H2042"/>
      <c r="I2042"/>
    </row>
    <row r="2043" spans="2:9" x14ac:dyDescent="0.25">
      <c r="B2043"/>
      <c r="C2043"/>
      <c r="D2043"/>
      <c r="E2043"/>
      <c r="F2043"/>
      <c r="G2043"/>
      <c r="H2043"/>
      <c r="I2043"/>
    </row>
    <row r="2044" spans="2:9" x14ac:dyDescent="0.25">
      <c r="B2044"/>
      <c r="C2044"/>
      <c r="D2044"/>
      <c r="E2044"/>
      <c r="F2044"/>
      <c r="G2044"/>
      <c r="H2044"/>
      <c r="I2044"/>
    </row>
    <row r="2045" spans="2:9" x14ac:dyDescent="0.25">
      <c r="B2045"/>
      <c r="C2045"/>
      <c r="D2045"/>
      <c r="E2045"/>
      <c r="F2045"/>
      <c r="G2045"/>
      <c r="H2045"/>
      <c r="I2045"/>
    </row>
    <row r="2046" spans="2:9" x14ac:dyDescent="0.25">
      <c r="B2046"/>
      <c r="C2046"/>
      <c r="D2046"/>
      <c r="E2046"/>
      <c r="F2046"/>
      <c r="G2046"/>
      <c r="H2046"/>
      <c r="I2046"/>
    </row>
    <row r="2047" spans="2:9" x14ac:dyDescent="0.25">
      <c r="B2047"/>
      <c r="C2047"/>
      <c r="D2047"/>
      <c r="E2047"/>
      <c r="F2047"/>
      <c r="G2047"/>
      <c r="H2047"/>
      <c r="I2047"/>
    </row>
    <row r="2048" spans="2:9" x14ac:dyDescent="0.25">
      <c r="B2048"/>
      <c r="C2048"/>
      <c r="D2048"/>
      <c r="E2048"/>
      <c r="F2048"/>
      <c r="G2048"/>
      <c r="H2048"/>
      <c r="I2048"/>
    </row>
    <row r="2049" spans="2:9" x14ac:dyDescent="0.25">
      <c r="B2049"/>
      <c r="C2049"/>
      <c r="D2049"/>
      <c r="E2049"/>
      <c r="F2049"/>
      <c r="G2049"/>
      <c r="H2049"/>
      <c r="I2049"/>
    </row>
    <row r="2050" spans="2:9" x14ac:dyDescent="0.25">
      <c r="B2050"/>
      <c r="C2050"/>
      <c r="D2050"/>
      <c r="E2050"/>
      <c r="F2050"/>
      <c r="G2050"/>
      <c r="H2050"/>
      <c r="I2050"/>
    </row>
    <row r="2051" spans="2:9" x14ac:dyDescent="0.25">
      <c r="B2051"/>
      <c r="C2051"/>
      <c r="D2051"/>
      <c r="E2051"/>
      <c r="F2051"/>
      <c r="G2051"/>
      <c r="H2051"/>
      <c r="I2051"/>
    </row>
    <row r="2052" spans="2:9" x14ac:dyDescent="0.25">
      <c r="B2052"/>
      <c r="C2052"/>
      <c r="D2052"/>
      <c r="E2052"/>
      <c r="F2052"/>
      <c r="G2052"/>
      <c r="H2052"/>
      <c r="I2052"/>
    </row>
    <row r="2053" spans="2:9" x14ac:dyDescent="0.25">
      <c r="B2053"/>
      <c r="C2053"/>
      <c r="D2053"/>
      <c r="E2053"/>
      <c r="F2053"/>
      <c r="G2053"/>
      <c r="H2053"/>
      <c r="I2053"/>
    </row>
    <row r="2054" spans="2:9" x14ac:dyDescent="0.25">
      <c r="B2054"/>
      <c r="C2054"/>
      <c r="D2054"/>
      <c r="E2054"/>
      <c r="F2054"/>
      <c r="G2054"/>
      <c r="H2054"/>
      <c r="I2054"/>
    </row>
    <row r="2055" spans="2:9" x14ac:dyDescent="0.25">
      <c r="B2055"/>
      <c r="C2055"/>
      <c r="D2055"/>
      <c r="E2055"/>
      <c r="F2055"/>
      <c r="G2055"/>
      <c r="H2055"/>
      <c r="I2055"/>
    </row>
    <row r="2056" spans="2:9" x14ac:dyDescent="0.25">
      <c r="B2056"/>
      <c r="C2056"/>
      <c r="D2056"/>
      <c r="E2056"/>
      <c r="F2056"/>
      <c r="G2056"/>
      <c r="H2056"/>
      <c r="I2056"/>
    </row>
    <row r="2057" spans="2:9" x14ac:dyDescent="0.25">
      <c r="B2057"/>
      <c r="C2057"/>
      <c r="D2057"/>
      <c r="E2057"/>
      <c r="F2057"/>
      <c r="G2057"/>
      <c r="H2057"/>
      <c r="I2057"/>
    </row>
    <row r="2058" spans="2:9" x14ac:dyDescent="0.25">
      <c r="B2058"/>
      <c r="C2058"/>
      <c r="D2058"/>
      <c r="E2058"/>
      <c r="F2058"/>
      <c r="G2058"/>
      <c r="H2058"/>
      <c r="I2058"/>
    </row>
    <row r="2059" spans="2:9" x14ac:dyDescent="0.25">
      <c r="B2059"/>
      <c r="C2059"/>
      <c r="D2059"/>
      <c r="E2059"/>
      <c r="F2059"/>
      <c r="G2059"/>
      <c r="H2059"/>
      <c r="I2059"/>
    </row>
    <row r="2060" spans="2:9" x14ac:dyDescent="0.25">
      <c r="B2060"/>
      <c r="C2060"/>
      <c r="D2060"/>
      <c r="E2060"/>
      <c r="F2060"/>
      <c r="G2060"/>
      <c r="H2060"/>
      <c r="I2060"/>
    </row>
    <row r="2061" spans="2:9" x14ac:dyDescent="0.25">
      <c r="B2061"/>
      <c r="C2061"/>
      <c r="D2061"/>
      <c r="E2061"/>
      <c r="F2061"/>
      <c r="G2061"/>
      <c r="H2061"/>
      <c r="I2061"/>
    </row>
    <row r="2062" spans="2:9" x14ac:dyDescent="0.25">
      <c r="B2062"/>
      <c r="C2062"/>
      <c r="D2062"/>
      <c r="E2062"/>
      <c r="F2062"/>
      <c r="G2062"/>
      <c r="H2062"/>
      <c r="I2062"/>
    </row>
    <row r="2063" spans="2:9" x14ac:dyDescent="0.25">
      <c r="B2063"/>
      <c r="C2063"/>
      <c r="D2063"/>
      <c r="E2063"/>
      <c r="F2063"/>
      <c r="G2063"/>
      <c r="H2063"/>
      <c r="I2063"/>
    </row>
    <row r="2064" spans="2:9" x14ac:dyDescent="0.25">
      <c r="B2064"/>
      <c r="C2064"/>
      <c r="D2064"/>
      <c r="E2064"/>
      <c r="F2064"/>
      <c r="G2064"/>
      <c r="H2064"/>
      <c r="I2064"/>
    </row>
    <row r="2065" spans="2:9" x14ac:dyDescent="0.25">
      <c r="B2065"/>
      <c r="C2065"/>
      <c r="D2065"/>
      <c r="E2065"/>
      <c r="F2065"/>
      <c r="G2065"/>
      <c r="H2065"/>
      <c r="I2065"/>
    </row>
    <row r="2066" spans="2:9" x14ac:dyDescent="0.25">
      <c r="B2066"/>
      <c r="C2066"/>
      <c r="D2066"/>
      <c r="E2066"/>
      <c r="F2066"/>
      <c r="G2066"/>
      <c r="H2066"/>
      <c r="I2066"/>
    </row>
    <row r="2067" spans="2:9" x14ac:dyDescent="0.25">
      <c r="B2067"/>
      <c r="C2067"/>
      <c r="D2067"/>
      <c r="E2067"/>
      <c r="F2067"/>
      <c r="G2067"/>
      <c r="H2067"/>
      <c r="I2067"/>
    </row>
    <row r="2068" spans="2:9" x14ac:dyDescent="0.25">
      <c r="B2068"/>
      <c r="C2068"/>
      <c r="D2068"/>
      <c r="E2068"/>
      <c r="F2068"/>
      <c r="G2068"/>
      <c r="H2068"/>
      <c r="I2068"/>
    </row>
    <row r="2069" spans="2:9" x14ac:dyDescent="0.25">
      <c r="B2069"/>
      <c r="C2069"/>
      <c r="D2069"/>
      <c r="E2069"/>
      <c r="F2069"/>
      <c r="G2069"/>
      <c r="H2069"/>
      <c r="I2069"/>
    </row>
    <row r="2070" spans="2:9" x14ac:dyDescent="0.25">
      <c r="B2070"/>
      <c r="C2070"/>
      <c r="D2070"/>
      <c r="E2070"/>
      <c r="F2070"/>
      <c r="G2070"/>
      <c r="H2070"/>
      <c r="I2070"/>
    </row>
    <row r="2071" spans="2:9" x14ac:dyDescent="0.25">
      <c r="B2071"/>
      <c r="C2071"/>
      <c r="D2071"/>
      <c r="E2071"/>
      <c r="F2071"/>
      <c r="G2071"/>
      <c r="H2071"/>
      <c r="I2071"/>
    </row>
    <row r="2072" spans="2:9" x14ac:dyDescent="0.25">
      <c r="B2072"/>
      <c r="C2072"/>
      <c r="D2072"/>
      <c r="E2072"/>
      <c r="F2072"/>
      <c r="G2072"/>
      <c r="H2072"/>
      <c r="I2072"/>
    </row>
    <row r="2073" spans="2:9" x14ac:dyDescent="0.25">
      <c r="B2073"/>
      <c r="C2073"/>
      <c r="D2073"/>
      <c r="E2073"/>
      <c r="F2073"/>
      <c r="G2073"/>
      <c r="H2073"/>
      <c r="I2073"/>
    </row>
    <row r="2074" spans="2:9" x14ac:dyDescent="0.25">
      <c r="B2074"/>
      <c r="C2074"/>
      <c r="D2074"/>
      <c r="E2074"/>
      <c r="F2074"/>
      <c r="G2074"/>
      <c r="H2074"/>
      <c r="I2074"/>
    </row>
    <row r="2075" spans="2:9" x14ac:dyDescent="0.25">
      <c r="B2075"/>
      <c r="C2075"/>
      <c r="D2075"/>
      <c r="E2075"/>
      <c r="F2075"/>
      <c r="G2075"/>
      <c r="H2075"/>
      <c r="I2075"/>
    </row>
    <row r="2076" spans="2:9" x14ac:dyDescent="0.25">
      <c r="B2076"/>
      <c r="C2076"/>
      <c r="D2076"/>
      <c r="E2076"/>
      <c r="F2076"/>
      <c r="G2076"/>
      <c r="H2076"/>
      <c r="I2076"/>
    </row>
    <row r="2077" spans="2:9" x14ac:dyDescent="0.25">
      <c r="B2077"/>
      <c r="C2077"/>
      <c r="D2077"/>
      <c r="E2077"/>
      <c r="F2077"/>
      <c r="G2077"/>
      <c r="H2077"/>
      <c r="I2077"/>
    </row>
    <row r="2078" spans="2:9" x14ac:dyDescent="0.25">
      <c r="B2078"/>
      <c r="C2078"/>
      <c r="D2078"/>
      <c r="E2078"/>
      <c r="F2078"/>
      <c r="G2078"/>
      <c r="H2078"/>
      <c r="I2078"/>
    </row>
    <row r="2079" spans="2:9" x14ac:dyDescent="0.25">
      <c r="B2079"/>
      <c r="C2079"/>
      <c r="D2079"/>
      <c r="E2079"/>
      <c r="F2079"/>
      <c r="G2079"/>
      <c r="H2079"/>
      <c r="I2079"/>
    </row>
    <row r="2080" spans="2:9" x14ac:dyDescent="0.25">
      <c r="B2080"/>
      <c r="C2080"/>
      <c r="D2080"/>
      <c r="E2080"/>
      <c r="F2080"/>
      <c r="G2080"/>
      <c r="H2080"/>
      <c r="I2080"/>
    </row>
    <row r="2081" spans="2:9" x14ac:dyDescent="0.25">
      <c r="B2081"/>
      <c r="C2081"/>
      <c r="D2081"/>
      <c r="E2081"/>
      <c r="F2081"/>
      <c r="G2081"/>
      <c r="H2081"/>
      <c r="I2081"/>
    </row>
    <row r="2082" spans="2:9" x14ac:dyDescent="0.25">
      <c r="B2082"/>
      <c r="C2082"/>
      <c r="D2082"/>
      <c r="E2082"/>
      <c r="F2082"/>
      <c r="G2082"/>
      <c r="H2082"/>
      <c r="I2082"/>
    </row>
    <row r="2083" spans="2:9" x14ac:dyDescent="0.25">
      <c r="B2083"/>
      <c r="C2083"/>
      <c r="D2083"/>
      <c r="E2083"/>
      <c r="F2083"/>
      <c r="G2083"/>
      <c r="H2083"/>
      <c r="I2083"/>
    </row>
    <row r="2084" spans="2:9" x14ac:dyDescent="0.25">
      <c r="B2084"/>
      <c r="C2084"/>
      <c r="D2084"/>
      <c r="E2084"/>
      <c r="F2084"/>
      <c r="G2084"/>
      <c r="H2084"/>
      <c r="I2084"/>
    </row>
    <row r="2085" spans="2:9" x14ac:dyDescent="0.25">
      <c r="B2085"/>
      <c r="C2085"/>
      <c r="D2085"/>
      <c r="E2085"/>
      <c r="F2085"/>
      <c r="G2085"/>
      <c r="H2085"/>
      <c r="I2085"/>
    </row>
    <row r="2086" spans="2:9" x14ac:dyDescent="0.25">
      <c r="B2086"/>
      <c r="C2086"/>
      <c r="D2086"/>
      <c r="E2086"/>
      <c r="F2086"/>
      <c r="G2086"/>
      <c r="H2086"/>
      <c r="I2086"/>
    </row>
    <row r="2087" spans="2:9" x14ac:dyDescent="0.25">
      <c r="B2087"/>
      <c r="C2087"/>
      <c r="D2087"/>
      <c r="E2087"/>
      <c r="F2087"/>
      <c r="G2087"/>
      <c r="H2087"/>
      <c r="I2087"/>
    </row>
    <row r="2088" spans="2:9" x14ac:dyDescent="0.25">
      <c r="B2088"/>
      <c r="C2088"/>
      <c r="D2088"/>
      <c r="E2088"/>
      <c r="F2088"/>
      <c r="G2088"/>
      <c r="H2088"/>
      <c r="I2088"/>
    </row>
    <row r="2089" spans="2:9" x14ac:dyDescent="0.25">
      <c r="B2089"/>
      <c r="C2089"/>
      <c r="D2089"/>
      <c r="E2089"/>
      <c r="F2089"/>
      <c r="G2089"/>
      <c r="H2089"/>
      <c r="I2089"/>
    </row>
    <row r="2090" spans="2:9" x14ac:dyDescent="0.25">
      <c r="B2090"/>
      <c r="C2090"/>
      <c r="D2090"/>
      <c r="E2090"/>
      <c r="F2090"/>
      <c r="G2090"/>
      <c r="H2090"/>
      <c r="I2090"/>
    </row>
    <row r="2091" spans="2:9" x14ac:dyDescent="0.25">
      <c r="B2091"/>
      <c r="C2091"/>
      <c r="D2091"/>
      <c r="E2091"/>
      <c r="F2091"/>
      <c r="G2091"/>
      <c r="H2091"/>
      <c r="I2091"/>
    </row>
    <row r="2092" spans="2:9" x14ac:dyDescent="0.25">
      <c r="B2092"/>
      <c r="C2092"/>
      <c r="D2092"/>
      <c r="E2092"/>
      <c r="F2092"/>
      <c r="G2092"/>
      <c r="H2092"/>
      <c r="I2092"/>
    </row>
    <row r="2093" spans="2:9" x14ac:dyDescent="0.25">
      <c r="B2093"/>
      <c r="C2093"/>
      <c r="D2093"/>
      <c r="E2093"/>
      <c r="F2093"/>
      <c r="G2093"/>
      <c r="H2093"/>
      <c r="I2093"/>
    </row>
    <row r="2094" spans="2:9" x14ac:dyDescent="0.25">
      <c r="B2094"/>
      <c r="C2094"/>
      <c r="D2094"/>
      <c r="E2094"/>
      <c r="F2094"/>
      <c r="G2094"/>
      <c r="H2094"/>
      <c r="I2094"/>
    </row>
    <row r="2095" spans="2:9" x14ac:dyDescent="0.25">
      <c r="B2095"/>
      <c r="C2095"/>
      <c r="D2095"/>
      <c r="E2095"/>
      <c r="F2095"/>
      <c r="G2095"/>
      <c r="H2095"/>
      <c r="I2095"/>
    </row>
    <row r="2096" spans="2:9" x14ac:dyDescent="0.25">
      <c r="B2096"/>
      <c r="C2096"/>
      <c r="D2096"/>
      <c r="E2096"/>
      <c r="F2096"/>
      <c r="G2096"/>
      <c r="H2096"/>
      <c r="I2096"/>
    </row>
    <row r="2097" spans="2:9" x14ac:dyDescent="0.25">
      <c r="B2097"/>
      <c r="C2097"/>
      <c r="D2097"/>
      <c r="E2097"/>
      <c r="F2097"/>
      <c r="G2097"/>
      <c r="H2097"/>
      <c r="I2097"/>
    </row>
    <row r="2098" spans="2:9" x14ac:dyDescent="0.25">
      <c r="B2098"/>
      <c r="C2098"/>
      <c r="D2098"/>
      <c r="E2098"/>
      <c r="F2098"/>
      <c r="G2098"/>
      <c r="H2098"/>
      <c r="I2098"/>
    </row>
    <row r="2099" spans="2:9" x14ac:dyDescent="0.25">
      <c r="B2099"/>
      <c r="C2099"/>
      <c r="D2099"/>
      <c r="E2099"/>
      <c r="F2099"/>
      <c r="G2099"/>
      <c r="H2099"/>
      <c r="I2099"/>
    </row>
    <row r="2100" spans="2:9" x14ac:dyDescent="0.25">
      <c r="B2100"/>
      <c r="C2100"/>
      <c r="D2100"/>
      <c r="E2100"/>
      <c r="F2100"/>
      <c r="G2100"/>
      <c r="H2100"/>
      <c r="I2100"/>
    </row>
    <row r="2101" spans="2:9" x14ac:dyDescent="0.25">
      <c r="B2101"/>
      <c r="C2101"/>
      <c r="D2101"/>
      <c r="E2101"/>
      <c r="F2101"/>
      <c r="G2101"/>
      <c r="H2101"/>
      <c r="I2101"/>
    </row>
    <row r="2102" spans="2:9" x14ac:dyDescent="0.25">
      <c r="B2102"/>
      <c r="C2102"/>
      <c r="D2102"/>
      <c r="E2102"/>
      <c r="F2102"/>
      <c r="G2102"/>
      <c r="H2102"/>
      <c r="I2102"/>
    </row>
    <row r="2103" spans="2:9" x14ac:dyDescent="0.25">
      <c r="B2103"/>
      <c r="C2103"/>
      <c r="D2103"/>
      <c r="E2103"/>
      <c r="F2103"/>
      <c r="G2103"/>
      <c r="H2103"/>
      <c r="I2103"/>
    </row>
    <row r="2104" spans="2:9" x14ac:dyDescent="0.25">
      <c r="B2104"/>
      <c r="C2104"/>
      <c r="D2104"/>
      <c r="E2104"/>
      <c r="F2104"/>
      <c r="G2104"/>
      <c r="H2104"/>
      <c r="I2104"/>
    </row>
    <row r="2105" spans="2:9" x14ac:dyDescent="0.25">
      <c r="B2105"/>
      <c r="C2105"/>
      <c r="D2105"/>
      <c r="E2105"/>
      <c r="F2105"/>
      <c r="G2105"/>
      <c r="H2105"/>
      <c r="I2105"/>
    </row>
    <row r="2106" spans="2:9" x14ac:dyDescent="0.25">
      <c r="B2106"/>
      <c r="C2106"/>
      <c r="D2106"/>
      <c r="E2106"/>
      <c r="F2106"/>
      <c r="G2106"/>
      <c r="H2106"/>
      <c r="I2106"/>
    </row>
    <row r="2107" spans="2:9" x14ac:dyDescent="0.25">
      <c r="B2107"/>
      <c r="C2107"/>
      <c r="D2107"/>
      <c r="E2107"/>
      <c r="F2107"/>
      <c r="G2107"/>
      <c r="H2107"/>
      <c r="I2107"/>
    </row>
    <row r="2108" spans="2:9" x14ac:dyDescent="0.25">
      <c r="B2108"/>
      <c r="C2108"/>
      <c r="D2108"/>
      <c r="E2108"/>
      <c r="F2108"/>
      <c r="G2108"/>
      <c r="H2108"/>
      <c r="I2108"/>
    </row>
    <row r="2109" spans="2:9" x14ac:dyDescent="0.25">
      <c r="B2109"/>
      <c r="C2109"/>
      <c r="D2109"/>
      <c r="E2109"/>
      <c r="F2109"/>
      <c r="G2109"/>
      <c r="H2109"/>
      <c r="I2109"/>
    </row>
    <row r="2110" spans="2:9" x14ac:dyDescent="0.25">
      <c r="B2110"/>
      <c r="C2110"/>
      <c r="D2110"/>
      <c r="E2110"/>
      <c r="F2110"/>
      <c r="G2110"/>
      <c r="H2110"/>
      <c r="I2110"/>
    </row>
    <row r="2111" spans="2:9" x14ac:dyDescent="0.25">
      <c r="B2111"/>
      <c r="C2111"/>
      <c r="D2111"/>
      <c r="E2111"/>
      <c r="F2111"/>
      <c r="G2111"/>
      <c r="H2111"/>
      <c r="I2111"/>
    </row>
    <row r="2112" spans="2:9" x14ac:dyDescent="0.25">
      <c r="B2112"/>
      <c r="C2112"/>
      <c r="D2112"/>
      <c r="E2112"/>
      <c r="F2112"/>
      <c r="G2112"/>
      <c r="H2112"/>
      <c r="I2112"/>
    </row>
    <row r="2113" spans="2:9" x14ac:dyDescent="0.25">
      <c r="B2113"/>
      <c r="C2113"/>
      <c r="D2113"/>
      <c r="E2113"/>
      <c r="F2113"/>
      <c r="G2113"/>
      <c r="H2113"/>
      <c r="I2113"/>
    </row>
    <row r="2114" spans="2:9" x14ac:dyDescent="0.25">
      <c r="B2114"/>
      <c r="C2114"/>
      <c r="D2114"/>
      <c r="E2114"/>
      <c r="F2114"/>
      <c r="G2114"/>
      <c r="H2114"/>
      <c r="I2114"/>
    </row>
    <row r="2115" spans="2:9" x14ac:dyDescent="0.25">
      <c r="B2115"/>
      <c r="C2115"/>
      <c r="D2115"/>
      <c r="E2115"/>
      <c r="F2115"/>
      <c r="G2115"/>
      <c r="H2115"/>
      <c r="I2115"/>
    </row>
    <row r="2116" spans="2:9" x14ac:dyDescent="0.25">
      <c r="B2116"/>
      <c r="C2116"/>
      <c r="D2116"/>
      <c r="E2116"/>
      <c r="F2116"/>
      <c r="G2116"/>
      <c r="H2116"/>
      <c r="I2116"/>
    </row>
    <row r="2117" spans="2:9" x14ac:dyDescent="0.25">
      <c r="B2117"/>
      <c r="C2117"/>
      <c r="D2117"/>
      <c r="E2117"/>
      <c r="F2117"/>
      <c r="G2117"/>
      <c r="H2117"/>
      <c r="I2117"/>
    </row>
    <row r="2118" spans="2:9" x14ac:dyDescent="0.25">
      <c r="B2118"/>
      <c r="C2118"/>
      <c r="D2118"/>
      <c r="E2118"/>
      <c r="F2118"/>
      <c r="G2118"/>
      <c r="H2118"/>
      <c r="I2118"/>
    </row>
    <row r="2119" spans="2:9" x14ac:dyDescent="0.25">
      <c r="B2119"/>
      <c r="C2119"/>
      <c r="D2119"/>
      <c r="E2119"/>
      <c r="F2119"/>
      <c r="G2119"/>
      <c r="H2119"/>
      <c r="I2119"/>
    </row>
    <row r="2120" spans="2:9" x14ac:dyDescent="0.25">
      <c r="B2120"/>
      <c r="C2120"/>
      <c r="D2120"/>
      <c r="E2120"/>
      <c r="F2120"/>
      <c r="G2120"/>
      <c r="H2120"/>
      <c r="I2120"/>
    </row>
    <row r="2121" spans="2:9" x14ac:dyDescent="0.25">
      <c r="B2121"/>
      <c r="C2121"/>
      <c r="D2121"/>
      <c r="E2121"/>
      <c r="F2121"/>
      <c r="G2121"/>
      <c r="H2121"/>
      <c r="I2121"/>
    </row>
    <row r="2122" spans="2:9" x14ac:dyDescent="0.25">
      <c r="B2122"/>
      <c r="C2122"/>
      <c r="D2122"/>
      <c r="E2122"/>
      <c r="F2122"/>
      <c r="G2122"/>
      <c r="H2122"/>
      <c r="I2122"/>
    </row>
    <row r="2123" spans="2:9" x14ac:dyDescent="0.25">
      <c r="B2123"/>
      <c r="C2123"/>
      <c r="D2123"/>
      <c r="E2123"/>
      <c r="F2123"/>
      <c r="G2123"/>
      <c r="H2123"/>
      <c r="I2123"/>
    </row>
    <row r="2124" spans="2:9" x14ac:dyDescent="0.25">
      <c r="B2124"/>
      <c r="C2124"/>
      <c r="D2124"/>
      <c r="E2124"/>
      <c r="F2124"/>
      <c r="G2124"/>
      <c r="H2124"/>
      <c r="I2124"/>
    </row>
    <row r="2125" spans="2:9" x14ac:dyDescent="0.25">
      <c r="B2125"/>
      <c r="C2125"/>
      <c r="D2125"/>
      <c r="E2125"/>
      <c r="F2125"/>
      <c r="G2125"/>
      <c r="H2125"/>
      <c r="I2125"/>
    </row>
    <row r="2126" spans="2:9" x14ac:dyDescent="0.25">
      <c r="B2126"/>
      <c r="C2126"/>
      <c r="D2126"/>
      <c r="E2126"/>
      <c r="F2126"/>
      <c r="G2126"/>
      <c r="H2126"/>
      <c r="I2126"/>
    </row>
    <row r="2127" spans="2:9" x14ac:dyDescent="0.25">
      <c r="B2127"/>
      <c r="C2127"/>
      <c r="D2127"/>
      <c r="E2127"/>
      <c r="F2127"/>
      <c r="G2127"/>
      <c r="H2127"/>
      <c r="I2127"/>
    </row>
    <row r="2128" spans="2:9" x14ac:dyDescent="0.25">
      <c r="B2128"/>
      <c r="C2128"/>
      <c r="D2128"/>
      <c r="E2128"/>
      <c r="F2128"/>
      <c r="G2128"/>
      <c r="H2128"/>
      <c r="I2128"/>
    </row>
    <row r="2129" spans="2:9" x14ac:dyDescent="0.25">
      <c r="B2129"/>
      <c r="C2129"/>
      <c r="D2129"/>
      <c r="E2129"/>
      <c r="F2129"/>
      <c r="G2129"/>
      <c r="H2129"/>
      <c r="I2129"/>
    </row>
    <row r="2130" spans="2:9" x14ac:dyDescent="0.25">
      <c r="B2130"/>
      <c r="C2130"/>
      <c r="D2130"/>
      <c r="E2130"/>
      <c r="F2130"/>
      <c r="G2130"/>
      <c r="H2130"/>
      <c r="I2130"/>
    </row>
    <row r="2131" spans="2:9" x14ac:dyDescent="0.25">
      <c r="B2131"/>
      <c r="C2131"/>
      <c r="D2131"/>
      <c r="E2131"/>
      <c r="F2131"/>
      <c r="G2131"/>
      <c r="H2131"/>
      <c r="I2131"/>
    </row>
    <row r="2132" spans="2:9" x14ac:dyDescent="0.25">
      <c r="B2132"/>
      <c r="C2132"/>
      <c r="D2132"/>
      <c r="E2132"/>
      <c r="F2132"/>
      <c r="G2132"/>
      <c r="H2132"/>
      <c r="I2132"/>
    </row>
    <row r="2133" spans="2:9" x14ac:dyDescent="0.25">
      <c r="B2133"/>
      <c r="C2133"/>
      <c r="D2133"/>
      <c r="E2133"/>
      <c r="F2133"/>
      <c r="G2133"/>
      <c r="H2133"/>
      <c r="I2133"/>
    </row>
    <row r="2134" spans="2:9" x14ac:dyDescent="0.25">
      <c r="B2134"/>
      <c r="C2134"/>
      <c r="D2134"/>
      <c r="E2134"/>
      <c r="F2134"/>
      <c r="G2134"/>
      <c r="H2134"/>
      <c r="I2134"/>
    </row>
    <row r="2135" spans="2:9" x14ac:dyDescent="0.25">
      <c r="B2135"/>
      <c r="C2135"/>
      <c r="D2135"/>
      <c r="E2135"/>
      <c r="F2135"/>
      <c r="G2135"/>
      <c r="H2135"/>
      <c r="I2135"/>
    </row>
    <row r="2136" spans="2:9" x14ac:dyDescent="0.25">
      <c r="B2136"/>
      <c r="C2136"/>
      <c r="D2136"/>
      <c r="E2136"/>
      <c r="F2136"/>
      <c r="G2136"/>
      <c r="H2136"/>
      <c r="I2136"/>
    </row>
    <row r="2137" spans="2:9" x14ac:dyDescent="0.25">
      <c r="B2137"/>
      <c r="C2137"/>
      <c r="D2137"/>
      <c r="E2137"/>
      <c r="F2137"/>
      <c r="G2137"/>
      <c r="H2137"/>
      <c r="I2137"/>
    </row>
    <row r="2138" spans="2:9" x14ac:dyDescent="0.25">
      <c r="B2138"/>
      <c r="C2138"/>
      <c r="D2138"/>
      <c r="E2138"/>
      <c r="F2138"/>
      <c r="G2138"/>
      <c r="H2138"/>
      <c r="I2138"/>
    </row>
    <row r="2139" spans="2:9" x14ac:dyDescent="0.25">
      <c r="B2139"/>
      <c r="C2139"/>
      <c r="D2139"/>
      <c r="E2139"/>
      <c r="F2139"/>
      <c r="G2139"/>
      <c r="H2139"/>
      <c r="I2139"/>
    </row>
    <row r="2140" spans="2:9" x14ac:dyDescent="0.25">
      <c r="B2140"/>
      <c r="C2140"/>
      <c r="D2140"/>
      <c r="E2140"/>
      <c r="F2140"/>
      <c r="G2140"/>
      <c r="H2140"/>
      <c r="I2140"/>
    </row>
    <row r="2141" spans="2:9" x14ac:dyDescent="0.25">
      <c r="B2141"/>
      <c r="C2141"/>
      <c r="D2141"/>
      <c r="E2141"/>
      <c r="F2141"/>
      <c r="G2141"/>
      <c r="H2141"/>
      <c r="I2141"/>
    </row>
    <row r="2142" spans="2:9" x14ac:dyDescent="0.25">
      <c r="B2142"/>
      <c r="C2142"/>
      <c r="D2142"/>
      <c r="E2142"/>
      <c r="F2142"/>
      <c r="G2142"/>
      <c r="H2142"/>
      <c r="I2142"/>
    </row>
    <row r="2143" spans="2:9" x14ac:dyDescent="0.25">
      <c r="B2143"/>
      <c r="C2143"/>
      <c r="D2143"/>
      <c r="E2143"/>
      <c r="F2143"/>
      <c r="G2143"/>
      <c r="H2143"/>
      <c r="I2143"/>
    </row>
    <row r="2144" spans="2:9" x14ac:dyDescent="0.25">
      <c r="B2144"/>
      <c r="C2144"/>
      <c r="D2144"/>
      <c r="E2144"/>
      <c r="F2144"/>
      <c r="G2144"/>
      <c r="H2144"/>
      <c r="I2144"/>
    </row>
    <row r="2145" spans="2:9" x14ac:dyDescent="0.25">
      <c r="B2145"/>
      <c r="C2145"/>
      <c r="D2145"/>
      <c r="E2145"/>
      <c r="F2145"/>
      <c r="G2145"/>
      <c r="H2145"/>
      <c r="I2145"/>
    </row>
    <row r="2146" spans="2:9" x14ac:dyDescent="0.25">
      <c r="B2146"/>
      <c r="C2146"/>
      <c r="D2146"/>
      <c r="E2146"/>
      <c r="F2146"/>
      <c r="G2146"/>
      <c r="H2146"/>
      <c r="I2146"/>
    </row>
    <row r="2147" spans="2:9" x14ac:dyDescent="0.25">
      <c r="B2147"/>
      <c r="C2147"/>
      <c r="D2147"/>
      <c r="E2147"/>
      <c r="F2147"/>
      <c r="G2147"/>
      <c r="H2147"/>
      <c r="I2147"/>
    </row>
    <row r="2148" spans="2:9" x14ac:dyDescent="0.25">
      <c r="B2148"/>
      <c r="C2148"/>
      <c r="D2148"/>
      <c r="E2148"/>
      <c r="F2148"/>
      <c r="G2148"/>
      <c r="H2148"/>
      <c r="I2148"/>
    </row>
    <row r="2149" spans="2:9" x14ac:dyDescent="0.25">
      <c r="B2149"/>
      <c r="C2149"/>
      <c r="D2149"/>
      <c r="E2149"/>
      <c r="F2149"/>
      <c r="G2149"/>
      <c r="H2149"/>
      <c r="I2149"/>
    </row>
    <row r="2150" spans="2:9" x14ac:dyDescent="0.25">
      <c r="B2150"/>
      <c r="C2150"/>
      <c r="D2150"/>
      <c r="E2150"/>
      <c r="F2150"/>
      <c r="G2150"/>
      <c r="H2150"/>
      <c r="I2150"/>
    </row>
    <row r="2151" spans="2:9" x14ac:dyDescent="0.25">
      <c r="B2151"/>
      <c r="C2151"/>
      <c r="D2151"/>
      <c r="E2151"/>
      <c r="F2151"/>
      <c r="G2151"/>
      <c r="H2151"/>
      <c r="I2151"/>
    </row>
    <row r="2152" spans="2:9" x14ac:dyDescent="0.25">
      <c r="B2152"/>
      <c r="C2152"/>
      <c r="D2152"/>
      <c r="E2152"/>
      <c r="F2152"/>
      <c r="G2152"/>
      <c r="H2152"/>
      <c r="I2152"/>
    </row>
    <row r="2153" spans="2:9" x14ac:dyDescent="0.25">
      <c r="B2153"/>
      <c r="C2153"/>
      <c r="D2153"/>
      <c r="E2153"/>
      <c r="F2153"/>
      <c r="G2153"/>
      <c r="H2153"/>
      <c r="I2153"/>
    </row>
    <row r="2154" spans="2:9" x14ac:dyDescent="0.25">
      <c r="B2154"/>
      <c r="C2154"/>
      <c r="D2154"/>
      <c r="E2154"/>
      <c r="F2154"/>
      <c r="G2154"/>
      <c r="H2154"/>
      <c r="I2154"/>
    </row>
    <row r="2155" spans="2:9" x14ac:dyDescent="0.25">
      <c r="B2155"/>
      <c r="C2155"/>
      <c r="D2155"/>
      <c r="E2155"/>
      <c r="F2155"/>
      <c r="G2155"/>
      <c r="H2155"/>
      <c r="I2155"/>
    </row>
    <row r="2156" spans="2:9" x14ac:dyDescent="0.25">
      <c r="B2156"/>
      <c r="C2156"/>
      <c r="D2156"/>
      <c r="E2156"/>
      <c r="F2156"/>
      <c r="G2156"/>
      <c r="H2156"/>
      <c r="I2156"/>
    </row>
    <row r="2157" spans="2:9" x14ac:dyDescent="0.25">
      <c r="B2157"/>
      <c r="C2157"/>
      <c r="D2157"/>
      <c r="E2157"/>
      <c r="F2157"/>
      <c r="G2157"/>
      <c r="H2157"/>
      <c r="I2157"/>
    </row>
    <row r="2158" spans="2:9" x14ac:dyDescent="0.25">
      <c r="B2158"/>
      <c r="C2158"/>
      <c r="D2158"/>
      <c r="E2158"/>
      <c r="F2158"/>
      <c r="G2158"/>
      <c r="H2158"/>
      <c r="I2158"/>
    </row>
    <row r="2159" spans="2:9" x14ac:dyDescent="0.25">
      <c r="B2159"/>
      <c r="C2159"/>
      <c r="D2159"/>
      <c r="E2159"/>
      <c r="F2159"/>
      <c r="G2159"/>
      <c r="H2159"/>
      <c r="I2159"/>
    </row>
    <row r="2160" spans="2:9" x14ac:dyDescent="0.25">
      <c r="B2160"/>
      <c r="C2160"/>
      <c r="D2160"/>
      <c r="E2160"/>
      <c r="F2160"/>
      <c r="G2160"/>
      <c r="H2160"/>
      <c r="I2160"/>
    </row>
    <row r="2161" spans="2:9" x14ac:dyDescent="0.25">
      <c r="B2161"/>
      <c r="C2161"/>
      <c r="D2161"/>
      <c r="E2161"/>
      <c r="F2161"/>
      <c r="G2161"/>
      <c r="H2161"/>
      <c r="I2161"/>
    </row>
    <row r="2162" spans="2:9" x14ac:dyDescent="0.25">
      <c r="B2162"/>
      <c r="C2162"/>
      <c r="D2162"/>
      <c r="E2162"/>
      <c r="F2162"/>
      <c r="G2162"/>
      <c r="H2162"/>
      <c r="I2162"/>
    </row>
    <row r="2163" spans="2:9" x14ac:dyDescent="0.25">
      <c r="B2163"/>
      <c r="C2163"/>
      <c r="D2163"/>
      <c r="E2163"/>
      <c r="F2163"/>
      <c r="G2163"/>
      <c r="H2163"/>
      <c r="I2163"/>
    </row>
    <row r="2164" spans="2:9" x14ac:dyDescent="0.25">
      <c r="B2164"/>
      <c r="C2164"/>
      <c r="D2164"/>
      <c r="E2164"/>
      <c r="F2164"/>
      <c r="G2164"/>
      <c r="H2164"/>
      <c r="I2164"/>
    </row>
    <row r="2165" spans="2:9" x14ac:dyDescent="0.25">
      <c r="B2165"/>
      <c r="C2165"/>
      <c r="D2165"/>
      <c r="E2165"/>
      <c r="F2165"/>
      <c r="G2165"/>
      <c r="H2165"/>
      <c r="I2165"/>
    </row>
    <row r="2166" spans="2:9" x14ac:dyDescent="0.25">
      <c r="B2166"/>
      <c r="C2166"/>
      <c r="D2166"/>
      <c r="E2166"/>
      <c r="F2166"/>
      <c r="G2166"/>
      <c r="H2166"/>
      <c r="I2166"/>
    </row>
    <row r="2167" spans="2:9" x14ac:dyDescent="0.25">
      <c r="B2167"/>
      <c r="C2167"/>
      <c r="D2167"/>
      <c r="E2167"/>
      <c r="F2167"/>
      <c r="G2167"/>
      <c r="H2167"/>
      <c r="I2167"/>
    </row>
    <row r="2168" spans="2:9" x14ac:dyDescent="0.25">
      <c r="B2168"/>
      <c r="C2168"/>
      <c r="D2168"/>
      <c r="E2168"/>
      <c r="F2168"/>
      <c r="G2168"/>
      <c r="H2168"/>
      <c r="I2168"/>
    </row>
    <row r="2169" spans="2:9" x14ac:dyDescent="0.25">
      <c r="B2169"/>
      <c r="C2169"/>
      <c r="D2169"/>
      <c r="E2169"/>
      <c r="F2169"/>
      <c r="G2169"/>
      <c r="H2169"/>
      <c r="I2169"/>
    </row>
    <row r="2170" spans="2:9" x14ac:dyDescent="0.25">
      <c r="B2170"/>
      <c r="C2170"/>
      <c r="D2170"/>
      <c r="E2170"/>
      <c r="F2170"/>
      <c r="G2170"/>
      <c r="H2170"/>
      <c r="I2170"/>
    </row>
    <row r="2171" spans="2:9" x14ac:dyDescent="0.25">
      <c r="B2171"/>
      <c r="C2171"/>
      <c r="D2171"/>
      <c r="E2171"/>
      <c r="F2171"/>
      <c r="G2171"/>
      <c r="H2171"/>
      <c r="I2171"/>
    </row>
    <row r="2172" spans="2:9" x14ac:dyDescent="0.25">
      <c r="B2172"/>
      <c r="C2172"/>
      <c r="D2172"/>
      <c r="E2172"/>
      <c r="F2172"/>
      <c r="G2172"/>
      <c r="H2172"/>
      <c r="I2172"/>
    </row>
    <row r="2173" spans="2:9" x14ac:dyDescent="0.25">
      <c r="B2173"/>
      <c r="C2173"/>
      <c r="D2173"/>
      <c r="E2173"/>
      <c r="F2173"/>
      <c r="G2173"/>
      <c r="H2173"/>
      <c r="I2173"/>
    </row>
    <row r="2174" spans="2:9" x14ac:dyDescent="0.25">
      <c r="B2174"/>
      <c r="C2174"/>
      <c r="D2174"/>
      <c r="E2174"/>
      <c r="F2174"/>
      <c r="G2174"/>
      <c r="H2174"/>
      <c r="I2174"/>
    </row>
    <row r="2175" spans="2:9" x14ac:dyDescent="0.25">
      <c r="B2175"/>
      <c r="C2175"/>
      <c r="D2175"/>
      <c r="E2175"/>
      <c r="F2175"/>
      <c r="G2175"/>
      <c r="H2175"/>
      <c r="I2175"/>
    </row>
    <row r="2176" spans="2:9" x14ac:dyDescent="0.25">
      <c r="B2176"/>
      <c r="C2176"/>
      <c r="D2176"/>
      <c r="E2176"/>
      <c r="F2176"/>
      <c r="G2176"/>
      <c r="H2176"/>
      <c r="I2176"/>
    </row>
    <row r="2177" spans="2:9" x14ac:dyDescent="0.25">
      <c r="B2177"/>
      <c r="C2177"/>
      <c r="D2177"/>
      <c r="E2177"/>
      <c r="F2177"/>
      <c r="G2177"/>
      <c r="H2177"/>
      <c r="I2177"/>
    </row>
    <row r="2178" spans="2:9" x14ac:dyDescent="0.25">
      <c r="B2178"/>
      <c r="C2178"/>
      <c r="D2178"/>
      <c r="E2178"/>
      <c r="F2178"/>
      <c r="G2178"/>
      <c r="H2178"/>
      <c r="I2178"/>
    </row>
    <row r="2179" spans="2:9" x14ac:dyDescent="0.25">
      <c r="B2179"/>
      <c r="C2179"/>
      <c r="D2179"/>
      <c r="E2179"/>
      <c r="F2179"/>
      <c r="G2179"/>
      <c r="H2179"/>
      <c r="I2179"/>
    </row>
    <row r="2180" spans="2:9" x14ac:dyDescent="0.25">
      <c r="B2180"/>
      <c r="C2180"/>
      <c r="D2180"/>
      <c r="E2180"/>
      <c r="F2180"/>
      <c r="G2180"/>
      <c r="H2180"/>
      <c r="I2180"/>
    </row>
    <row r="2181" spans="2:9" x14ac:dyDescent="0.25">
      <c r="B2181"/>
      <c r="C2181"/>
      <c r="D2181"/>
      <c r="E2181"/>
      <c r="F2181"/>
      <c r="G2181"/>
      <c r="H2181"/>
      <c r="I2181"/>
    </row>
    <row r="2182" spans="2:9" x14ac:dyDescent="0.25">
      <c r="B2182"/>
      <c r="C2182"/>
      <c r="D2182"/>
      <c r="E2182"/>
      <c r="F2182"/>
      <c r="G2182"/>
      <c r="H2182"/>
      <c r="I2182"/>
    </row>
    <row r="2183" spans="2:9" x14ac:dyDescent="0.25">
      <c r="B2183"/>
      <c r="C2183"/>
      <c r="D2183"/>
      <c r="E2183"/>
      <c r="F2183"/>
      <c r="G2183"/>
      <c r="H2183"/>
      <c r="I2183"/>
    </row>
    <row r="2184" spans="2:9" x14ac:dyDescent="0.25">
      <c r="B2184"/>
      <c r="C2184"/>
      <c r="D2184"/>
      <c r="E2184"/>
      <c r="F2184"/>
      <c r="G2184"/>
      <c r="H2184"/>
      <c r="I2184"/>
    </row>
    <row r="2185" spans="2:9" x14ac:dyDescent="0.25">
      <c r="B2185"/>
      <c r="C2185"/>
      <c r="D2185"/>
      <c r="E2185"/>
      <c r="F2185"/>
      <c r="G2185"/>
      <c r="H2185"/>
      <c r="I2185"/>
    </row>
    <row r="2186" spans="2:9" x14ac:dyDescent="0.25">
      <c r="B2186"/>
      <c r="C2186"/>
      <c r="D2186"/>
      <c r="E2186"/>
      <c r="F2186"/>
      <c r="G2186"/>
      <c r="H2186"/>
      <c r="I2186"/>
    </row>
    <row r="2187" spans="2:9" x14ac:dyDescent="0.25">
      <c r="B2187"/>
      <c r="C2187"/>
      <c r="D2187"/>
      <c r="E2187"/>
      <c r="F2187"/>
      <c r="G2187"/>
      <c r="H2187"/>
      <c r="I2187"/>
    </row>
    <row r="2188" spans="2:9" x14ac:dyDescent="0.25">
      <c r="B2188"/>
      <c r="C2188"/>
      <c r="D2188"/>
      <c r="E2188"/>
      <c r="F2188"/>
      <c r="G2188"/>
      <c r="H2188"/>
      <c r="I2188"/>
    </row>
    <row r="2189" spans="2:9" x14ac:dyDescent="0.25">
      <c r="B2189"/>
      <c r="C2189"/>
      <c r="D2189"/>
      <c r="E2189"/>
      <c r="F2189"/>
      <c r="G2189"/>
      <c r="H2189"/>
      <c r="I2189"/>
    </row>
    <row r="2190" spans="2:9" x14ac:dyDescent="0.25">
      <c r="B2190"/>
      <c r="C2190"/>
      <c r="D2190"/>
      <c r="E2190"/>
      <c r="F2190"/>
      <c r="G2190"/>
      <c r="H2190"/>
      <c r="I2190"/>
    </row>
    <row r="2191" spans="2:9" x14ac:dyDescent="0.25">
      <c r="B2191"/>
      <c r="C2191"/>
      <c r="D2191"/>
      <c r="E2191"/>
      <c r="F2191"/>
      <c r="G2191"/>
      <c r="H2191"/>
      <c r="I2191"/>
    </row>
    <row r="2192" spans="2:9" x14ac:dyDescent="0.25">
      <c r="B2192"/>
      <c r="C2192"/>
      <c r="D2192"/>
      <c r="E2192"/>
      <c r="F2192"/>
      <c r="G2192"/>
      <c r="H2192"/>
      <c r="I2192"/>
    </row>
    <row r="2193" spans="2:9" x14ac:dyDescent="0.25">
      <c r="B2193"/>
      <c r="C2193"/>
      <c r="D2193"/>
      <c r="E2193"/>
      <c r="F2193"/>
      <c r="G2193"/>
      <c r="H2193"/>
      <c r="I2193"/>
    </row>
    <row r="2194" spans="2:9" x14ac:dyDescent="0.25">
      <c r="B2194"/>
      <c r="C2194"/>
      <c r="D2194"/>
      <c r="E2194"/>
      <c r="F2194"/>
      <c r="G2194"/>
      <c r="H2194"/>
      <c r="I2194"/>
    </row>
    <row r="2195" spans="2:9" x14ac:dyDescent="0.25">
      <c r="B2195"/>
      <c r="C2195"/>
      <c r="D2195"/>
      <c r="E2195"/>
      <c r="F2195"/>
      <c r="G2195"/>
      <c r="H2195"/>
      <c r="I2195"/>
    </row>
    <row r="2196" spans="2:9" x14ac:dyDescent="0.25">
      <c r="B2196"/>
      <c r="C2196"/>
      <c r="D2196"/>
      <c r="E2196"/>
      <c r="F2196"/>
      <c r="G2196"/>
      <c r="H2196"/>
      <c r="I2196"/>
    </row>
    <row r="2197" spans="2:9" x14ac:dyDescent="0.25">
      <c r="B2197"/>
      <c r="C2197"/>
      <c r="D2197"/>
      <c r="E2197"/>
      <c r="F2197"/>
      <c r="G2197"/>
      <c r="H2197"/>
      <c r="I2197"/>
    </row>
    <row r="2198" spans="2:9" x14ac:dyDescent="0.25">
      <c r="B2198"/>
      <c r="C2198"/>
      <c r="D2198"/>
      <c r="E2198"/>
      <c r="F2198"/>
      <c r="G2198"/>
      <c r="H2198"/>
      <c r="I2198"/>
    </row>
    <row r="2199" spans="2:9" x14ac:dyDescent="0.25">
      <c r="B2199"/>
      <c r="C2199"/>
      <c r="D2199"/>
      <c r="E2199"/>
      <c r="F2199"/>
      <c r="G2199"/>
      <c r="H2199"/>
      <c r="I2199"/>
    </row>
    <row r="2200" spans="2:9" x14ac:dyDescent="0.25">
      <c r="B2200"/>
      <c r="C2200"/>
      <c r="D2200"/>
      <c r="E2200"/>
      <c r="F2200"/>
      <c r="G2200"/>
      <c r="H2200"/>
      <c r="I2200"/>
    </row>
    <row r="2201" spans="2:9" x14ac:dyDescent="0.25">
      <c r="B2201"/>
      <c r="C2201"/>
      <c r="D2201"/>
      <c r="E2201"/>
      <c r="F2201"/>
      <c r="G2201"/>
      <c r="H2201"/>
      <c r="I2201"/>
    </row>
    <row r="2202" spans="2:9" x14ac:dyDescent="0.25">
      <c r="B2202"/>
      <c r="C2202"/>
      <c r="D2202"/>
      <c r="E2202"/>
      <c r="F2202"/>
      <c r="G2202"/>
      <c r="H2202"/>
      <c r="I2202"/>
    </row>
    <row r="2203" spans="2:9" x14ac:dyDescent="0.25">
      <c r="B2203"/>
      <c r="C2203"/>
      <c r="D2203"/>
      <c r="E2203"/>
      <c r="F2203"/>
      <c r="G2203"/>
      <c r="H2203"/>
      <c r="I2203"/>
    </row>
    <row r="2204" spans="2:9" x14ac:dyDescent="0.25">
      <c r="B2204"/>
      <c r="C2204"/>
      <c r="D2204"/>
      <c r="E2204"/>
      <c r="F2204"/>
      <c r="G2204"/>
      <c r="H2204"/>
      <c r="I2204"/>
    </row>
    <row r="2205" spans="2:9" x14ac:dyDescent="0.25">
      <c r="B2205"/>
      <c r="C2205"/>
      <c r="D2205"/>
      <c r="E2205"/>
      <c r="F2205"/>
      <c r="G2205"/>
      <c r="H2205"/>
      <c r="I2205"/>
    </row>
    <row r="2206" spans="2:9" x14ac:dyDescent="0.25">
      <c r="B2206"/>
      <c r="C2206"/>
      <c r="D2206"/>
      <c r="E2206"/>
      <c r="F2206"/>
      <c r="G2206"/>
      <c r="H2206"/>
      <c r="I2206"/>
    </row>
    <row r="2207" spans="2:9" x14ac:dyDescent="0.25">
      <c r="B2207"/>
      <c r="C2207"/>
      <c r="D2207"/>
      <c r="E2207"/>
      <c r="F2207"/>
      <c r="G2207"/>
      <c r="H2207"/>
      <c r="I2207"/>
    </row>
    <row r="2208" spans="2:9" x14ac:dyDescent="0.25">
      <c r="B2208"/>
      <c r="C2208"/>
      <c r="D2208"/>
      <c r="E2208"/>
      <c r="F2208"/>
      <c r="G2208"/>
      <c r="H2208"/>
      <c r="I2208"/>
    </row>
    <row r="2209" spans="2:9" x14ac:dyDescent="0.25">
      <c r="B2209"/>
      <c r="C2209"/>
      <c r="D2209"/>
      <c r="E2209"/>
      <c r="F2209"/>
      <c r="G2209"/>
      <c r="H2209"/>
      <c r="I2209"/>
    </row>
    <row r="2210" spans="2:9" x14ac:dyDescent="0.25">
      <c r="B2210"/>
      <c r="C2210"/>
      <c r="D2210"/>
      <c r="E2210"/>
      <c r="F2210"/>
      <c r="G2210"/>
      <c r="H2210"/>
      <c r="I2210"/>
    </row>
    <row r="2211" spans="2:9" x14ac:dyDescent="0.25">
      <c r="B2211"/>
      <c r="C2211"/>
      <c r="D2211"/>
      <c r="E2211"/>
      <c r="F2211"/>
      <c r="G2211"/>
      <c r="H2211"/>
      <c r="I2211"/>
    </row>
    <row r="2212" spans="2:9" x14ac:dyDescent="0.25">
      <c r="B2212"/>
      <c r="C2212"/>
      <c r="D2212"/>
      <c r="E2212"/>
      <c r="F2212"/>
      <c r="G2212"/>
      <c r="H2212"/>
      <c r="I2212"/>
    </row>
    <row r="2213" spans="2:9" x14ac:dyDescent="0.25">
      <c r="B2213"/>
      <c r="C2213"/>
      <c r="D2213"/>
      <c r="E2213"/>
      <c r="F2213"/>
      <c r="G2213"/>
      <c r="H2213"/>
      <c r="I2213"/>
    </row>
    <row r="2214" spans="2:9" x14ac:dyDescent="0.25">
      <c r="B2214"/>
      <c r="C2214"/>
      <c r="D2214"/>
      <c r="E2214"/>
      <c r="F2214"/>
      <c r="G2214"/>
      <c r="H2214"/>
      <c r="I2214"/>
    </row>
    <row r="2215" spans="2:9" x14ac:dyDescent="0.25">
      <c r="B2215"/>
      <c r="C2215"/>
      <c r="D2215"/>
      <c r="E2215"/>
      <c r="F2215"/>
      <c r="G2215"/>
      <c r="H2215"/>
      <c r="I2215"/>
    </row>
    <row r="2216" spans="2:9" x14ac:dyDescent="0.25">
      <c r="B2216"/>
      <c r="C2216"/>
      <c r="D2216"/>
      <c r="E2216"/>
      <c r="F2216"/>
      <c r="G2216"/>
      <c r="H2216"/>
      <c r="I2216"/>
    </row>
    <row r="2217" spans="2:9" x14ac:dyDescent="0.25">
      <c r="B2217"/>
      <c r="C2217"/>
      <c r="D2217"/>
      <c r="E2217"/>
      <c r="F2217"/>
      <c r="G2217"/>
      <c r="H2217"/>
      <c r="I2217"/>
    </row>
    <row r="2218" spans="2:9" x14ac:dyDescent="0.25">
      <c r="B2218"/>
      <c r="C2218"/>
      <c r="D2218"/>
      <c r="E2218"/>
      <c r="F2218"/>
      <c r="G2218"/>
      <c r="H2218"/>
      <c r="I2218"/>
    </row>
    <row r="2219" spans="2:9" x14ac:dyDescent="0.25">
      <c r="B2219"/>
      <c r="C2219"/>
      <c r="D2219"/>
      <c r="E2219"/>
      <c r="F2219"/>
      <c r="G2219"/>
      <c r="H2219"/>
      <c r="I2219"/>
    </row>
    <row r="2220" spans="2:9" x14ac:dyDescent="0.25">
      <c r="B2220"/>
      <c r="C2220"/>
      <c r="D2220"/>
      <c r="E2220"/>
      <c r="F2220"/>
      <c r="G2220"/>
      <c r="H2220"/>
      <c r="I2220"/>
    </row>
    <row r="2221" spans="2:9" x14ac:dyDescent="0.25">
      <c r="B2221"/>
      <c r="C2221"/>
      <c r="D2221"/>
      <c r="E2221"/>
      <c r="F2221"/>
      <c r="G2221"/>
      <c r="H2221"/>
      <c r="I2221"/>
    </row>
    <row r="2222" spans="2:9" x14ac:dyDescent="0.25">
      <c r="B2222"/>
      <c r="C2222"/>
      <c r="D2222"/>
      <c r="E2222"/>
      <c r="F2222"/>
      <c r="G2222"/>
      <c r="H2222"/>
      <c r="I2222"/>
    </row>
    <row r="2223" spans="2:9" x14ac:dyDescent="0.25">
      <c r="B2223"/>
      <c r="C2223"/>
      <c r="D2223"/>
      <c r="E2223"/>
      <c r="F2223"/>
      <c r="G2223"/>
      <c r="H2223"/>
      <c r="I2223"/>
    </row>
    <row r="2224" spans="2:9" x14ac:dyDescent="0.25">
      <c r="B2224"/>
      <c r="C2224"/>
      <c r="D2224"/>
      <c r="E2224"/>
      <c r="F2224"/>
      <c r="G2224"/>
      <c r="H2224"/>
      <c r="I2224"/>
    </row>
    <row r="2225" spans="2:9" x14ac:dyDescent="0.25">
      <c r="B2225"/>
      <c r="C2225"/>
      <c r="D2225"/>
      <c r="E2225"/>
      <c r="F2225"/>
      <c r="G2225"/>
      <c r="H2225"/>
      <c r="I2225"/>
    </row>
    <row r="2226" spans="2:9" x14ac:dyDescent="0.25">
      <c r="B2226"/>
      <c r="C2226"/>
      <c r="D2226"/>
      <c r="E2226"/>
      <c r="F2226"/>
      <c r="G2226"/>
      <c r="H2226"/>
      <c r="I2226"/>
    </row>
    <row r="2227" spans="2:9" x14ac:dyDescent="0.25">
      <c r="B2227"/>
      <c r="C2227"/>
      <c r="D2227"/>
      <c r="E2227"/>
      <c r="F2227"/>
      <c r="G2227"/>
      <c r="H2227"/>
      <c r="I2227"/>
    </row>
    <row r="2228" spans="2:9" x14ac:dyDescent="0.25">
      <c r="B2228"/>
      <c r="C2228"/>
      <c r="D2228"/>
      <c r="E2228"/>
      <c r="F2228"/>
      <c r="G2228"/>
      <c r="H2228"/>
      <c r="I2228"/>
    </row>
    <row r="2229" spans="2:9" x14ac:dyDescent="0.25">
      <c r="B2229"/>
      <c r="C2229"/>
      <c r="D2229"/>
      <c r="E2229"/>
      <c r="F2229"/>
      <c r="G2229"/>
      <c r="H2229"/>
      <c r="I2229"/>
    </row>
    <row r="2230" spans="2:9" x14ac:dyDescent="0.25">
      <c r="B2230"/>
      <c r="C2230"/>
      <c r="D2230"/>
      <c r="E2230"/>
      <c r="F2230"/>
      <c r="G2230"/>
      <c r="H2230"/>
      <c r="I2230"/>
    </row>
    <row r="2231" spans="2:9" x14ac:dyDescent="0.25">
      <c r="B2231"/>
      <c r="C2231"/>
      <c r="D2231"/>
      <c r="E2231"/>
      <c r="F2231"/>
      <c r="G2231"/>
      <c r="H2231"/>
      <c r="I2231"/>
    </row>
    <row r="2232" spans="2:9" x14ac:dyDescent="0.25">
      <c r="B2232"/>
      <c r="C2232"/>
      <c r="D2232"/>
      <c r="E2232"/>
      <c r="F2232"/>
      <c r="G2232"/>
      <c r="H2232"/>
      <c r="I2232"/>
    </row>
    <row r="2233" spans="2:9" x14ac:dyDescent="0.25">
      <c r="B2233"/>
      <c r="C2233"/>
      <c r="D2233"/>
      <c r="E2233"/>
      <c r="F2233"/>
      <c r="G2233"/>
      <c r="H2233"/>
      <c r="I2233"/>
    </row>
    <row r="2234" spans="2:9" x14ac:dyDescent="0.25">
      <c r="B2234"/>
      <c r="C2234"/>
      <c r="D2234"/>
      <c r="E2234"/>
      <c r="F2234"/>
      <c r="G2234"/>
      <c r="H2234"/>
      <c r="I2234"/>
    </row>
    <row r="2235" spans="2:9" x14ac:dyDescent="0.25">
      <c r="B2235"/>
      <c r="C2235"/>
      <c r="D2235"/>
      <c r="E2235"/>
      <c r="F2235"/>
      <c r="G2235"/>
      <c r="H2235"/>
      <c r="I2235"/>
    </row>
    <row r="2236" spans="2:9" x14ac:dyDescent="0.25">
      <c r="B2236"/>
      <c r="C2236"/>
      <c r="D2236"/>
      <c r="E2236"/>
      <c r="F2236"/>
      <c r="G2236"/>
      <c r="H2236"/>
      <c r="I2236"/>
    </row>
    <row r="2237" spans="2:9" x14ac:dyDescent="0.25">
      <c r="B2237"/>
      <c r="C2237"/>
      <c r="D2237"/>
      <c r="E2237"/>
      <c r="F2237"/>
      <c r="G2237"/>
      <c r="H2237"/>
      <c r="I2237"/>
    </row>
    <row r="2238" spans="2:9" x14ac:dyDescent="0.25">
      <c r="B2238"/>
      <c r="C2238"/>
      <c r="D2238"/>
      <c r="E2238"/>
      <c r="F2238"/>
      <c r="G2238"/>
      <c r="H2238"/>
      <c r="I2238"/>
    </row>
    <row r="2239" spans="2:9" x14ac:dyDescent="0.25">
      <c r="B2239"/>
      <c r="C2239"/>
      <c r="D2239"/>
      <c r="E2239"/>
      <c r="F2239"/>
      <c r="G2239"/>
      <c r="H2239"/>
      <c r="I2239"/>
    </row>
    <row r="2240" spans="2:9" x14ac:dyDescent="0.25">
      <c r="B2240"/>
      <c r="C2240"/>
      <c r="D2240"/>
      <c r="E2240"/>
      <c r="F2240"/>
      <c r="G2240"/>
      <c r="H2240"/>
      <c r="I2240"/>
    </row>
    <row r="2241" spans="2:9" x14ac:dyDescent="0.25">
      <c r="B2241"/>
      <c r="C2241"/>
      <c r="D2241"/>
      <c r="E2241"/>
      <c r="F2241"/>
      <c r="G2241"/>
      <c r="H2241"/>
      <c r="I2241"/>
    </row>
    <row r="2242" spans="2:9" x14ac:dyDescent="0.25">
      <c r="B2242"/>
      <c r="C2242"/>
      <c r="D2242"/>
      <c r="E2242"/>
      <c r="F2242"/>
      <c r="G2242"/>
      <c r="H2242"/>
      <c r="I2242"/>
    </row>
    <row r="2243" spans="2:9" x14ac:dyDescent="0.25">
      <c r="B2243"/>
      <c r="C2243"/>
      <c r="D2243"/>
      <c r="E2243"/>
      <c r="F2243"/>
      <c r="G2243"/>
      <c r="H2243"/>
      <c r="I2243"/>
    </row>
    <row r="2244" spans="2:9" x14ac:dyDescent="0.25">
      <c r="B2244"/>
      <c r="C2244"/>
      <c r="D2244"/>
      <c r="E2244"/>
      <c r="F2244"/>
      <c r="G2244"/>
      <c r="H2244"/>
      <c r="I2244"/>
    </row>
    <row r="2245" spans="2:9" x14ac:dyDescent="0.25">
      <c r="B2245"/>
      <c r="C2245"/>
      <c r="D2245"/>
      <c r="E2245"/>
      <c r="F2245"/>
      <c r="G2245"/>
      <c r="H2245"/>
      <c r="I2245"/>
    </row>
    <row r="2246" spans="2:9" x14ac:dyDescent="0.25">
      <c r="B2246"/>
      <c r="C2246"/>
      <c r="D2246"/>
      <c r="E2246"/>
      <c r="F2246"/>
      <c r="G2246"/>
      <c r="H2246"/>
      <c r="I2246"/>
    </row>
    <row r="2247" spans="2:9" x14ac:dyDescent="0.25">
      <c r="B2247"/>
      <c r="C2247"/>
      <c r="D2247"/>
      <c r="E2247"/>
      <c r="F2247"/>
      <c r="G2247"/>
      <c r="H2247"/>
      <c r="I2247"/>
    </row>
    <row r="2248" spans="2:9" x14ac:dyDescent="0.25">
      <c r="B2248"/>
      <c r="C2248"/>
      <c r="D2248"/>
      <c r="E2248"/>
      <c r="F2248"/>
      <c r="G2248"/>
      <c r="H2248"/>
      <c r="I2248"/>
    </row>
    <row r="2249" spans="2:9" x14ac:dyDescent="0.25">
      <c r="B2249"/>
      <c r="C2249"/>
      <c r="D2249"/>
      <c r="E2249"/>
      <c r="F2249"/>
      <c r="G2249"/>
      <c r="H2249"/>
      <c r="I2249"/>
    </row>
    <row r="2250" spans="2:9" x14ac:dyDescent="0.25">
      <c r="B2250"/>
      <c r="C2250"/>
      <c r="D2250"/>
      <c r="E2250"/>
      <c r="F2250"/>
      <c r="G2250"/>
      <c r="H2250"/>
      <c r="I2250"/>
    </row>
    <row r="2251" spans="2:9" x14ac:dyDescent="0.25">
      <c r="B2251"/>
      <c r="C2251"/>
      <c r="D2251"/>
      <c r="E2251"/>
      <c r="F2251"/>
      <c r="G2251"/>
      <c r="H2251"/>
      <c r="I2251"/>
    </row>
    <row r="2252" spans="2:9" x14ac:dyDescent="0.25">
      <c r="B2252"/>
      <c r="C2252"/>
      <c r="D2252"/>
      <c r="E2252"/>
      <c r="F2252"/>
      <c r="G2252"/>
      <c r="H2252"/>
      <c r="I2252"/>
    </row>
    <row r="2253" spans="2:9" x14ac:dyDescent="0.25">
      <c r="B2253"/>
      <c r="C2253"/>
      <c r="D2253"/>
      <c r="E2253"/>
      <c r="F2253"/>
      <c r="G2253"/>
      <c r="H2253"/>
      <c r="I2253"/>
    </row>
    <row r="2254" spans="2:9" x14ac:dyDescent="0.25">
      <c r="B2254"/>
      <c r="C2254"/>
      <c r="D2254"/>
      <c r="E2254"/>
      <c r="F2254"/>
      <c r="G2254"/>
      <c r="H2254"/>
      <c r="I2254"/>
    </row>
    <row r="2255" spans="2:9" x14ac:dyDescent="0.25">
      <c r="B2255"/>
      <c r="C2255"/>
      <c r="D2255"/>
      <c r="E2255"/>
      <c r="F2255"/>
      <c r="G2255"/>
      <c r="H2255"/>
      <c r="I2255"/>
    </row>
    <row r="2256" spans="2:9" x14ac:dyDescent="0.25">
      <c r="B2256"/>
      <c r="C2256"/>
      <c r="D2256"/>
      <c r="E2256"/>
      <c r="F2256"/>
      <c r="G2256"/>
      <c r="H2256"/>
      <c r="I2256"/>
    </row>
    <row r="2257" spans="2:9" x14ac:dyDescent="0.25">
      <c r="B2257"/>
      <c r="C2257"/>
      <c r="D2257"/>
      <c r="E2257"/>
      <c r="F2257"/>
      <c r="G2257"/>
      <c r="H2257"/>
      <c r="I2257"/>
    </row>
    <row r="2258" spans="2:9" x14ac:dyDescent="0.25">
      <c r="B2258"/>
      <c r="C2258"/>
      <c r="D2258"/>
      <c r="E2258"/>
      <c r="F2258"/>
      <c r="G2258"/>
      <c r="H2258"/>
      <c r="I2258"/>
    </row>
    <row r="2259" spans="2:9" x14ac:dyDescent="0.25">
      <c r="B2259"/>
      <c r="C2259"/>
      <c r="D2259"/>
      <c r="E2259"/>
      <c r="F2259"/>
      <c r="G2259"/>
      <c r="H2259"/>
      <c r="I2259"/>
    </row>
    <row r="2260" spans="2:9" x14ac:dyDescent="0.25">
      <c r="B2260"/>
      <c r="C2260"/>
      <c r="D2260"/>
      <c r="E2260"/>
      <c r="F2260"/>
      <c r="G2260"/>
      <c r="H2260"/>
      <c r="I2260"/>
    </row>
    <row r="2261" spans="2:9" x14ac:dyDescent="0.25">
      <c r="B2261"/>
      <c r="C2261"/>
      <c r="D2261"/>
      <c r="E2261"/>
      <c r="F2261"/>
      <c r="G2261"/>
      <c r="H2261"/>
      <c r="I2261"/>
    </row>
    <row r="2262" spans="2:9" x14ac:dyDescent="0.25">
      <c r="B2262"/>
      <c r="C2262"/>
      <c r="D2262"/>
      <c r="E2262"/>
      <c r="F2262"/>
      <c r="G2262"/>
      <c r="H2262"/>
      <c r="I2262"/>
    </row>
    <row r="2263" spans="2:9" x14ac:dyDescent="0.25">
      <c r="B2263"/>
      <c r="C2263"/>
      <c r="D2263"/>
      <c r="E2263"/>
      <c r="F2263"/>
      <c r="G2263"/>
      <c r="H2263"/>
      <c r="I2263"/>
    </row>
    <row r="2264" spans="2:9" x14ac:dyDescent="0.25">
      <c r="B2264"/>
      <c r="C2264"/>
      <c r="D2264"/>
      <c r="E2264"/>
      <c r="F2264"/>
      <c r="G2264"/>
      <c r="H2264"/>
      <c r="I2264"/>
    </row>
    <row r="2265" spans="2:9" x14ac:dyDescent="0.25">
      <c r="B2265"/>
      <c r="C2265"/>
      <c r="D2265"/>
      <c r="E2265"/>
      <c r="F2265"/>
      <c r="G2265"/>
      <c r="H2265"/>
      <c r="I2265"/>
    </row>
    <row r="2266" spans="2:9" x14ac:dyDescent="0.25">
      <c r="B2266"/>
      <c r="C2266"/>
      <c r="D2266"/>
      <c r="E2266"/>
      <c r="F2266"/>
      <c r="G2266"/>
      <c r="H2266"/>
      <c r="I2266"/>
    </row>
    <row r="2267" spans="2:9" x14ac:dyDescent="0.25">
      <c r="B2267"/>
      <c r="C2267"/>
      <c r="D2267"/>
      <c r="E2267"/>
      <c r="F2267"/>
      <c r="G2267"/>
      <c r="H2267"/>
      <c r="I2267"/>
    </row>
    <row r="2268" spans="2:9" x14ac:dyDescent="0.25">
      <c r="B2268"/>
      <c r="C2268"/>
      <c r="D2268"/>
      <c r="E2268"/>
      <c r="F2268"/>
      <c r="G2268"/>
      <c r="H2268"/>
      <c r="I2268"/>
    </row>
    <row r="2269" spans="2:9" x14ac:dyDescent="0.25">
      <c r="B2269"/>
      <c r="C2269"/>
      <c r="D2269"/>
      <c r="E2269"/>
      <c r="F2269"/>
      <c r="G2269"/>
      <c r="H2269"/>
      <c r="I2269"/>
    </row>
    <row r="2270" spans="2:9" x14ac:dyDescent="0.25">
      <c r="B2270"/>
      <c r="C2270"/>
      <c r="D2270"/>
      <c r="E2270"/>
      <c r="F2270"/>
      <c r="G2270"/>
      <c r="H2270"/>
      <c r="I2270"/>
    </row>
    <row r="2271" spans="2:9" x14ac:dyDescent="0.25">
      <c r="B2271"/>
      <c r="C2271"/>
      <c r="D2271"/>
      <c r="E2271"/>
      <c r="F2271"/>
      <c r="G2271"/>
      <c r="H2271"/>
      <c r="I2271"/>
    </row>
    <row r="2272" spans="2:9" x14ac:dyDescent="0.25">
      <c r="B2272"/>
      <c r="C2272"/>
      <c r="D2272"/>
      <c r="E2272"/>
      <c r="F2272"/>
      <c r="G2272"/>
      <c r="H2272"/>
      <c r="I2272"/>
    </row>
    <row r="2273" spans="2:9" x14ac:dyDescent="0.25">
      <c r="B2273"/>
      <c r="C2273"/>
      <c r="D2273"/>
      <c r="E2273"/>
      <c r="F2273"/>
      <c r="G2273"/>
      <c r="H2273"/>
      <c r="I2273"/>
    </row>
    <row r="2274" spans="2:9" x14ac:dyDescent="0.25">
      <c r="B2274"/>
      <c r="C2274"/>
      <c r="D2274"/>
      <c r="E2274"/>
      <c r="F2274"/>
      <c r="G2274"/>
      <c r="H2274"/>
      <c r="I2274"/>
    </row>
    <row r="2275" spans="2:9" x14ac:dyDescent="0.25">
      <c r="B2275"/>
      <c r="C2275"/>
      <c r="D2275"/>
      <c r="E2275"/>
      <c r="F2275"/>
      <c r="G2275"/>
      <c r="H2275"/>
      <c r="I2275"/>
    </row>
    <row r="2276" spans="2:9" x14ac:dyDescent="0.25">
      <c r="B2276"/>
      <c r="C2276"/>
      <c r="D2276"/>
      <c r="E2276"/>
      <c r="F2276"/>
      <c r="G2276"/>
      <c r="H2276"/>
      <c r="I2276"/>
    </row>
    <row r="2277" spans="2:9" x14ac:dyDescent="0.25">
      <c r="B2277"/>
      <c r="C2277"/>
      <c r="D2277"/>
      <c r="E2277"/>
      <c r="F2277"/>
      <c r="G2277"/>
      <c r="H2277"/>
      <c r="I2277"/>
    </row>
    <row r="2278" spans="2:9" x14ac:dyDescent="0.25">
      <c r="B2278"/>
      <c r="C2278"/>
      <c r="D2278"/>
      <c r="E2278"/>
      <c r="F2278"/>
      <c r="G2278"/>
      <c r="H2278"/>
      <c r="I2278"/>
    </row>
    <row r="2279" spans="2:9" x14ac:dyDescent="0.25">
      <c r="B2279"/>
      <c r="C2279"/>
      <c r="D2279"/>
      <c r="E2279"/>
      <c r="F2279"/>
      <c r="G2279"/>
      <c r="H2279"/>
      <c r="I2279"/>
    </row>
    <row r="2280" spans="2:9" x14ac:dyDescent="0.25">
      <c r="B2280"/>
      <c r="C2280"/>
      <c r="D2280"/>
      <c r="E2280"/>
      <c r="F2280"/>
      <c r="G2280"/>
      <c r="H2280"/>
      <c r="I2280"/>
    </row>
    <row r="2281" spans="2:9" x14ac:dyDescent="0.25">
      <c r="B2281"/>
      <c r="C2281"/>
      <c r="D2281"/>
      <c r="E2281"/>
      <c r="F2281"/>
      <c r="G2281"/>
      <c r="H2281"/>
      <c r="I2281"/>
    </row>
    <row r="2282" spans="2:9" x14ac:dyDescent="0.25">
      <c r="B2282"/>
      <c r="C2282"/>
      <c r="D2282"/>
      <c r="E2282"/>
      <c r="F2282"/>
      <c r="G2282"/>
      <c r="H2282"/>
      <c r="I2282"/>
    </row>
    <row r="2283" spans="2:9" x14ac:dyDescent="0.25">
      <c r="B2283"/>
      <c r="C2283"/>
      <c r="D2283"/>
      <c r="E2283"/>
      <c r="F2283"/>
      <c r="G2283"/>
      <c r="H2283"/>
      <c r="I2283"/>
    </row>
    <row r="2284" spans="2:9" x14ac:dyDescent="0.25">
      <c r="B2284"/>
      <c r="C2284"/>
      <c r="D2284"/>
      <c r="E2284"/>
      <c r="F2284"/>
      <c r="G2284"/>
      <c r="H2284"/>
      <c r="I2284"/>
    </row>
    <row r="2285" spans="2:9" x14ac:dyDescent="0.25">
      <c r="B2285"/>
      <c r="C2285"/>
      <c r="D2285"/>
      <c r="E2285"/>
      <c r="F2285"/>
      <c r="G2285"/>
      <c r="H2285"/>
      <c r="I2285"/>
    </row>
    <row r="2286" spans="2:9" x14ac:dyDescent="0.25">
      <c r="B2286"/>
      <c r="C2286"/>
      <c r="D2286"/>
      <c r="E2286"/>
      <c r="F2286"/>
      <c r="G2286"/>
      <c r="H2286"/>
      <c r="I2286"/>
    </row>
    <row r="2287" spans="2:9" x14ac:dyDescent="0.25">
      <c r="B2287"/>
      <c r="C2287"/>
      <c r="D2287"/>
      <c r="E2287"/>
      <c r="F2287"/>
      <c r="G2287"/>
      <c r="H2287"/>
      <c r="I2287"/>
    </row>
    <row r="2288" spans="2:9" x14ac:dyDescent="0.25">
      <c r="B2288"/>
      <c r="C2288"/>
      <c r="D2288"/>
      <c r="E2288"/>
      <c r="F2288"/>
      <c r="G2288"/>
      <c r="H2288"/>
      <c r="I2288"/>
    </row>
    <row r="2289" spans="2:9" x14ac:dyDescent="0.25">
      <c r="B2289"/>
      <c r="C2289"/>
      <c r="D2289"/>
      <c r="E2289"/>
      <c r="F2289"/>
      <c r="G2289"/>
      <c r="H2289"/>
      <c r="I2289"/>
    </row>
    <row r="2290" spans="2:9" x14ac:dyDescent="0.25">
      <c r="B2290"/>
      <c r="C2290"/>
      <c r="D2290"/>
      <c r="E2290"/>
      <c r="F2290"/>
      <c r="G2290"/>
      <c r="H2290"/>
      <c r="I2290"/>
    </row>
    <row r="2291" spans="2:9" x14ac:dyDescent="0.25">
      <c r="B2291"/>
      <c r="C2291"/>
      <c r="D2291"/>
      <c r="E2291"/>
      <c r="F2291"/>
      <c r="G2291"/>
      <c r="H2291"/>
      <c r="I2291"/>
    </row>
    <row r="2292" spans="2:9" x14ac:dyDescent="0.25">
      <c r="B2292"/>
      <c r="C2292"/>
      <c r="D2292"/>
      <c r="E2292"/>
      <c r="F2292"/>
      <c r="G2292"/>
      <c r="H2292"/>
      <c r="I2292"/>
    </row>
    <row r="2293" spans="2:9" x14ac:dyDescent="0.25">
      <c r="B2293"/>
      <c r="C2293"/>
      <c r="D2293"/>
      <c r="E2293"/>
      <c r="F2293"/>
      <c r="G2293"/>
      <c r="H2293"/>
      <c r="I2293"/>
    </row>
    <row r="2294" spans="2:9" x14ac:dyDescent="0.25">
      <c r="B2294"/>
      <c r="C2294"/>
      <c r="D2294"/>
      <c r="E2294"/>
      <c r="F2294"/>
      <c r="G2294"/>
      <c r="H2294"/>
      <c r="I2294"/>
    </row>
    <row r="2295" spans="2:9" x14ac:dyDescent="0.25">
      <c r="B2295"/>
      <c r="C2295"/>
      <c r="D2295"/>
      <c r="E2295"/>
      <c r="F2295"/>
      <c r="G2295"/>
      <c r="H2295"/>
      <c r="I2295"/>
    </row>
    <row r="2296" spans="2:9" x14ac:dyDescent="0.25">
      <c r="B2296"/>
      <c r="C2296"/>
      <c r="D2296"/>
      <c r="E2296"/>
      <c r="F2296"/>
      <c r="G2296"/>
      <c r="H2296"/>
      <c r="I2296"/>
    </row>
    <row r="2297" spans="2:9" x14ac:dyDescent="0.25">
      <c r="B2297"/>
      <c r="C2297"/>
      <c r="D2297"/>
      <c r="E2297"/>
      <c r="F2297"/>
      <c r="G2297"/>
      <c r="H2297"/>
      <c r="I2297"/>
    </row>
    <row r="2298" spans="2:9" x14ac:dyDescent="0.25">
      <c r="B2298"/>
      <c r="C2298"/>
      <c r="D2298"/>
      <c r="E2298"/>
      <c r="F2298"/>
      <c r="G2298"/>
      <c r="H2298"/>
      <c r="I2298"/>
    </row>
    <row r="2299" spans="2:9" x14ac:dyDescent="0.25">
      <c r="B2299"/>
      <c r="C2299"/>
      <c r="D2299"/>
      <c r="E2299"/>
      <c r="F2299"/>
      <c r="G2299"/>
      <c r="H2299"/>
      <c r="I2299"/>
    </row>
    <row r="2300" spans="2:9" x14ac:dyDescent="0.25">
      <c r="B2300"/>
      <c r="C2300"/>
      <c r="D2300"/>
      <c r="E2300"/>
      <c r="F2300"/>
      <c r="G2300"/>
      <c r="H2300"/>
      <c r="I2300"/>
    </row>
    <row r="2301" spans="2:9" x14ac:dyDescent="0.25">
      <c r="B2301"/>
      <c r="C2301"/>
      <c r="D2301"/>
      <c r="E2301"/>
      <c r="F2301"/>
      <c r="G2301"/>
      <c r="H2301"/>
      <c r="I2301"/>
    </row>
    <row r="2302" spans="2:9" x14ac:dyDescent="0.25">
      <c r="B2302"/>
      <c r="C2302"/>
      <c r="D2302"/>
      <c r="E2302"/>
      <c r="F2302"/>
      <c r="G2302"/>
      <c r="H2302"/>
      <c r="I2302"/>
    </row>
    <row r="2303" spans="2:9" x14ac:dyDescent="0.25">
      <c r="B2303"/>
      <c r="C2303"/>
      <c r="D2303"/>
      <c r="E2303"/>
      <c r="F2303"/>
      <c r="G2303"/>
      <c r="H2303"/>
      <c r="I2303"/>
    </row>
    <row r="2304" spans="2:9" x14ac:dyDescent="0.25">
      <c r="B2304"/>
      <c r="C2304"/>
      <c r="D2304"/>
      <c r="E2304"/>
      <c r="F2304"/>
      <c r="G2304"/>
      <c r="H2304"/>
      <c r="I2304"/>
    </row>
    <row r="2305" spans="2:9" x14ac:dyDescent="0.25">
      <c r="B2305"/>
      <c r="C2305"/>
      <c r="D2305"/>
      <c r="E2305"/>
      <c r="F2305"/>
      <c r="G2305"/>
      <c r="H2305"/>
      <c r="I2305"/>
    </row>
    <row r="2306" spans="2:9" x14ac:dyDescent="0.25">
      <c r="B2306"/>
      <c r="C2306"/>
      <c r="D2306"/>
      <c r="E2306"/>
      <c r="F2306"/>
      <c r="G2306"/>
      <c r="H2306"/>
      <c r="I2306"/>
    </row>
    <row r="2307" spans="2:9" x14ac:dyDescent="0.25">
      <c r="B2307"/>
      <c r="C2307"/>
      <c r="D2307"/>
      <c r="E2307"/>
      <c r="F2307"/>
      <c r="G2307"/>
      <c r="H2307"/>
      <c r="I2307"/>
    </row>
    <row r="2308" spans="2:9" x14ac:dyDescent="0.25">
      <c r="B2308"/>
      <c r="C2308"/>
      <c r="D2308"/>
      <c r="E2308"/>
      <c r="F2308"/>
      <c r="G2308"/>
      <c r="H2308"/>
      <c r="I2308"/>
    </row>
    <row r="2309" spans="2:9" x14ac:dyDescent="0.25">
      <c r="B2309"/>
      <c r="C2309"/>
      <c r="D2309"/>
      <c r="E2309"/>
      <c r="F2309"/>
      <c r="G2309"/>
      <c r="H2309"/>
      <c r="I2309"/>
    </row>
    <row r="2310" spans="2:9" x14ac:dyDescent="0.25">
      <c r="B2310"/>
      <c r="C2310"/>
      <c r="D2310"/>
      <c r="E2310"/>
      <c r="F2310"/>
      <c r="G2310"/>
      <c r="H2310"/>
      <c r="I2310"/>
    </row>
    <row r="2311" spans="2:9" x14ac:dyDescent="0.25">
      <c r="B2311"/>
      <c r="C2311"/>
      <c r="D2311"/>
      <c r="E2311"/>
      <c r="F2311"/>
      <c r="G2311"/>
      <c r="H2311"/>
      <c r="I2311"/>
    </row>
    <row r="2312" spans="2:9" x14ac:dyDescent="0.25">
      <c r="B2312"/>
      <c r="C2312"/>
      <c r="D2312"/>
      <c r="E2312"/>
      <c r="F2312"/>
      <c r="G2312"/>
      <c r="H2312"/>
      <c r="I2312"/>
    </row>
    <row r="2313" spans="2:9" x14ac:dyDescent="0.25">
      <c r="B2313"/>
      <c r="C2313"/>
      <c r="D2313"/>
      <c r="E2313"/>
      <c r="F2313"/>
      <c r="G2313"/>
      <c r="H2313"/>
      <c r="I2313"/>
    </row>
    <row r="2314" spans="2:9" x14ac:dyDescent="0.25">
      <c r="B2314"/>
      <c r="C2314"/>
      <c r="D2314"/>
      <c r="E2314"/>
      <c r="F2314"/>
      <c r="G2314"/>
      <c r="H2314"/>
      <c r="I2314"/>
    </row>
    <row r="2315" spans="2:9" x14ac:dyDescent="0.25">
      <c r="B2315"/>
      <c r="C2315"/>
      <c r="D2315"/>
      <c r="E2315"/>
      <c r="F2315"/>
      <c r="G2315"/>
      <c r="H2315"/>
      <c r="I2315"/>
    </row>
    <row r="2316" spans="2:9" x14ac:dyDescent="0.25">
      <c r="B2316"/>
      <c r="C2316"/>
      <c r="D2316"/>
      <c r="E2316"/>
      <c r="F2316"/>
      <c r="G2316"/>
      <c r="H2316"/>
      <c r="I2316"/>
    </row>
    <row r="2317" spans="2:9" x14ac:dyDescent="0.25">
      <c r="B2317"/>
      <c r="C2317"/>
      <c r="D2317"/>
      <c r="E2317"/>
      <c r="F2317"/>
      <c r="G2317"/>
      <c r="H2317"/>
      <c r="I2317"/>
    </row>
    <row r="2318" spans="2:9" x14ac:dyDescent="0.25">
      <c r="B2318"/>
      <c r="C2318"/>
      <c r="D2318"/>
      <c r="E2318"/>
      <c r="F2318"/>
      <c r="G2318"/>
      <c r="H2318"/>
      <c r="I2318"/>
    </row>
    <row r="2319" spans="2:9" x14ac:dyDescent="0.25">
      <c r="B2319"/>
      <c r="C2319"/>
      <c r="D2319"/>
      <c r="E2319"/>
      <c r="F2319"/>
      <c r="G2319"/>
      <c r="H2319"/>
      <c r="I2319"/>
    </row>
    <row r="2320" spans="2:9" x14ac:dyDescent="0.25">
      <c r="B2320"/>
      <c r="C2320"/>
      <c r="D2320"/>
      <c r="E2320"/>
      <c r="F2320"/>
      <c r="G2320"/>
      <c r="H2320"/>
      <c r="I2320"/>
    </row>
    <row r="2321" spans="2:9" x14ac:dyDescent="0.25">
      <c r="B2321"/>
      <c r="C2321"/>
      <c r="D2321"/>
      <c r="E2321"/>
      <c r="F2321"/>
      <c r="G2321"/>
      <c r="H2321"/>
      <c r="I2321"/>
    </row>
    <row r="2322" spans="2:9" x14ac:dyDescent="0.25">
      <c r="B2322"/>
      <c r="C2322"/>
      <c r="D2322"/>
      <c r="E2322"/>
      <c r="F2322"/>
      <c r="G2322"/>
      <c r="H2322"/>
      <c r="I2322"/>
    </row>
    <row r="2323" spans="2:9" x14ac:dyDescent="0.25">
      <c r="B2323"/>
      <c r="C2323"/>
      <c r="D2323"/>
      <c r="E2323"/>
      <c r="F2323"/>
      <c r="G2323"/>
      <c r="H2323"/>
      <c r="I2323"/>
    </row>
    <row r="2324" spans="2:9" x14ac:dyDescent="0.25">
      <c r="B2324"/>
      <c r="C2324"/>
      <c r="D2324"/>
      <c r="E2324"/>
      <c r="F2324"/>
      <c r="G2324"/>
      <c r="H2324"/>
      <c r="I2324"/>
    </row>
    <row r="2325" spans="2:9" x14ac:dyDescent="0.25">
      <c r="B2325"/>
      <c r="C2325"/>
      <c r="D2325"/>
      <c r="E2325"/>
      <c r="F2325"/>
      <c r="G2325"/>
      <c r="H2325"/>
      <c r="I2325"/>
    </row>
    <row r="2326" spans="2:9" x14ac:dyDescent="0.25">
      <c r="B2326"/>
      <c r="C2326"/>
      <c r="D2326"/>
      <c r="E2326"/>
      <c r="F2326"/>
      <c r="G2326"/>
      <c r="H2326"/>
      <c r="I2326"/>
    </row>
    <row r="2327" spans="2:9" x14ac:dyDescent="0.25">
      <c r="B2327"/>
      <c r="C2327"/>
      <c r="D2327"/>
      <c r="E2327"/>
      <c r="F2327"/>
      <c r="G2327"/>
      <c r="H2327"/>
      <c r="I2327"/>
    </row>
    <row r="2328" spans="2:9" x14ac:dyDescent="0.25">
      <c r="B2328"/>
      <c r="C2328"/>
      <c r="D2328"/>
      <c r="E2328"/>
      <c r="F2328"/>
      <c r="G2328"/>
      <c r="H2328"/>
      <c r="I2328"/>
    </row>
    <row r="2329" spans="2:9" x14ac:dyDescent="0.25">
      <c r="B2329"/>
      <c r="C2329"/>
      <c r="D2329"/>
      <c r="E2329"/>
      <c r="F2329"/>
      <c r="G2329"/>
      <c r="H2329"/>
      <c r="I2329"/>
    </row>
    <row r="2330" spans="2:9" x14ac:dyDescent="0.25">
      <c r="B2330"/>
      <c r="C2330"/>
      <c r="D2330"/>
      <c r="E2330"/>
      <c r="F2330"/>
      <c r="G2330"/>
      <c r="H2330"/>
      <c r="I2330"/>
    </row>
    <row r="2331" spans="2:9" x14ac:dyDescent="0.25">
      <c r="B2331"/>
      <c r="C2331"/>
      <c r="D2331"/>
      <c r="E2331"/>
      <c r="F2331"/>
      <c r="G2331"/>
      <c r="H2331"/>
      <c r="I2331"/>
    </row>
    <row r="2332" spans="2:9" x14ac:dyDescent="0.25">
      <c r="B2332"/>
      <c r="C2332"/>
      <c r="D2332"/>
      <c r="E2332"/>
      <c r="F2332"/>
      <c r="G2332"/>
      <c r="H2332"/>
      <c r="I2332"/>
    </row>
    <row r="2333" spans="2:9" x14ac:dyDescent="0.25">
      <c r="B2333"/>
      <c r="C2333"/>
      <c r="D2333"/>
      <c r="E2333"/>
      <c r="F2333"/>
      <c r="G2333"/>
      <c r="H2333"/>
      <c r="I2333"/>
    </row>
    <row r="2334" spans="2:9" x14ac:dyDescent="0.25">
      <c r="B2334"/>
      <c r="C2334"/>
      <c r="D2334"/>
      <c r="E2334"/>
      <c r="F2334"/>
      <c r="G2334"/>
      <c r="H2334"/>
      <c r="I2334"/>
    </row>
    <row r="2335" spans="2:9" x14ac:dyDescent="0.25">
      <c r="B2335"/>
      <c r="C2335"/>
      <c r="D2335"/>
      <c r="E2335"/>
      <c r="F2335"/>
      <c r="G2335"/>
      <c r="H2335"/>
      <c r="I2335"/>
    </row>
    <row r="2336" spans="2:9" x14ac:dyDescent="0.25">
      <c r="B2336"/>
      <c r="C2336"/>
      <c r="D2336"/>
      <c r="E2336"/>
      <c r="F2336"/>
      <c r="G2336"/>
      <c r="H2336"/>
      <c r="I2336"/>
    </row>
    <row r="2337" spans="2:9" x14ac:dyDescent="0.25">
      <c r="B2337"/>
      <c r="C2337"/>
      <c r="D2337"/>
      <c r="E2337"/>
      <c r="F2337"/>
      <c r="G2337"/>
      <c r="H2337"/>
      <c r="I2337"/>
    </row>
    <row r="2338" spans="2:9" x14ac:dyDescent="0.25">
      <c r="B2338"/>
      <c r="C2338"/>
      <c r="D2338"/>
      <c r="E2338"/>
      <c r="F2338"/>
      <c r="G2338"/>
      <c r="H2338"/>
      <c r="I2338"/>
    </row>
    <row r="2339" spans="2:9" x14ac:dyDescent="0.25">
      <c r="B2339"/>
      <c r="C2339"/>
      <c r="D2339"/>
      <c r="E2339"/>
      <c r="F2339"/>
      <c r="G2339"/>
      <c r="H2339"/>
      <c r="I2339"/>
    </row>
    <row r="2340" spans="2:9" x14ac:dyDescent="0.25">
      <c r="B2340"/>
      <c r="C2340"/>
      <c r="D2340"/>
      <c r="E2340"/>
      <c r="F2340"/>
      <c r="G2340"/>
      <c r="H2340"/>
      <c r="I2340"/>
    </row>
    <row r="2341" spans="2:9" x14ac:dyDescent="0.25">
      <c r="B2341"/>
      <c r="C2341"/>
      <c r="D2341"/>
      <c r="E2341"/>
      <c r="F2341"/>
      <c r="G2341"/>
      <c r="H2341"/>
      <c r="I2341"/>
    </row>
    <row r="2342" spans="2:9" x14ac:dyDescent="0.25">
      <c r="B2342"/>
      <c r="C2342"/>
      <c r="D2342"/>
      <c r="E2342"/>
      <c r="F2342"/>
      <c r="G2342"/>
      <c r="H2342"/>
      <c r="I2342"/>
    </row>
    <row r="2343" spans="2:9" x14ac:dyDescent="0.25">
      <c r="B2343"/>
      <c r="C2343"/>
      <c r="D2343"/>
      <c r="E2343"/>
      <c r="F2343"/>
      <c r="G2343"/>
      <c r="H2343"/>
      <c r="I2343"/>
    </row>
    <row r="2344" spans="2:9" x14ac:dyDescent="0.25">
      <c r="B2344"/>
      <c r="C2344"/>
      <c r="D2344"/>
      <c r="E2344"/>
      <c r="F2344"/>
      <c r="G2344"/>
      <c r="H2344"/>
      <c r="I2344"/>
    </row>
    <row r="2345" spans="2:9" x14ac:dyDescent="0.25">
      <c r="B2345"/>
      <c r="C2345"/>
      <c r="D2345"/>
      <c r="E2345"/>
      <c r="F2345"/>
      <c r="G2345"/>
      <c r="H2345"/>
      <c r="I2345"/>
    </row>
    <row r="2346" spans="2:9" x14ac:dyDescent="0.25">
      <c r="B2346"/>
      <c r="C2346"/>
      <c r="D2346"/>
      <c r="E2346"/>
      <c r="F2346"/>
      <c r="G2346"/>
      <c r="H2346"/>
      <c r="I2346"/>
    </row>
    <row r="2347" spans="2:9" x14ac:dyDescent="0.25">
      <c r="B2347"/>
      <c r="C2347"/>
      <c r="D2347"/>
      <c r="E2347"/>
      <c r="F2347"/>
      <c r="G2347"/>
      <c r="H2347"/>
      <c r="I2347"/>
    </row>
    <row r="2348" spans="2:9" x14ac:dyDescent="0.25">
      <c r="B2348"/>
      <c r="C2348"/>
      <c r="D2348"/>
      <c r="E2348"/>
      <c r="F2348"/>
      <c r="G2348"/>
      <c r="H2348"/>
      <c r="I2348"/>
    </row>
    <row r="2349" spans="2:9" x14ac:dyDescent="0.25">
      <c r="B2349"/>
      <c r="C2349"/>
      <c r="D2349"/>
      <c r="E2349"/>
      <c r="F2349"/>
      <c r="G2349"/>
      <c r="H2349"/>
      <c r="I2349"/>
    </row>
    <row r="2350" spans="2:9" x14ac:dyDescent="0.25">
      <c r="B2350"/>
      <c r="C2350"/>
      <c r="D2350"/>
      <c r="E2350"/>
      <c r="F2350"/>
      <c r="G2350"/>
      <c r="H2350"/>
      <c r="I2350"/>
    </row>
    <row r="2351" spans="2:9" x14ac:dyDescent="0.25">
      <c r="B2351"/>
      <c r="C2351"/>
      <c r="D2351"/>
      <c r="E2351"/>
      <c r="F2351"/>
      <c r="G2351"/>
      <c r="H2351"/>
      <c r="I2351"/>
    </row>
    <row r="2352" spans="2:9" x14ac:dyDescent="0.25">
      <c r="B2352"/>
      <c r="C2352"/>
      <c r="D2352"/>
      <c r="E2352"/>
      <c r="F2352"/>
      <c r="G2352"/>
      <c r="H2352"/>
      <c r="I2352"/>
    </row>
    <row r="2353" spans="2:9" x14ac:dyDescent="0.25">
      <c r="B2353"/>
      <c r="C2353"/>
      <c r="D2353"/>
      <c r="E2353"/>
      <c r="F2353"/>
      <c r="G2353"/>
      <c r="H2353"/>
      <c r="I2353"/>
    </row>
    <row r="2354" spans="2:9" x14ac:dyDescent="0.25">
      <c r="B2354"/>
      <c r="C2354"/>
      <c r="D2354"/>
      <c r="E2354"/>
      <c r="F2354"/>
      <c r="G2354"/>
      <c r="H2354"/>
      <c r="I2354"/>
    </row>
    <row r="2355" spans="2:9" x14ac:dyDescent="0.25">
      <c r="B2355"/>
      <c r="C2355"/>
      <c r="D2355"/>
      <c r="E2355"/>
      <c r="F2355"/>
      <c r="G2355"/>
      <c r="H2355"/>
      <c r="I2355"/>
    </row>
    <row r="2356" spans="2:9" x14ac:dyDescent="0.25">
      <c r="B2356"/>
      <c r="C2356"/>
      <c r="D2356"/>
      <c r="E2356"/>
      <c r="F2356"/>
      <c r="G2356"/>
      <c r="H2356"/>
      <c r="I2356"/>
    </row>
    <row r="2357" spans="2:9" x14ac:dyDescent="0.25">
      <c r="B2357"/>
      <c r="C2357"/>
      <c r="D2357"/>
      <c r="E2357"/>
      <c r="F2357"/>
      <c r="G2357"/>
      <c r="H2357"/>
      <c r="I2357"/>
    </row>
    <row r="2358" spans="2:9" x14ac:dyDescent="0.25">
      <c r="B2358"/>
      <c r="C2358"/>
      <c r="D2358"/>
      <c r="E2358"/>
      <c r="F2358"/>
      <c r="G2358"/>
      <c r="H2358"/>
      <c r="I2358"/>
    </row>
    <row r="2359" spans="2:9" x14ac:dyDescent="0.25">
      <c r="B2359"/>
      <c r="C2359"/>
      <c r="D2359"/>
      <c r="E2359"/>
      <c r="F2359"/>
      <c r="G2359"/>
      <c r="H2359"/>
      <c r="I2359"/>
    </row>
    <row r="2360" spans="2:9" x14ac:dyDescent="0.25">
      <c r="B2360"/>
      <c r="C2360"/>
      <c r="D2360"/>
      <c r="E2360"/>
      <c r="F2360"/>
      <c r="G2360"/>
      <c r="H2360"/>
      <c r="I2360"/>
    </row>
    <row r="2361" spans="2:9" x14ac:dyDescent="0.25">
      <c r="B2361"/>
      <c r="C2361"/>
      <c r="D2361"/>
      <c r="E2361"/>
      <c r="F2361"/>
      <c r="G2361"/>
      <c r="H2361"/>
      <c r="I2361"/>
    </row>
    <row r="2362" spans="2:9" x14ac:dyDescent="0.25">
      <c r="B2362"/>
      <c r="C2362"/>
      <c r="D2362"/>
      <c r="E2362"/>
      <c r="F2362"/>
      <c r="G2362"/>
      <c r="H2362"/>
      <c r="I2362"/>
    </row>
    <row r="2363" spans="2:9" x14ac:dyDescent="0.25">
      <c r="B2363"/>
      <c r="C2363"/>
      <c r="D2363"/>
      <c r="E2363"/>
      <c r="F2363"/>
      <c r="G2363"/>
      <c r="H2363"/>
      <c r="I2363"/>
    </row>
    <row r="2364" spans="2:9" x14ac:dyDescent="0.25">
      <c r="B2364"/>
      <c r="C2364"/>
      <c r="D2364"/>
      <c r="E2364"/>
      <c r="F2364"/>
      <c r="G2364"/>
      <c r="H2364"/>
      <c r="I2364"/>
    </row>
    <row r="2365" spans="2:9" x14ac:dyDescent="0.25">
      <c r="B2365"/>
      <c r="C2365"/>
      <c r="D2365"/>
      <c r="E2365"/>
      <c r="F2365"/>
      <c r="G2365"/>
      <c r="H2365"/>
      <c r="I2365"/>
    </row>
    <row r="2366" spans="2:9" x14ac:dyDescent="0.25">
      <c r="B2366"/>
      <c r="C2366"/>
      <c r="D2366"/>
      <c r="E2366"/>
      <c r="F2366"/>
      <c r="G2366"/>
      <c r="H2366"/>
      <c r="I2366"/>
    </row>
    <row r="2367" spans="2:9" x14ac:dyDescent="0.25">
      <c r="B2367"/>
      <c r="C2367"/>
      <c r="D2367"/>
      <c r="E2367"/>
      <c r="F2367"/>
      <c r="G2367"/>
      <c r="H2367"/>
      <c r="I2367"/>
    </row>
    <row r="2368" spans="2:9" x14ac:dyDescent="0.25">
      <c r="B2368"/>
      <c r="C2368"/>
      <c r="D2368"/>
      <c r="E2368"/>
      <c r="F2368"/>
      <c r="G2368"/>
      <c r="H2368"/>
      <c r="I2368"/>
    </row>
    <row r="2369" spans="2:9" x14ac:dyDescent="0.25">
      <c r="B2369"/>
      <c r="C2369"/>
      <c r="D2369"/>
      <c r="E2369"/>
      <c r="F2369"/>
      <c r="G2369"/>
      <c r="H2369"/>
      <c r="I2369"/>
    </row>
    <row r="2370" spans="2:9" x14ac:dyDescent="0.25">
      <c r="B2370"/>
      <c r="C2370"/>
      <c r="D2370"/>
      <c r="E2370"/>
      <c r="F2370"/>
      <c r="G2370"/>
      <c r="H2370"/>
      <c r="I2370"/>
    </row>
    <row r="2371" spans="2:9" x14ac:dyDescent="0.25">
      <c r="B2371"/>
      <c r="C2371"/>
      <c r="D2371"/>
      <c r="E2371"/>
      <c r="F2371"/>
      <c r="G2371"/>
      <c r="H2371"/>
      <c r="I2371"/>
    </row>
    <row r="2372" spans="2:9" x14ac:dyDescent="0.25">
      <c r="B2372"/>
      <c r="C2372"/>
      <c r="D2372"/>
      <c r="E2372"/>
      <c r="F2372"/>
      <c r="G2372"/>
      <c r="H2372"/>
      <c r="I2372"/>
    </row>
    <row r="2373" spans="2:9" x14ac:dyDescent="0.25">
      <c r="B2373"/>
      <c r="C2373"/>
      <c r="D2373"/>
      <c r="E2373"/>
      <c r="F2373"/>
      <c r="G2373"/>
      <c r="H2373"/>
      <c r="I2373"/>
    </row>
    <row r="2374" spans="2:9" x14ac:dyDescent="0.25">
      <c r="B2374"/>
      <c r="C2374"/>
      <c r="D2374"/>
      <c r="E2374"/>
      <c r="F2374"/>
      <c r="G2374"/>
      <c r="H2374"/>
      <c r="I2374"/>
    </row>
    <row r="2375" spans="2:9" x14ac:dyDescent="0.25">
      <c r="B2375"/>
      <c r="C2375"/>
      <c r="D2375"/>
      <c r="E2375"/>
      <c r="F2375"/>
      <c r="G2375"/>
      <c r="H2375"/>
      <c r="I2375"/>
    </row>
    <row r="2376" spans="2:9" x14ac:dyDescent="0.25">
      <c r="B2376"/>
      <c r="C2376"/>
      <c r="D2376"/>
      <c r="E2376"/>
      <c r="F2376"/>
      <c r="G2376"/>
      <c r="H2376"/>
      <c r="I2376"/>
    </row>
    <row r="2377" spans="2:9" x14ac:dyDescent="0.25">
      <c r="B2377"/>
      <c r="C2377"/>
      <c r="D2377"/>
      <c r="E2377"/>
      <c r="F2377"/>
      <c r="G2377"/>
      <c r="H2377"/>
      <c r="I2377"/>
    </row>
    <row r="2378" spans="2:9" x14ac:dyDescent="0.25">
      <c r="B2378"/>
      <c r="C2378"/>
      <c r="D2378"/>
      <c r="E2378"/>
      <c r="F2378"/>
      <c r="G2378"/>
      <c r="H2378"/>
      <c r="I2378"/>
    </row>
    <row r="2379" spans="2:9" x14ac:dyDescent="0.25">
      <c r="B2379"/>
      <c r="C2379"/>
      <c r="D2379"/>
      <c r="E2379"/>
      <c r="F2379"/>
      <c r="G2379"/>
      <c r="H2379"/>
      <c r="I2379"/>
    </row>
    <row r="2380" spans="2:9" x14ac:dyDescent="0.25">
      <c r="B2380"/>
      <c r="C2380"/>
      <c r="D2380"/>
      <c r="E2380"/>
      <c r="F2380"/>
      <c r="G2380"/>
      <c r="H2380"/>
      <c r="I2380"/>
    </row>
    <row r="2381" spans="2:9" x14ac:dyDescent="0.25">
      <c r="B2381"/>
      <c r="C2381"/>
      <c r="D2381"/>
      <c r="E2381"/>
      <c r="F2381"/>
      <c r="G2381"/>
      <c r="H2381"/>
      <c r="I2381"/>
    </row>
    <row r="2382" spans="2:9" x14ac:dyDescent="0.25">
      <c r="B2382"/>
      <c r="C2382"/>
      <c r="D2382"/>
      <c r="E2382"/>
      <c r="F2382"/>
      <c r="G2382"/>
      <c r="H2382"/>
      <c r="I2382"/>
    </row>
    <row r="2383" spans="2:9" x14ac:dyDescent="0.25">
      <c r="B2383"/>
      <c r="C2383"/>
      <c r="D2383"/>
      <c r="E2383"/>
      <c r="F2383"/>
      <c r="G2383"/>
      <c r="H2383"/>
      <c r="I2383"/>
    </row>
    <row r="2384" spans="2:9" x14ac:dyDescent="0.25">
      <c r="B2384"/>
      <c r="C2384"/>
      <c r="D2384"/>
      <c r="E2384"/>
      <c r="F2384"/>
      <c r="G2384"/>
      <c r="H2384"/>
      <c r="I2384"/>
    </row>
    <row r="2385" spans="2:9" x14ac:dyDescent="0.25">
      <c r="B2385"/>
      <c r="C2385"/>
      <c r="D2385"/>
      <c r="E2385"/>
      <c r="F2385"/>
      <c r="G2385"/>
      <c r="H2385"/>
      <c r="I2385"/>
    </row>
    <row r="2386" spans="2:9" x14ac:dyDescent="0.25">
      <c r="B2386"/>
      <c r="C2386"/>
      <c r="D2386"/>
      <c r="E2386"/>
      <c r="F2386"/>
      <c r="G2386"/>
      <c r="H2386"/>
      <c r="I2386"/>
    </row>
    <row r="2387" spans="2:9" x14ac:dyDescent="0.25">
      <c r="B2387"/>
      <c r="C2387"/>
      <c r="D2387"/>
      <c r="E2387"/>
      <c r="F2387"/>
      <c r="G2387"/>
      <c r="H2387"/>
      <c r="I2387"/>
    </row>
    <row r="2388" spans="2:9" x14ac:dyDescent="0.25">
      <c r="B2388"/>
      <c r="C2388"/>
      <c r="D2388"/>
      <c r="E2388"/>
      <c r="F2388"/>
      <c r="G2388"/>
      <c r="H2388"/>
      <c r="I2388"/>
    </row>
    <row r="2389" spans="2:9" x14ac:dyDescent="0.25">
      <c r="B2389"/>
      <c r="C2389"/>
      <c r="D2389"/>
      <c r="E2389"/>
      <c r="F2389"/>
      <c r="G2389"/>
      <c r="H2389"/>
      <c r="I2389"/>
    </row>
    <row r="2390" spans="2:9" x14ac:dyDescent="0.25">
      <c r="B2390"/>
      <c r="C2390"/>
      <c r="D2390"/>
      <c r="E2390"/>
      <c r="F2390"/>
      <c r="G2390"/>
      <c r="H2390"/>
      <c r="I2390"/>
    </row>
    <row r="2391" spans="2:9" x14ac:dyDescent="0.25">
      <c r="B2391"/>
      <c r="C2391"/>
      <c r="D2391"/>
      <c r="E2391"/>
      <c r="F2391"/>
      <c r="G2391"/>
      <c r="H2391"/>
      <c r="I2391"/>
    </row>
    <row r="2392" spans="2:9" x14ac:dyDescent="0.25">
      <c r="B2392"/>
      <c r="C2392"/>
      <c r="D2392"/>
      <c r="E2392"/>
      <c r="F2392"/>
      <c r="G2392"/>
      <c r="H2392"/>
      <c r="I2392"/>
    </row>
    <row r="2393" spans="2:9" x14ac:dyDescent="0.25">
      <c r="B2393"/>
      <c r="C2393"/>
      <c r="D2393"/>
      <c r="E2393"/>
      <c r="F2393"/>
      <c r="G2393"/>
      <c r="H2393"/>
      <c r="I2393"/>
    </row>
    <row r="2394" spans="2:9" x14ac:dyDescent="0.25">
      <c r="B2394"/>
      <c r="C2394"/>
      <c r="D2394"/>
      <c r="E2394"/>
      <c r="F2394"/>
      <c r="G2394"/>
      <c r="H2394"/>
      <c r="I2394"/>
    </row>
    <row r="2395" spans="2:9" x14ac:dyDescent="0.25">
      <c r="B2395"/>
      <c r="C2395"/>
      <c r="D2395"/>
      <c r="E2395"/>
      <c r="F2395"/>
      <c r="G2395"/>
      <c r="H2395"/>
      <c r="I2395"/>
    </row>
    <row r="2396" spans="2:9" x14ac:dyDescent="0.25">
      <c r="B2396"/>
      <c r="C2396"/>
      <c r="D2396"/>
      <c r="E2396"/>
      <c r="F2396"/>
      <c r="G2396"/>
      <c r="H2396"/>
      <c r="I2396"/>
    </row>
    <row r="2397" spans="2:9" x14ac:dyDescent="0.25">
      <c r="B2397"/>
      <c r="C2397"/>
      <c r="D2397"/>
      <c r="E2397"/>
      <c r="F2397"/>
      <c r="G2397"/>
      <c r="H2397"/>
      <c r="I2397"/>
    </row>
    <row r="2398" spans="2:9" x14ac:dyDescent="0.25">
      <c r="B2398"/>
      <c r="C2398"/>
      <c r="D2398"/>
      <c r="E2398"/>
      <c r="F2398"/>
      <c r="G2398"/>
      <c r="H2398"/>
      <c r="I2398"/>
    </row>
    <row r="2399" spans="2:9" x14ac:dyDescent="0.25">
      <c r="B2399"/>
      <c r="C2399"/>
      <c r="D2399"/>
      <c r="E2399"/>
      <c r="F2399"/>
      <c r="G2399"/>
      <c r="H2399"/>
      <c r="I2399"/>
    </row>
    <row r="2400" spans="2:9" x14ac:dyDescent="0.25">
      <c r="B2400"/>
      <c r="C2400"/>
      <c r="D2400"/>
      <c r="E2400"/>
      <c r="F2400"/>
      <c r="G2400"/>
      <c r="H2400"/>
      <c r="I2400"/>
    </row>
    <row r="2401" spans="2:9" x14ac:dyDescent="0.25">
      <c r="B2401"/>
      <c r="C2401"/>
      <c r="D2401"/>
      <c r="E2401"/>
      <c r="F2401"/>
      <c r="G2401"/>
      <c r="H2401"/>
      <c r="I2401"/>
    </row>
    <row r="2402" spans="2:9" x14ac:dyDescent="0.25">
      <c r="B2402"/>
      <c r="C2402"/>
      <c r="D2402"/>
      <c r="E2402"/>
      <c r="F2402"/>
      <c r="G2402"/>
      <c r="H2402"/>
      <c r="I2402"/>
    </row>
    <row r="2403" spans="2:9" x14ac:dyDescent="0.25">
      <c r="B2403"/>
      <c r="C2403"/>
      <c r="D2403"/>
      <c r="E2403"/>
      <c r="F2403"/>
      <c r="G2403"/>
      <c r="H2403"/>
      <c r="I2403"/>
    </row>
    <row r="2404" spans="2:9" x14ac:dyDescent="0.25">
      <c r="B2404"/>
      <c r="C2404"/>
      <c r="D2404"/>
      <c r="E2404"/>
      <c r="F2404"/>
      <c r="G2404"/>
      <c r="H2404"/>
      <c r="I2404"/>
    </row>
    <row r="2405" spans="2:9" x14ac:dyDescent="0.25">
      <c r="B2405"/>
      <c r="C2405"/>
      <c r="D2405"/>
      <c r="E2405"/>
      <c r="F2405"/>
      <c r="G2405"/>
      <c r="H2405"/>
      <c r="I2405"/>
    </row>
    <row r="2406" spans="2:9" x14ac:dyDescent="0.25">
      <c r="B2406"/>
      <c r="C2406"/>
      <c r="D2406"/>
      <c r="E2406"/>
      <c r="F2406"/>
      <c r="G2406"/>
      <c r="H2406"/>
      <c r="I2406"/>
    </row>
    <row r="2407" spans="2:9" x14ac:dyDescent="0.25">
      <c r="B2407"/>
      <c r="C2407"/>
      <c r="D2407"/>
      <c r="E2407"/>
      <c r="F2407"/>
      <c r="G2407"/>
      <c r="H2407"/>
      <c r="I2407"/>
    </row>
    <row r="2408" spans="2:9" x14ac:dyDescent="0.25">
      <c r="B2408"/>
      <c r="C2408"/>
      <c r="D2408"/>
      <c r="E2408"/>
      <c r="F2408"/>
      <c r="G2408"/>
      <c r="H2408"/>
      <c r="I2408"/>
    </row>
    <row r="2409" spans="2:9" x14ac:dyDescent="0.25">
      <c r="B2409"/>
      <c r="C2409"/>
      <c r="D2409"/>
      <c r="E2409"/>
      <c r="F2409"/>
      <c r="G2409"/>
      <c r="H2409"/>
      <c r="I2409"/>
    </row>
    <row r="2410" spans="2:9" x14ac:dyDescent="0.25">
      <c r="B2410"/>
      <c r="C2410"/>
      <c r="D2410"/>
      <c r="E2410"/>
      <c r="F2410"/>
      <c r="G2410"/>
      <c r="H2410"/>
      <c r="I2410"/>
    </row>
    <row r="2411" spans="2:9" x14ac:dyDescent="0.25">
      <c r="B2411"/>
      <c r="C2411"/>
      <c r="D2411"/>
      <c r="E2411"/>
      <c r="F2411"/>
      <c r="G2411"/>
      <c r="H2411"/>
      <c r="I2411"/>
    </row>
    <row r="2412" spans="2:9" x14ac:dyDescent="0.25">
      <c r="B2412"/>
      <c r="C2412"/>
      <c r="D2412"/>
      <c r="E2412"/>
      <c r="F2412"/>
      <c r="G2412"/>
      <c r="H2412"/>
      <c r="I2412"/>
    </row>
    <row r="2413" spans="2:9" x14ac:dyDescent="0.25">
      <c r="B2413"/>
      <c r="C2413"/>
      <c r="D2413"/>
      <c r="E2413"/>
      <c r="F2413"/>
      <c r="G2413"/>
      <c r="H2413"/>
      <c r="I2413"/>
    </row>
    <row r="2414" spans="2:9" x14ac:dyDescent="0.25">
      <c r="B2414"/>
      <c r="C2414"/>
      <c r="D2414"/>
      <c r="E2414"/>
      <c r="F2414"/>
      <c r="G2414"/>
      <c r="H2414"/>
      <c r="I2414"/>
    </row>
    <row r="2415" spans="2:9" x14ac:dyDescent="0.25">
      <c r="B2415"/>
      <c r="C2415"/>
      <c r="D2415"/>
      <c r="E2415"/>
      <c r="F2415"/>
      <c r="G2415"/>
      <c r="H2415"/>
      <c r="I2415"/>
    </row>
    <row r="2416" spans="2:9" x14ac:dyDescent="0.25">
      <c r="B2416"/>
      <c r="C2416"/>
      <c r="D2416"/>
      <c r="E2416"/>
      <c r="F2416"/>
      <c r="G2416"/>
      <c r="H2416"/>
      <c r="I2416"/>
    </row>
    <row r="2417" spans="2:9" x14ac:dyDescent="0.25">
      <c r="B2417"/>
      <c r="C2417"/>
      <c r="D2417"/>
      <c r="E2417"/>
      <c r="F2417"/>
      <c r="G2417"/>
      <c r="H2417"/>
      <c r="I2417"/>
    </row>
    <row r="2418" spans="2:9" x14ac:dyDescent="0.25">
      <c r="B2418"/>
      <c r="C2418"/>
      <c r="D2418"/>
      <c r="E2418"/>
      <c r="F2418"/>
      <c r="G2418"/>
      <c r="H2418"/>
      <c r="I2418"/>
    </row>
    <row r="2419" spans="2:9" x14ac:dyDescent="0.25">
      <c r="B2419"/>
      <c r="C2419"/>
      <c r="D2419"/>
      <c r="E2419"/>
      <c r="F2419"/>
      <c r="G2419"/>
      <c r="H2419"/>
      <c r="I2419"/>
    </row>
    <row r="2420" spans="2:9" x14ac:dyDescent="0.25">
      <c r="B2420"/>
      <c r="C2420"/>
      <c r="D2420"/>
      <c r="E2420"/>
      <c r="F2420"/>
      <c r="G2420"/>
      <c r="H2420"/>
      <c r="I2420"/>
    </row>
    <row r="2421" spans="2:9" x14ac:dyDescent="0.25">
      <c r="B2421"/>
      <c r="C2421"/>
      <c r="D2421"/>
      <c r="E2421"/>
      <c r="F2421"/>
      <c r="G2421"/>
      <c r="H2421"/>
      <c r="I2421"/>
    </row>
    <row r="2422" spans="2:9" x14ac:dyDescent="0.25">
      <c r="B2422"/>
      <c r="C2422"/>
      <c r="D2422"/>
      <c r="E2422"/>
      <c r="F2422"/>
      <c r="G2422"/>
      <c r="H2422"/>
      <c r="I2422"/>
    </row>
    <row r="2423" spans="2:9" x14ac:dyDescent="0.25">
      <c r="B2423"/>
      <c r="C2423"/>
      <c r="D2423"/>
      <c r="E2423"/>
      <c r="F2423"/>
      <c r="G2423"/>
      <c r="H2423"/>
      <c r="I2423"/>
    </row>
    <row r="2424" spans="2:9" x14ac:dyDescent="0.25">
      <c r="B2424"/>
      <c r="C2424"/>
      <c r="D2424"/>
      <c r="E2424"/>
      <c r="F2424"/>
      <c r="G2424"/>
      <c r="H2424"/>
      <c r="I2424"/>
    </row>
    <row r="2425" spans="2:9" x14ac:dyDescent="0.25">
      <c r="B2425"/>
      <c r="C2425"/>
      <c r="D2425"/>
      <c r="E2425"/>
      <c r="F2425"/>
      <c r="G2425"/>
      <c r="H2425"/>
      <c r="I2425"/>
    </row>
    <row r="2426" spans="2:9" x14ac:dyDescent="0.25">
      <c r="B2426"/>
      <c r="C2426"/>
      <c r="D2426"/>
      <c r="E2426"/>
      <c r="F2426"/>
      <c r="G2426"/>
      <c r="H2426"/>
      <c r="I2426"/>
    </row>
    <row r="2427" spans="2:9" x14ac:dyDescent="0.25">
      <c r="B2427"/>
      <c r="C2427"/>
      <c r="D2427"/>
      <c r="E2427"/>
      <c r="F2427"/>
      <c r="G2427"/>
      <c r="H2427"/>
      <c r="I2427"/>
    </row>
    <row r="2428" spans="2:9" x14ac:dyDescent="0.25">
      <c r="B2428"/>
      <c r="C2428"/>
      <c r="D2428"/>
      <c r="E2428"/>
      <c r="F2428"/>
      <c r="G2428"/>
      <c r="H2428"/>
      <c r="I2428"/>
    </row>
    <row r="2429" spans="2:9" x14ac:dyDescent="0.25">
      <c r="B2429"/>
      <c r="C2429"/>
      <c r="D2429"/>
      <c r="E2429"/>
      <c r="F2429"/>
      <c r="G2429"/>
      <c r="H2429"/>
      <c r="I2429"/>
    </row>
    <row r="2430" spans="2:9" x14ac:dyDescent="0.25">
      <c r="B2430"/>
      <c r="C2430"/>
      <c r="D2430"/>
      <c r="E2430"/>
      <c r="F2430"/>
      <c r="G2430"/>
      <c r="H2430"/>
      <c r="I2430"/>
    </row>
    <row r="2431" spans="2:9" x14ac:dyDescent="0.25">
      <c r="B2431"/>
      <c r="C2431"/>
      <c r="D2431"/>
      <c r="E2431"/>
      <c r="F2431"/>
      <c r="G2431"/>
      <c r="H2431"/>
      <c r="I2431"/>
    </row>
    <row r="2432" spans="2:9" x14ac:dyDescent="0.25">
      <c r="B2432"/>
      <c r="C2432"/>
      <c r="D2432"/>
      <c r="E2432"/>
      <c r="F2432"/>
      <c r="G2432"/>
      <c r="H2432"/>
      <c r="I2432"/>
    </row>
    <row r="2433" spans="2:9" x14ac:dyDescent="0.25">
      <c r="B2433"/>
      <c r="C2433"/>
      <c r="D2433"/>
      <c r="E2433"/>
      <c r="F2433"/>
      <c r="G2433"/>
      <c r="H2433"/>
      <c r="I2433"/>
    </row>
    <row r="2434" spans="2:9" x14ac:dyDescent="0.25">
      <c r="B2434"/>
      <c r="C2434"/>
      <c r="D2434"/>
      <c r="E2434"/>
      <c r="F2434"/>
      <c r="G2434"/>
      <c r="H2434"/>
      <c r="I2434"/>
    </row>
    <row r="2435" spans="2:9" x14ac:dyDescent="0.25">
      <c r="B2435"/>
      <c r="C2435"/>
      <c r="D2435"/>
      <c r="E2435"/>
      <c r="F2435"/>
      <c r="G2435"/>
      <c r="H2435"/>
      <c r="I2435"/>
    </row>
    <row r="2436" spans="2:9" x14ac:dyDescent="0.25">
      <c r="B2436"/>
      <c r="C2436"/>
      <c r="D2436"/>
      <c r="E2436"/>
      <c r="F2436"/>
      <c r="G2436"/>
      <c r="H2436"/>
      <c r="I2436"/>
    </row>
    <row r="2437" spans="2:9" x14ac:dyDescent="0.25">
      <c r="B2437"/>
      <c r="C2437"/>
      <c r="D2437"/>
      <c r="E2437"/>
      <c r="F2437"/>
      <c r="G2437"/>
      <c r="H2437"/>
      <c r="I2437"/>
    </row>
    <row r="2438" spans="2:9" x14ac:dyDescent="0.25">
      <c r="B2438"/>
      <c r="C2438"/>
      <c r="D2438"/>
      <c r="E2438"/>
      <c r="F2438"/>
      <c r="G2438"/>
      <c r="H2438"/>
      <c r="I2438"/>
    </row>
    <row r="2439" spans="2:9" x14ac:dyDescent="0.25">
      <c r="B2439"/>
      <c r="C2439"/>
      <c r="D2439"/>
      <c r="E2439"/>
      <c r="F2439"/>
      <c r="G2439"/>
      <c r="H2439"/>
      <c r="I2439"/>
    </row>
    <row r="2440" spans="2:9" x14ac:dyDescent="0.25">
      <c r="B2440"/>
      <c r="C2440"/>
      <c r="D2440"/>
      <c r="E2440"/>
      <c r="F2440"/>
      <c r="G2440"/>
      <c r="H2440"/>
      <c r="I2440"/>
    </row>
    <row r="2441" spans="2:9" x14ac:dyDescent="0.25">
      <c r="B2441"/>
      <c r="C2441"/>
      <c r="D2441"/>
      <c r="E2441"/>
      <c r="F2441"/>
      <c r="G2441"/>
      <c r="H2441"/>
      <c r="I2441"/>
    </row>
    <row r="2442" spans="2:9" x14ac:dyDescent="0.25">
      <c r="B2442"/>
      <c r="C2442"/>
      <c r="D2442"/>
      <c r="E2442"/>
      <c r="F2442"/>
      <c r="G2442"/>
      <c r="H2442"/>
      <c r="I2442"/>
    </row>
    <row r="2443" spans="2:9" x14ac:dyDescent="0.25">
      <c r="B2443"/>
      <c r="C2443"/>
      <c r="D2443"/>
      <c r="E2443"/>
      <c r="F2443"/>
      <c r="G2443"/>
      <c r="H2443"/>
      <c r="I2443"/>
    </row>
    <row r="2444" spans="2:9" x14ac:dyDescent="0.25">
      <c r="B2444"/>
      <c r="C2444"/>
      <c r="D2444"/>
      <c r="E2444"/>
      <c r="F2444"/>
      <c r="G2444"/>
      <c r="H2444"/>
      <c r="I2444"/>
    </row>
    <row r="2445" spans="2:9" x14ac:dyDescent="0.25">
      <c r="B2445"/>
      <c r="C2445"/>
      <c r="D2445"/>
      <c r="E2445"/>
      <c r="F2445"/>
      <c r="G2445"/>
      <c r="H2445"/>
      <c r="I2445"/>
    </row>
    <row r="2446" spans="2:9" x14ac:dyDescent="0.25">
      <c r="B2446"/>
      <c r="C2446"/>
      <c r="D2446"/>
      <c r="E2446"/>
      <c r="F2446"/>
      <c r="G2446"/>
      <c r="H2446"/>
      <c r="I2446"/>
    </row>
    <row r="2447" spans="2:9" x14ac:dyDescent="0.25">
      <c r="B2447"/>
      <c r="C2447"/>
      <c r="D2447"/>
      <c r="E2447"/>
      <c r="F2447"/>
      <c r="G2447"/>
      <c r="H2447"/>
      <c r="I2447"/>
    </row>
    <row r="2448" spans="2:9" x14ac:dyDescent="0.25">
      <c r="B2448"/>
      <c r="C2448"/>
      <c r="D2448"/>
      <c r="E2448"/>
      <c r="F2448"/>
      <c r="G2448"/>
      <c r="H2448"/>
      <c r="I2448"/>
    </row>
    <row r="2449" spans="2:9" x14ac:dyDescent="0.25">
      <c r="B2449"/>
      <c r="C2449"/>
      <c r="D2449"/>
      <c r="E2449"/>
      <c r="F2449"/>
      <c r="G2449"/>
      <c r="H2449"/>
      <c r="I2449"/>
    </row>
    <row r="2450" spans="2:9" x14ac:dyDescent="0.25">
      <c r="B2450"/>
      <c r="C2450"/>
      <c r="D2450"/>
      <c r="E2450"/>
      <c r="F2450"/>
      <c r="G2450"/>
      <c r="H2450"/>
      <c r="I2450"/>
    </row>
    <row r="2451" spans="2:9" x14ac:dyDescent="0.25">
      <c r="B2451"/>
      <c r="C2451"/>
      <c r="D2451"/>
      <c r="E2451"/>
      <c r="F2451"/>
      <c r="G2451"/>
      <c r="H2451"/>
      <c r="I2451"/>
    </row>
    <row r="2452" spans="2:9" x14ac:dyDescent="0.25">
      <c r="B2452"/>
      <c r="C2452"/>
      <c r="D2452"/>
      <c r="E2452"/>
      <c r="F2452"/>
      <c r="G2452"/>
      <c r="H2452"/>
      <c r="I2452"/>
    </row>
    <row r="2453" spans="2:9" x14ac:dyDescent="0.25">
      <c r="B2453"/>
      <c r="C2453"/>
      <c r="D2453"/>
      <c r="E2453"/>
      <c r="F2453"/>
      <c r="G2453"/>
      <c r="H2453"/>
      <c r="I2453"/>
    </row>
    <row r="2454" spans="2:9" x14ac:dyDescent="0.25">
      <c r="B2454"/>
      <c r="C2454"/>
      <c r="D2454"/>
      <c r="E2454"/>
      <c r="F2454"/>
      <c r="G2454"/>
      <c r="H2454"/>
      <c r="I2454"/>
    </row>
    <row r="2455" spans="2:9" x14ac:dyDescent="0.25">
      <c r="B2455"/>
      <c r="C2455"/>
      <c r="D2455"/>
      <c r="E2455"/>
      <c r="F2455"/>
      <c r="G2455"/>
      <c r="H2455"/>
      <c r="I2455"/>
    </row>
    <row r="2456" spans="2:9" x14ac:dyDescent="0.25">
      <c r="B2456"/>
      <c r="C2456"/>
      <c r="D2456"/>
      <c r="E2456"/>
      <c r="F2456"/>
      <c r="G2456"/>
      <c r="H2456"/>
      <c r="I2456"/>
    </row>
    <row r="2457" spans="2:9" x14ac:dyDescent="0.25">
      <c r="B2457"/>
      <c r="C2457"/>
      <c r="D2457"/>
      <c r="E2457"/>
      <c r="F2457"/>
      <c r="G2457"/>
      <c r="H2457"/>
      <c r="I2457"/>
    </row>
    <row r="2458" spans="2:9" x14ac:dyDescent="0.25">
      <c r="B2458"/>
      <c r="C2458"/>
      <c r="D2458"/>
      <c r="E2458"/>
      <c r="F2458"/>
      <c r="G2458"/>
      <c r="H2458"/>
      <c r="I2458"/>
    </row>
    <row r="2459" spans="2:9" x14ac:dyDescent="0.25">
      <c r="B2459"/>
      <c r="C2459"/>
      <c r="D2459"/>
      <c r="E2459"/>
      <c r="F2459"/>
      <c r="G2459"/>
      <c r="H2459"/>
      <c r="I2459"/>
    </row>
    <row r="2460" spans="2:9" x14ac:dyDescent="0.25">
      <c r="B2460"/>
      <c r="C2460"/>
      <c r="D2460"/>
      <c r="E2460"/>
      <c r="F2460"/>
      <c r="G2460"/>
      <c r="H2460"/>
      <c r="I2460"/>
    </row>
    <row r="2461" spans="2:9" x14ac:dyDescent="0.25">
      <c r="B2461"/>
      <c r="C2461"/>
      <c r="D2461"/>
      <c r="E2461"/>
      <c r="F2461"/>
      <c r="G2461"/>
      <c r="H2461"/>
      <c r="I2461"/>
    </row>
    <row r="2462" spans="2:9" x14ac:dyDescent="0.25">
      <c r="B2462"/>
      <c r="C2462"/>
      <c r="D2462"/>
      <c r="E2462"/>
      <c r="F2462"/>
      <c r="G2462"/>
      <c r="H2462"/>
      <c r="I2462"/>
    </row>
    <row r="2463" spans="2:9" x14ac:dyDescent="0.25">
      <c r="B2463"/>
      <c r="C2463"/>
      <c r="D2463"/>
      <c r="E2463"/>
      <c r="F2463"/>
      <c r="G2463"/>
      <c r="H2463"/>
      <c r="I2463"/>
    </row>
    <row r="2464" spans="2:9" x14ac:dyDescent="0.25">
      <c r="B2464"/>
      <c r="C2464"/>
      <c r="D2464"/>
      <c r="E2464"/>
      <c r="F2464"/>
      <c r="G2464"/>
      <c r="H2464"/>
      <c r="I2464"/>
    </row>
    <row r="2465" spans="2:9" x14ac:dyDescent="0.25">
      <c r="B2465"/>
      <c r="C2465"/>
      <c r="D2465"/>
      <c r="E2465"/>
      <c r="F2465"/>
      <c r="G2465"/>
      <c r="H2465"/>
      <c r="I2465"/>
    </row>
    <row r="2466" spans="2:9" x14ac:dyDescent="0.25">
      <c r="B2466"/>
      <c r="C2466"/>
      <c r="D2466"/>
      <c r="E2466"/>
      <c r="F2466"/>
      <c r="G2466"/>
      <c r="H2466"/>
      <c r="I2466"/>
    </row>
    <row r="2467" spans="2:9" x14ac:dyDescent="0.25">
      <c r="B2467"/>
      <c r="C2467"/>
      <c r="D2467"/>
      <c r="E2467"/>
      <c r="F2467"/>
      <c r="G2467"/>
      <c r="H2467"/>
      <c r="I2467"/>
    </row>
    <row r="2468" spans="2:9" x14ac:dyDescent="0.25">
      <c r="B2468"/>
      <c r="C2468"/>
      <c r="D2468"/>
      <c r="E2468"/>
      <c r="F2468"/>
      <c r="G2468"/>
      <c r="H2468"/>
      <c r="I2468"/>
    </row>
    <row r="2469" spans="2:9" x14ac:dyDescent="0.25">
      <c r="B2469"/>
      <c r="C2469"/>
      <c r="D2469"/>
      <c r="E2469"/>
      <c r="F2469"/>
      <c r="G2469"/>
      <c r="H2469"/>
      <c r="I2469"/>
    </row>
    <row r="2470" spans="2:9" x14ac:dyDescent="0.25">
      <c r="B2470"/>
      <c r="C2470"/>
      <c r="D2470"/>
      <c r="E2470"/>
      <c r="F2470"/>
      <c r="G2470"/>
      <c r="H2470"/>
      <c r="I2470"/>
    </row>
    <row r="2471" spans="2:9" x14ac:dyDescent="0.25">
      <c r="B2471"/>
      <c r="C2471"/>
      <c r="D2471"/>
      <c r="E2471"/>
      <c r="F2471"/>
      <c r="G2471"/>
      <c r="H2471"/>
      <c r="I2471"/>
    </row>
    <row r="2472" spans="2:9" x14ac:dyDescent="0.25">
      <c r="B2472"/>
      <c r="C2472"/>
      <c r="D2472"/>
      <c r="E2472"/>
      <c r="F2472"/>
      <c r="G2472"/>
      <c r="H2472"/>
      <c r="I2472"/>
    </row>
    <row r="2473" spans="2:9" x14ac:dyDescent="0.25">
      <c r="B2473"/>
      <c r="C2473"/>
      <c r="D2473"/>
      <c r="E2473"/>
      <c r="F2473"/>
      <c r="G2473"/>
      <c r="H2473"/>
      <c r="I2473"/>
    </row>
    <row r="2474" spans="2:9" x14ac:dyDescent="0.25">
      <c r="B2474"/>
      <c r="C2474"/>
      <c r="D2474"/>
      <c r="E2474"/>
      <c r="F2474"/>
      <c r="G2474"/>
      <c r="H2474"/>
      <c r="I2474"/>
    </row>
    <row r="2475" spans="2:9" x14ac:dyDescent="0.25">
      <c r="B2475"/>
      <c r="C2475"/>
      <c r="D2475"/>
      <c r="E2475"/>
      <c r="F2475"/>
      <c r="G2475"/>
      <c r="H2475"/>
      <c r="I2475"/>
    </row>
    <row r="2476" spans="2:9" x14ac:dyDescent="0.25">
      <c r="B2476"/>
      <c r="C2476"/>
      <c r="D2476"/>
      <c r="E2476"/>
      <c r="F2476"/>
      <c r="G2476"/>
      <c r="H2476"/>
      <c r="I2476"/>
    </row>
    <row r="2477" spans="2:9" x14ac:dyDescent="0.25">
      <c r="B2477"/>
      <c r="C2477"/>
      <c r="D2477"/>
      <c r="E2477"/>
      <c r="F2477"/>
      <c r="G2477"/>
      <c r="H2477"/>
      <c r="I2477"/>
    </row>
    <row r="2478" spans="2:9" x14ac:dyDescent="0.25">
      <c r="B2478"/>
      <c r="C2478"/>
      <c r="D2478"/>
      <c r="E2478"/>
      <c r="F2478"/>
      <c r="G2478"/>
      <c r="H2478"/>
      <c r="I2478"/>
    </row>
    <row r="2479" spans="2:9" x14ac:dyDescent="0.25">
      <c r="B2479"/>
      <c r="C2479"/>
      <c r="D2479"/>
      <c r="E2479"/>
      <c r="F2479"/>
      <c r="G2479"/>
      <c r="H2479"/>
      <c r="I2479"/>
    </row>
    <row r="2480" spans="2:9" x14ac:dyDescent="0.25">
      <c r="B2480"/>
      <c r="C2480"/>
      <c r="D2480"/>
      <c r="E2480"/>
      <c r="F2480"/>
      <c r="G2480"/>
      <c r="H2480"/>
      <c r="I2480"/>
    </row>
    <row r="2481" spans="2:9" x14ac:dyDescent="0.25">
      <c r="B2481"/>
      <c r="C2481"/>
      <c r="D2481"/>
      <c r="E2481"/>
      <c r="F2481"/>
      <c r="G2481"/>
      <c r="H2481"/>
      <c r="I2481"/>
    </row>
    <row r="2482" spans="2:9" x14ac:dyDescent="0.25">
      <c r="B2482"/>
      <c r="C2482"/>
      <c r="D2482"/>
      <c r="E2482"/>
      <c r="F2482"/>
      <c r="G2482"/>
      <c r="H2482"/>
      <c r="I2482"/>
    </row>
    <row r="2483" spans="2:9" x14ac:dyDescent="0.25">
      <c r="B2483"/>
      <c r="C2483"/>
      <c r="D2483"/>
      <c r="E2483"/>
      <c r="F2483"/>
      <c r="G2483"/>
      <c r="H2483"/>
      <c r="I2483"/>
    </row>
    <row r="2484" spans="2:9" x14ac:dyDescent="0.25">
      <c r="B2484"/>
      <c r="C2484"/>
      <c r="D2484"/>
      <c r="E2484"/>
      <c r="F2484"/>
      <c r="G2484"/>
      <c r="H2484"/>
      <c r="I2484"/>
    </row>
    <row r="2485" spans="2:9" x14ac:dyDescent="0.25">
      <c r="B2485"/>
      <c r="C2485"/>
      <c r="D2485"/>
      <c r="E2485"/>
      <c r="F2485"/>
      <c r="G2485"/>
      <c r="H2485"/>
      <c r="I2485"/>
    </row>
    <row r="2486" spans="2:9" x14ac:dyDescent="0.25">
      <c r="B2486"/>
      <c r="C2486"/>
      <c r="D2486"/>
      <c r="E2486"/>
      <c r="F2486"/>
      <c r="G2486"/>
      <c r="H2486"/>
      <c r="I2486"/>
    </row>
    <row r="2487" spans="2:9" x14ac:dyDescent="0.25">
      <c r="B2487"/>
      <c r="C2487"/>
      <c r="D2487"/>
      <c r="E2487"/>
      <c r="F2487"/>
      <c r="G2487"/>
      <c r="H2487"/>
      <c r="I2487"/>
    </row>
    <row r="2488" spans="2:9" x14ac:dyDescent="0.25">
      <c r="B2488"/>
      <c r="C2488"/>
      <c r="D2488"/>
      <c r="E2488"/>
      <c r="F2488"/>
      <c r="G2488"/>
      <c r="H2488"/>
      <c r="I2488"/>
    </row>
    <row r="2489" spans="2:9" x14ac:dyDescent="0.25">
      <c r="B2489"/>
      <c r="C2489"/>
      <c r="D2489"/>
      <c r="E2489"/>
      <c r="F2489"/>
      <c r="G2489"/>
      <c r="H2489"/>
      <c r="I2489"/>
    </row>
    <row r="2490" spans="2:9" x14ac:dyDescent="0.25">
      <c r="B2490"/>
      <c r="C2490"/>
      <c r="D2490"/>
      <c r="E2490"/>
      <c r="F2490"/>
      <c r="G2490"/>
      <c r="H2490"/>
      <c r="I2490"/>
    </row>
    <row r="2491" spans="2:9" x14ac:dyDescent="0.25">
      <c r="B2491"/>
      <c r="C2491"/>
      <c r="D2491"/>
      <c r="E2491"/>
      <c r="F2491"/>
      <c r="G2491"/>
      <c r="H2491"/>
      <c r="I2491"/>
    </row>
    <row r="2492" spans="2:9" x14ac:dyDescent="0.25">
      <c r="B2492"/>
      <c r="C2492"/>
      <c r="D2492"/>
      <c r="E2492"/>
      <c r="F2492"/>
      <c r="G2492"/>
      <c r="H2492"/>
      <c r="I2492"/>
    </row>
    <row r="2493" spans="2:9" x14ac:dyDescent="0.25">
      <c r="B2493"/>
      <c r="C2493"/>
      <c r="D2493"/>
      <c r="E2493"/>
      <c r="F2493"/>
      <c r="G2493"/>
      <c r="H2493"/>
      <c r="I2493"/>
    </row>
    <row r="2494" spans="2:9" x14ac:dyDescent="0.25">
      <c r="B2494"/>
      <c r="C2494"/>
      <c r="D2494"/>
      <c r="E2494"/>
      <c r="F2494"/>
      <c r="G2494"/>
      <c r="H2494"/>
      <c r="I2494"/>
    </row>
    <row r="2495" spans="2:9" x14ac:dyDescent="0.25">
      <c r="B2495"/>
      <c r="C2495"/>
      <c r="D2495"/>
      <c r="E2495"/>
      <c r="F2495"/>
      <c r="G2495"/>
      <c r="H2495"/>
      <c r="I2495"/>
    </row>
    <row r="2496" spans="2:9" x14ac:dyDescent="0.25">
      <c r="B2496"/>
      <c r="C2496"/>
      <c r="D2496"/>
      <c r="E2496"/>
      <c r="F2496"/>
      <c r="G2496"/>
      <c r="H2496"/>
      <c r="I2496"/>
    </row>
    <row r="2497" spans="2:9" x14ac:dyDescent="0.25">
      <c r="B2497"/>
      <c r="C2497"/>
      <c r="D2497"/>
      <c r="E2497"/>
      <c r="F2497"/>
      <c r="G2497"/>
      <c r="H2497"/>
      <c r="I2497"/>
    </row>
    <row r="2498" spans="2:9" x14ac:dyDescent="0.25">
      <c r="B2498"/>
      <c r="C2498"/>
      <c r="D2498"/>
      <c r="E2498"/>
      <c r="F2498"/>
      <c r="G2498"/>
      <c r="H2498"/>
      <c r="I2498"/>
    </row>
    <row r="2499" spans="2:9" x14ac:dyDescent="0.25">
      <c r="B2499"/>
      <c r="C2499"/>
      <c r="D2499"/>
      <c r="E2499"/>
      <c r="F2499"/>
      <c r="G2499"/>
      <c r="H2499"/>
      <c r="I2499"/>
    </row>
    <row r="2500" spans="2:9" x14ac:dyDescent="0.25">
      <c r="B2500"/>
      <c r="C2500"/>
      <c r="D2500"/>
      <c r="E2500"/>
      <c r="F2500"/>
      <c r="G2500"/>
      <c r="H2500"/>
      <c r="I2500"/>
    </row>
    <row r="2501" spans="2:9" x14ac:dyDescent="0.25">
      <c r="B2501"/>
      <c r="C2501"/>
      <c r="D2501"/>
      <c r="E2501"/>
      <c r="F2501"/>
      <c r="G2501"/>
      <c r="H2501"/>
      <c r="I2501"/>
    </row>
    <row r="2502" spans="2:9" x14ac:dyDescent="0.25">
      <c r="B2502"/>
      <c r="C2502"/>
      <c r="D2502"/>
      <c r="E2502"/>
      <c r="F2502"/>
      <c r="G2502"/>
      <c r="H2502"/>
      <c r="I2502"/>
    </row>
    <row r="2503" spans="2:9" x14ac:dyDescent="0.25">
      <c r="B2503"/>
      <c r="C2503"/>
      <c r="D2503"/>
      <c r="E2503"/>
      <c r="F2503"/>
      <c r="G2503"/>
      <c r="H2503"/>
      <c r="I2503"/>
    </row>
    <row r="2504" spans="2:9" x14ac:dyDescent="0.25">
      <c r="B2504"/>
      <c r="C2504"/>
      <c r="D2504"/>
      <c r="E2504"/>
      <c r="F2504"/>
      <c r="G2504"/>
      <c r="H2504"/>
      <c r="I2504"/>
    </row>
    <row r="2505" spans="2:9" x14ac:dyDescent="0.25">
      <c r="B2505"/>
      <c r="C2505"/>
      <c r="D2505"/>
      <c r="E2505"/>
      <c r="F2505"/>
      <c r="G2505"/>
      <c r="H2505"/>
      <c r="I2505"/>
    </row>
    <row r="2506" spans="2:9" x14ac:dyDescent="0.25">
      <c r="B2506"/>
      <c r="C2506"/>
      <c r="D2506"/>
      <c r="E2506"/>
      <c r="F2506"/>
      <c r="G2506"/>
      <c r="H2506"/>
      <c r="I2506"/>
    </row>
    <row r="2507" spans="2:9" x14ac:dyDescent="0.25">
      <c r="B2507"/>
      <c r="C2507"/>
      <c r="D2507"/>
      <c r="E2507"/>
      <c r="F2507"/>
      <c r="G2507"/>
      <c r="H2507"/>
      <c r="I2507"/>
    </row>
    <row r="2508" spans="2:9" x14ac:dyDescent="0.25">
      <c r="B2508"/>
      <c r="C2508"/>
      <c r="D2508"/>
      <c r="E2508"/>
      <c r="F2508"/>
      <c r="G2508"/>
      <c r="H2508"/>
      <c r="I2508"/>
    </row>
    <row r="2509" spans="2:9" x14ac:dyDescent="0.25">
      <c r="B2509"/>
      <c r="C2509"/>
      <c r="D2509"/>
      <c r="E2509"/>
      <c r="F2509"/>
      <c r="G2509"/>
      <c r="H2509"/>
      <c r="I2509"/>
    </row>
    <row r="2510" spans="2:9" x14ac:dyDescent="0.25">
      <c r="B2510"/>
      <c r="C2510"/>
      <c r="D2510"/>
      <c r="E2510"/>
      <c r="F2510"/>
      <c r="G2510"/>
      <c r="H2510"/>
      <c r="I2510"/>
    </row>
    <row r="2511" spans="2:9" x14ac:dyDescent="0.25">
      <c r="B2511"/>
      <c r="C2511"/>
      <c r="D2511"/>
      <c r="E2511"/>
      <c r="F2511"/>
      <c r="G2511"/>
      <c r="H2511"/>
      <c r="I2511"/>
    </row>
    <row r="2512" spans="2:9" x14ac:dyDescent="0.25">
      <c r="B2512"/>
      <c r="C2512"/>
      <c r="D2512"/>
      <c r="E2512"/>
      <c r="F2512"/>
      <c r="G2512"/>
      <c r="H2512"/>
      <c r="I2512"/>
    </row>
    <row r="2513" spans="2:9" x14ac:dyDescent="0.25">
      <c r="B2513"/>
      <c r="C2513"/>
      <c r="D2513"/>
      <c r="E2513"/>
      <c r="F2513"/>
      <c r="G2513"/>
      <c r="H2513"/>
      <c r="I2513"/>
    </row>
    <row r="2514" spans="2:9" x14ac:dyDescent="0.25">
      <c r="B2514"/>
      <c r="C2514"/>
      <c r="D2514"/>
      <c r="E2514"/>
      <c r="F2514"/>
      <c r="G2514"/>
      <c r="H2514"/>
      <c r="I2514"/>
    </row>
    <row r="2515" spans="2:9" x14ac:dyDescent="0.25">
      <c r="B2515"/>
      <c r="C2515"/>
      <c r="D2515"/>
      <c r="E2515"/>
      <c r="F2515"/>
      <c r="G2515"/>
      <c r="H2515"/>
      <c r="I2515"/>
    </row>
    <row r="2516" spans="2:9" x14ac:dyDescent="0.25">
      <c r="B2516"/>
      <c r="C2516"/>
      <c r="D2516"/>
      <c r="E2516"/>
      <c r="F2516"/>
      <c r="G2516"/>
      <c r="H2516"/>
      <c r="I2516"/>
    </row>
    <row r="2517" spans="2:9" x14ac:dyDescent="0.25">
      <c r="B2517"/>
      <c r="C2517"/>
      <c r="D2517"/>
      <c r="E2517"/>
      <c r="F2517"/>
      <c r="G2517"/>
      <c r="H2517"/>
      <c r="I2517"/>
    </row>
    <row r="2518" spans="2:9" x14ac:dyDescent="0.25">
      <c r="B2518"/>
      <c r="C2518"/>
      <c r="D2518"/>
      <c r="E2518"/>
      <c r="F2518"/>
      <c r="G2518"/>
      <c r="H2518"/>
      <c r="I2518"/>
    </row>
    <row r="2519" spans="2:9" x14ac:dyDescent="0.25">
      <c r="B2519"/>
      <c r="C2519"/>
      <c r="D2519"/>
      <c r="E2519"/>
      <c r="F2519"/>
      <c r="G2519"/>
      <c r="H2519"/>
      <c r="I2519"/>
    </row>
    <row r="2520" spans="2:9" x14ac:dyDescent="0.25">
      <c r="B2520"/>
      <c r="C2520"/>
      <c r="D2520"/>
      <c r="E2520"/>
      <c r="F2520"/>
      <c r="G2520"/>
      <c r="H2520"/>
      <c r="I2520"/>
    </row>
    <row r="2521" spans="2:9" x14ac:dyDescent="0.25">
      <c r="B2521"/>
      <c r="C2521"/>
      <c r="D2521"/>
      <c r="E2521"/>
      <c r="F2521"/>
      <c r="G2521"/>
      <c r="H2521"/>
      <c r="I2521"/>
    </row>
    <row r="2522" spans="2:9" x14ac:dyDescent="0.25">
      <c r="B2522"/>
      <c r="C2522"/>
      <c r="D2522"/>
      <c r="E2522"/>
      <c r="F2522"/>
      <c r="G2522"/>
      <c r="H2522"/>
      <c r="I2522"/>
    </row>
    <row r="2523" spans="2:9" x14ac:dyDescent="0.25">
      <c r="B2523"/>
      <c r="C2523"/>
      <c r="D2523"/>
      <c r="E2523"/>
      <c r="F2523"/>
      <c r="G2523"/>
      <c r="H2523"/>
      <c r="I2523"/>
    </row>
    <row r="2524" spans="2:9" x14ac:dyDescent="0.25">
      <c r="B2524"/>
      <c r="C2524"/>
      <c r="D2524"/>
      <c r="E2524"/>
      <c r="F2524"/>
      <c r="G2524"/>
      <c r="H2524"/>
      <c r="I2524"/>
    </row>
    <row r="2525" spans="2:9" x14ac:dyDescent="0.25">
      <c r="B2525"/>
      <c r="C2525"/>
      <c r="D2525"/>
      <c r="E2525"/>
      <c r="F2525"/>
      <c r="G2525"/>
      <c r="H2525"/>
      <c r="I2525"/>
    </row>
    <row r="2526" spans="2:9" x14ac:dyDescent="0.25">
      <c r="B2526"/>
      <c r="C2526"/>
      <c r="D2526"/>
      <c r="E2526"/>
      <c r="F2526"/>
      <c r="G2526"/>
      <c r="H2526"/>
      <c r="I2526"/>
    </row>
    <row r="2527" spans="2:9" x14ac:dyDescent="0.25">
      <c r="B2527"/>
      <c r="C2527"/>
      <c r="D2527"/>
      <c r="E2527"/>
      <c r="F2527"/>
      <c r="G2527"/>
      <c r="H2527"/>
      <c r="I2527"/>
    </row>
    <row r="2528" spans="2:9" x14ac:dyDescent="0.25">
      <c r="B2528"/>
      <c r="C2528"/>
      <c r="D2528"/>
      <c r="E2528"/>
      <c r="F2528"/>
      <c r="G2528"/>
      <c r="H2528"/>
      <c r="I2528"/>
    </row>
    <row r="2529" spans="2:9" x14ac:dyDescent="0.25">
      <c r="B2529"/>
      <c r="C2529"/>
      <c r="D2529"/>
      <c r="E2529"/>
      <c r="F2529"/>
      <c r="G2529"/>
      <c r="H2529"/>
      <c r="I2529"/>
    </row>
    <row r="2530" spans="2:9" x14ac:dyDescent="0.25">
      <c r="B2530"/>
      <c r="C2530"/>
      <c r="D2530"/>
      <c r="E2530"/>
      <c r="F2530"/>
      <c r="G2530"/>
      <c r="H2530"/>
      <c r="I2530"/>
    </row>
    <row r="2531" spans="2:9" x14ac:dyDescent="0.25">
      <c r="B2531"/>
      <c r="C2531"/>
      <c r="D2531"/>
      <c r="E2531"/>
      <c r="F2531"/>
      <c r="G2531"/>
      <c r="H2531"/>
      <c r="I2531"/>
    </row>
    <row r="2532" spans="2:9" x14ac:dyDescent="0.25">
      <c r="B2532"/>
      <c r="C2532"/>
      <c r="D2532"/>
      <c r="E2532"/>
      <c r="F2532"/>
      <c r="G2532"/>
      <c r="H2532"/>
      <c r="I2532"/>
    </row>
    <row r="2533" spans="2:9" x14ac:dyDescent="0.25">
      <c r="B2533"/>
      <c r="C2533"/>
      <c r="D2533"/>
      <c r="E2533"/>
      <c r="F2533"/>
      <c r="G2533"/>
      <c r="H2533"/>
      <c r="I2533"/>
    </row>
    <row r="2534" spans="2:9" x14ac:dyDescent="0.25">
      <c r="B2534"/>
      <c r="C2534"/>
      <c r="D2534"/>
      <c r="E2534"/>
      <c r="F2534"/>
      <c r="G2534"/>
      <c r="H2534"/>
      <c r="I2534"/>
    </row>
    <row r="2535" spans="2:9" x14ac:dyDescent="0.25">
      <c r="B2535"/>
      <c r="C2535"/>
      <c r="D2535"/>
      <c r="E2535"/>
      <c r="F2535"/>
      <c r="G2535"/>
      <c r="H2535"/>
      <c r="I2535"/>
    </row>
    <row r="2536" spans="2:9" x14ac:dyDescent="0.25">
      <c r="B2536"/>
      <c r="C2536"/>
      <c r="D2536"/>
      <c r="E2536"/>
      <c r="F2536"/>
      <c r="G2536"/>
      <c r="H2536"/>
      <c r="I2536"/>
    </row>
    <row r="2537" spans="2:9" x14ac:dyDescent="0.25">
      <c r="B2537"/>
      <c r="C2537"/>
      <c r="D2537"/>
      <c r="E2537"/>
      <c r="F2537"/>
      <c r="G2537"/>
      <c r="H2537"/>
      <c r="I2537"/>
    </row>
    <row r="2538" spans="2:9" x14ac:dyDescent="0.25">
      <c r="B2538"/>
      <c r="C2538"/>
      <c r="D2538"/>
      <c r="E2538"/>
      <c r="F2538"/>
      <c r="G2538"/>
      <c r="H2538"/>
      <c r="I2538"/>
    </row>
    <row r="2539" spans="2:9" x14ac:dyDescent="0.25">
      <c r="B2539"/>
      <c r="C2539"/>
      <c r="D2539"/>
      <c r="E2539"/>
      <c r="F2539"/>
      <c r="G2539"/>
      <c r="H2539"/>
      <c r="I2539"/>
    </row>
    <row r="2540" spans="2:9" x14ac:dyDescent="0.25">
      <c r="B2540"/>
      <c r="C2540"/>
      <c r="D2540"/>
      <c r="E2540"/>
      <c r="F2540"/>
      <c r="G2540"/>
      <c r="H2540"/>
      <c r="I2540"/>
    </row>
    <row r="2541" spans="2:9" x14ac:dyDescent="0.25">
      <c r="B2541"/>
      <c r="C2541"/>
      <c r="D2541"/>
      <c r="E2541"/>
      <c r="F2541"/>
      <c r="G2541"/>
      <c r="H2541"/>
      <c r="I2541"/>
    </row>
    <row r="2542" spans="2:9" x14ac:dyDescent="0.25">
      <c r="B2542"/>
      <c r="C2542"/>
      <c r="D2542"/>
      <c r="E2542"/>
      <c r="F2542"/>
      <c r="G2542"/>
      <c r="H2542"/>
      <c r="I2542"/>
    </row>
    <row r="2543" spans="2:9" x14ac:dyDescent="0.25">
      <c r="B2543"/>
      <c r="C2543"/>
      <c r="D2543"/>
      <c r="E2543"/>
      <c r="F2543"/>
      <c r="G2543"/>
      <c r="H2543"/>
      <c r="I2543"/>
    </row>
    <row r="2544" spans="2:9" x14ac:dyDescent="0.25">
      <c r="B2544"/>
      <c r="C2544"/>
      <c r="D2544"/>
      <c r="E2544"/>
      <c r="F2544"/>
      <c r="G2544"/>
      <c r="H2544"/>
      <c r="I2544"/>
    </row>
    <row r="2545" spans="2:9" x14ac:dyDescent="0.25">
      <c r="B2545"/>
      <c r="C2545"/>
      <c r="D2545"/>
      <c r="E2545"/>
      <c r="F2545"/>
      <c r="G2545"/>
      <c r="H2545"/>
      <c r="I2545"/>
    </row>
    <row r="2546" spans="2:9" x14ac:dyDescent="0.25">
      <c r="B2546"/>
      <c r="C2546"/>
      <c r="D2546"/>
      <c r="E2546"/>
      <c r="F2546"/>
      <c r="G2546"/>
      <c r="H2546"/>
      <c r="I2546"/>
    </row>
    <row r="2547" spans="2:9" x14ac:dyDescent="0.25">
      <c r="B2547"/>
      <c r="C2547"/>
      <c r="D2547"/>
      <c r="E2547"/>
      <c r="F2547"/>
      <c r="G2547"/>
      <c r="H2547"/>
      <c r="I2547"/>
    </row>
    <row r="2548" spans="2:9" x14ac:dyDescent="0.25">
      <c r="B2548"/>
      <c r="C2548"/>
      <c r="D2548"/>
      <c r="E2548"/>
      <c r="F2548"/>
      <c r="G2548"/>
      <c r="H2548"/>
      <c r="I2548"/>
    </row>
    <row r="2549" spans="2:9" x14ac:dyDescent="0.25">
      <c r="B2549"/>
      <c r="C2549"/>
      <c r="D2549"/>
      <c r="E2549"/>
      <c r="F2549"/>
      <c r="G2549"/>
      <c r="H2549"/>
      <c r="I2549"/>
    </row>
    <row r="2550" spans="2:9" x14ac:dyDescent="0.25">
      <c r="B2550"/>
      <c r="C2550"/>
      <c r="D2550"/>
      <c r="E2550"/>
      <c r="F2550"/>
      <c r="G2550"/>
      <c r="H2550"/>
      <c r="I2550"/>
    </row>
    <row r="2551" spans="2:9" x14ac:dyDescent="0.25">
      <c r="B2551"/>
      <c r="C2551"/>
      <c r="D2551"/>
      <c r="E2551"/>
      <c r="F2551"/>
      <c r="G2551"/>
      <c r="H2551"/>
      <c r="I2551"/>
    </row>
    <row r="2552" spans="2:9" x14ac:dyDescent="0.25">
      <c r="B2552"/>
      <c r="C2552"/>
      <c r="D2552"/>
      <c r="E2552"/>
      <c r="F2552"/>
      <c r="G2552"/>
      <c r="H2552"/>
      <c r="I2552"/>
    </row>
    <row r="2553" spans="2:9" x14ac:dyDescent="0.25">
      <c r="B2553"/>
      <c r="C2553"/>
      <c r="D2553"/>
      <c r="E2553"/>
      <c r="F2553"/>
      <c r="G2553"/>
      <c r="H2553"/>
      <c r="I2553"/>
    </row>
    <row r="2554" spans="2:9" x14ac:dyDescent="0.25">
      <c r="B2554"/>
      <c r="C2554"/>
      <c r="D2554"/>
      <c r="E2554"/>
      <c r="F2554"/>
      <c r="G2554"/>
      <c r="H2554"/>
      <c r="I2554"/>
    </row>
    <row r="2555" spans="2:9" x14ac:dyDescent="0.25">
      <c r="B2555"/>
      <c r="C2555"/>
      <c r="D2555"/>
      <c r="E2555"/>
      <c r="F2555"/>
      <c r="G2555"/>
      <c r="H2555"/>
      <c r="I2555"/>
    </row>
    <row r="2556" spans="2:9" x14ac:dyDescent="0.25">
      <c r="B2556"/>
      <c r="C2556"/>
      <c r="D2556"/>
      <c r="E2556"/>
      <c r="F2556"/>
      <c r="G2556"/>
      <c r="H2556"/>
      <c r="I2556"/>
    </row>
    <row r="2557" spans="2:9" x14ac:dyDescent="0.25">
      <c r="B2557"/>
      <c r="C2557"/>
      <c r="D2557"/>
      <c r="E2557"/>
      <c r="F2557"/>
      <c r="G2557"/>
      <c r="H2557"/>
      <c r="I2557"/>
    </row>
    <row r="2558" spans="2:9" x14ac:dyDescent="0.25">
      <c r="B2558"/>
      <c r="C2558"/>
      <c r="D2558"/>
      <c r="E2558"/>
      <c r="F2558"/>
      <c r="G2558"/>
      <c r="H2558"/>
      <c r="I2558"/>
    </row>
    <row r="2559" spans="2:9" x14ac:dyDescent="0.25">
      <c r="B2559"/>
      <c r="C2559"/>
      <c r="D2559"/>
      <c r="E2559"/>
      <c r="F2559"/>
      <c r="G2559"/>
      <c r="H2559"/>
      <c r="I2559"/>
    </row>
    <row r="2560" spans="2:9" x14ac:dyDescent="0.25">
      <c r="B2560"/>
      <c r="C2560"/>
      <c r="D2560"/>
      <c r="E2560"/>
      <c r="F2560"/>
      <c r="G2560"/>
      <c r="H2560"/>
      <c r="I2560"/>
    </row>
    <row r="2561" spans="2:9" x14ac:dyDescent="0.25">
      <c r="B2561"/>
      <c r="C2561"/>
      <c r="D2561"/>
      <c r="E2561"/>
      <c r="F2561"/>
      <c r="G2561"/>
      <c r="H2561"/>
      <c r="I2561"/>
    </row>
    <row r="2562" spans="2:9" x14ac:dyDescent="0.25">
      <c r="B2562"/>
      <c r="C2562"/>
      <c r="D2562"/>
      <c r="E2562"/>
      <c r="F2562"/>
      <c r="G2562"/>
      <c r="H2562"/>
      <c r="I2562"/>
    </row>
    <row r="2563" spans="2:9" x14ac:dyDescent="0.25">
      <c r="B2563"/>
      <c r="C2563"/>
      <c r="D2563"/>
      <c r="E2563"/>
      <c r="F2563"/>
      <c r="G2563"/>
      <c r="H2563"/>
      <c r="I2563"/>
    </row>
    <row r="2564" spans="2:9" x14ac:dyDescent="0.25">
      <c r="B2564"/>
      <c r="C2564"/>
      <c r="D2564"/>
      <c r="E2564"/>
      <c r="F2564"/>
      <c r="G2564"/>
      <c r="H2564"/>
      <c r="I2564"/>
    </row>
    <row r="2565" spans="2:9" x14ac:dyDescent="0.25">
      <c r="B2565"/>
      <c r="C2565"/>
      <c r="D2565"/>
      <c r="E2565"/>
      <c r="F2565"/>
      <c r="G2565"/>
      <c r="H2565"/>
      <c r="I2565"/>
    </row>
    <row r="2566" spans="2:9" x14ac:dyDescent="0.25">
      <c r="B2566"/>
      <c r="C2566"/>
      <c r="D2566"/>
      <c r="E2566"/>
      <c r="F2566"/>
      <c r="G2566"/>
      <c r="H2566"/>
      <c r="I2566"/>
    </row>
    <row r="2567" spans="2:9" x14ac:dyDescent="0.25">
      <c r="B2567"/>
      <c r="C2567"/>
      <c r="D2567"/>
      <c r="E2567"/>
      <c r="F2567"/>
      <c r="G2567"/>
      <c r="H2567"/>
      <c r="I2567"/>
    </row>
    <row r="2568" spans="2:9" x14ac:dyDescent="0.25">
      <c r="B2568"/>
      <c r="C2568"/>
      <c r="D2568"/>
      <c r="E2568"/>
      <c r="F2568"/>
      <c r="G2568"/>
      <c r="H2568"/>
      <c r="I2568"/>
    </row>
    <row r="2569" spans="2:9" x14ac:dyDescent="0.25">
      <c r="B2569"/>
      <c r="C2569"/>
      <c r="D2569"/>
      <c r="E2569"/>
      <c r="F2569"/>
      <c r="G2569"/>
      <c r="H2569"/>
      <c r="I2569"/>
    </row>
    <row r="2570" spans="2:9" x14ac:dyDescent="0.25">
      <c r="B2570"/>
      <c r="C2570"/>
      <c r="D2570"/>
      <c r="E2570"/>
      <c r="F2570"/>
      <c r="G2570"/>
      <c r="H2570"/>
      <c r="I2570"/>
    </row>
    <row r="2571" spans="2:9" x14ac:dyDescent="0.25">
      <c r="B2571"/>
      <c r="C2571"/>
      <c r="D2571"/>
      <c r="E2571"/>
      <c r="F2571"/>
      <c r="G2571"/>
      <c r="H2571"/>
      <c r="I2571"/>
    </row>
    <row r="2572" spans="2:9" x14ac:dyDescent="0.25">
      <c r="B2572"/>
      <c r="C2572"/>
      <c r="D2572"/>
      <c r="E2572"/>
      <c r="F2572"/>
      <c r="G2572"/>
      <c r="H2572"/>
      <c r="I2572"/>
    </row>
    <row r="2573" spans="2:9" x14ac:dyDescent="0.25">
      <c r="B2573"/>
      <c r="C2573"/>
      <c r="D2573"/>
      <c r="E2573"/>
      <c r="F2573"/>
      <c r="G2573"/>
      <c r="H2573"/>
      <c r="I2573"/>
    </row>
    <row r="2574" spans="2:9" x14ac:dyDescent="0.25">
      <c r="B2574"/>
      <c r="C2574"/>
      <c r="D2574"/>
      <c r="E2574"/>
      <c r="F2574"/>
      <c r="G2574"/>
      <c r="H2574"/>
      <c r="I2574"/>
    </row>
    <row r="2575" spans="2:9" x14ac:dyDescent="0.25">
      <c r="B2575"/>
      <c r="C2575"/>
      <c r="D2575"/>
      <c r="E2575"/>
      <c r="F2575"/>
      <c r="G2575"/>
      <c r="H2575"/>
      <c r="I2575"/>
    </row>
    <row r="2576" spans="2:9" x14ac:dyDescent="0.25">
      <c r="B2576"/>
      <c r="C2576"/>
      <c r="D2576"/>
      <c r="E2576"/>
      <c r="F2576"/>
      <c r="G2576"/>
      <c r="H2576"/>
      <c r="I2576"/>
    </row>
    <row r="2577" spans="2:9" x14ac:dyDescent="0.25">
      <c r="B2577"/>
      <c r="C2577"/>
      <c r="D2577"/>
      <c r="E2577"/>
      <c r="F2577"/>
      <c r="G2577"/>
      <c r="H2577"/>
      <c r="I2577"/>
    </row>
    <row r="2578" spans="2:9" x14ac:dyDescent="0.25">
      <c r="B2578"/>
      <c r="C2578"/>
      <c r="D2578"/>
      <c r="E2578"/>
      <c r="F2578"/>
      <c r="G2578"/>
      <c r="H2578"/>
      <c r="I2578"/>
    </row>
    <row r="2579" spans="2:9" x14ac:dyDescent="0.25">
      <c r="B2579"/>
      <c r="C2579"/>
      <c r="D2579"/>
      <c r="E2579"/>
      <c r="F2579"/>
      <c r="G2579"/>
      <c r="H2579"/>
      <c r="I2579"/>
    </row>
    <row r="2580" spans="2:9" x14ac:dyDescent="0.25">
      <c r="B2580"/>
      <c r="C2580"/>
      <c r="D2580"/>
      <c r="E2580"/>
      <c r="F2580"/>
      <c r="G2580"/>
      <c r="H2580"/>
      <c r="I2580"/>
    </row>
    <row r="2581" spans="2:9" x14ac:dyDescent="0.25">
      <c r="B2581"/>
      <c r="C2581"/>
      <c r="D2581"/>
      <c r="E2581"/>
      <c r="F2581"/>
      <c r="G2581"/>
      <c r="H2581"/>
      <c r="I2581"/>
    </row>
    <row r="2582" spans="2:9" x14ac:dyDescent="0.25">
      <c r="B2582"/>
      <c r="C2582"/>
      <c r="D2582"/>
      <c r="E2582"/>
      <c r="F2582"/>
      <c r="G2582"/>
      <c r="H2582"/>
      <c r="I2582"/>
    </row>
    <row r="2583" spans="2:9" x14ac:dyDescent="0.25">
      <c r="B2583"/>
      <c r="C2583"/>
      <c r="D2583"/>
      <c r="E2583"/>
      <c r="F2583"/>
      <c r="G2583"/>
      <c r="H2583"/>
      <c r="I2583"/>
    </row>
    <row r="2584" spans="2:9" x14ac:dyDescent="0.25">
      <c r="B2584"/>
      <c r="C2584"/>
      <c r="D2584"/>
      <c r="E2584"/>
      <c r="F2584"/>
      <c r="G2584"/>
      <c r="H2584"/>
      <c r="I2584"/>
    </row>
    <row r="2585" spans="2:9" x14ac:dyDescent="0.25">
      <c r="B2585"/>
      <c r="C2585"/>
      <c r="D2585"/>
      <c r="E2585"/>
      <c r="F2585"/>
      <c r="G2585"/>
      <c r="H2585"/>
      <c r="I2585"/>
    </row>
    <row r="2586" spans="2:9" x14ac:dyDescent="0.25">
      <c r="B2586"/>
      <c r="C2586"/>
      <c r="D2586"/>
      <c r="E2586"/>
      <c r="F2586"/>
      <c r="G2586"/>
      <c r="H2586"/>
      <c r="I2586"/>
    </row>
    <row r="2587" spans="2:9" x14ac:dyDescent="0.25">
      <c r="B2587"/>
      <c r="C2587"/>
      <c r="D2587"/>
      <c r="E2587"/>
      <c r="F2587"/>
      <c r="G2587"/>
      <c r="H2587"/>
      <c r="I2587"/>
    </row>
    <row r="2588" spans="2:9" x14ac:dyDescent="0.25">
      <c r="B2588"/>
      <c r="C2588"/>
      <c r="D2588"/>
      <c r="E2588"/>
      <c r="F2588"/>
      <c r="G2588"/>
      <c r="H2588"/>
      <c r="I2588"/>
    </row>
    <row r="2589" spans="2:9" x14ac:dyDescent="0.25">
      <c r="B2589"/>
      <c r="C2589"/>
      <c r="D2589"/>
      <c r="E2589"/>
      <c r="F2589"/>
      <c r="G2589"/>
      <c r="H2589"/>
      <c r="I2589"/>
    </row>
    <row r="2590" spans="2:9" x14ac:dyDescent="0.25">
      <c r="B2590"/>
      <c r="C2590"/>
      <c r="D2590"/>
      <c r="E2590"/>
      <c r="F2590"/>
      <c r="G2590"/>
      <c r="H2590"/>
      <c r="I2590"/>
    </row>
    <row r="2591" spans="2:9" x14ac:dyDescent="0.25">
      <c r="B2591"/>
      <c r="C2591"/>
      <c r="D2591"/>
      <c r="E2591"/>
      <c r="F2591"/>
      <c r="G2591"/>
      <c r="H2591"/>
      <c r="I2591"/>
    </row>
    <row r="2592" spans="2:9" x14ac:dyDescent="0.25">
      <c r="B2592"/>
      <c r="C2592"/>
      <c r="D2592"/>
      <c r="E2592"/>
      <c r="F2592"/>
      <c r="G2592"/>
      <c r="H2592"/>
      <c r="I2592"/>
    </row>
    <row r="2593" spans="2:9" x14ac:dyDescent="0.25">
      <c r="B2593"/>
      <c r="C2593"/>
      <c r="D2593"/>
      <c r="E2593"/>
      <c r="F2593"/>
      <c r="G2593"/>
      <c r="H2593"/>
      <c r="I2593"/>
    </row>
    <row r="2594" spans="2:9" x14ac:dyDescent="0.25">
      <c r="B2594"/>
      <c r="C2594"/>
      <c r="D2594"/>
      <c r="E2594"/>
      <c r="F2594"/>
      <c r="G2594"/>
      <c r="H2594"/>
      <c r="I2594"/>
    </row>
    <row r="2595" spans="2:9" x14ac:dyDescent="0.25">
      <c r="B2595"/>
      <c r="C2595"/>
      <c r="D2595"/>
      <c r="E2595"/>
      <c r="F2595"/>
      <c r="G2595"/>
      <c r="H2595"/>
      <c r="I2595"/>
    </row>
    <row r="2596" spans="2:9" x14ac:dyDescent="0.25">
      <c r="B2596"/>
      <c r="C2596"/>
      <c r="D2596"/>
      <c r="E2596"/>
      <c r="F2596"/>
      <c r="G2596"/>
      <c r="H2596"/>
      <c r="I2596"/>
    </row>
    <row r="2597" spans="2:9" x14ac:dyDescent="0.25">
      <c r="B2597"/>
      <c r="C2597"/>
      <c r="D2597"/>
      <c r="E2597"/>
      <c r="F2597"/>
      <c r="G2597"/>
      <c r="H2597"/>
      <c r="I2597"/>
    </row>
    <row r="2598" spans="2:9" x14ac:dyDescent="0.25">
      <c r="B2598"/>
      <c r="C2598"/>
      <c r="D2598"/>
      <c r="E2598"/>
      <c r="F2598"/>
      <c r="G2598"/>
      <c r="H2598"/>
      <c r="I2598"/>
    </row>
    <row r="2599" spans="2:9" x14ac:dyDescent="0.25">
      <c r="B2599"/>
      <c r="C2599"/>
      <c r="D2599"/>
      <c r="E2599"/>
      <c r="F2599"/>
      <c r="G2599"/>
      <c r="H2599"/>
      <c r="I2599"/>
    </row>
    <row r="2600" spans="2:9" x14ac:dyDescent="0.25">
      <c r="B2600"/>
      <c r="C2600"/>
      <c r="D2600"/>
      <c r="E2600"/>
      <c r="F2600"/>
      <c r="G2600"/>
      <c r="H2600"/>
      <c r="I2600"/>
    </row>
    <row r="2601" spans="2:9" x14ac:dyDescent="0.25">
      <c r="B2601"/>
      <c r="C2601"/>
      <c r="D2601"/>
      <c r="E2601"/>
      <c r="F2601"/>
      <c r="G2601"/>
      <c r="H2601"/>
      <c r="I2601"/>
    </row>
    <row r="2602" spans="2:9" x14ac:dyDescent="0.25">
      <c r="B2602"/>
      <c r="C2602"/>
      <c r="D2602"/>
      <c r="E2602"/>
      <c r="F2602"/>
      <c r="G2602"/>
      <c r="H2602"/>
      <c r="I2602"/>
    </row>
    <row r="2603" spans="2:9" x14ac:dyDescent="0.25">
      <c r="B2603"/>
      <c r="C2603"/>
      <c r="D2603"/>
      <c r="E2603"/>
      <c r="F2603"/>
      <c r="G2603"/>
      <c r="H2603"/>
      <c r="I2603"/>
    </row>
    <row r="2604" spans="2:9" x14ac:dyDescent="0.25">
      <c r="B2604"/>
      <c r="C2604"/>
      <c r="D2604"/>
      <c r="E2604"/>
      <c r="F2604"/>
      <c r="G2604"/>
      <c r="H2604"/>
      <c r="I2604"/>
    </row>
    <row r="2605" spans="2:9" x14ac:dyDescent="0.25">
      <c r="B2605"/>
      <c r="C2605"/>
      <c r="D2605"/>
      <c r="E2605"/>
      <c r="F2605"/>
      <c r="G2605"/>
      <c r="H2605"/>
      <c r="I2605"/>
    </row>
    <row r="2606" spans="2:9" x14ac:dyDescent="0.25">
      <c r="B2606"/>
      <c r="C2606"/>
      <c r="D2606"/>
      <c r="E2606"/>
      <c r="F2606"/>
      <c r="G2606"/>
      <c r="H2606"/>
      <c r="I2606"/>
    </row>
    <row r="2607" spans="2:9" x14ac:dyDescent="0.25">
      <c r="B2607"/>
      <c r="C2607"/>
      <c r="D2607"/>
      <c r="E2607"/>
      <c r="F2607"/>
      <c r="G2607"/>
      <c r="H2607"/>
      <c r="I2607"/>
    </row>
    <row r="2608" spans="2:9" x14ac:dyDescent="0.25">
      <c r="B2608"/>
      <c r="C2608"/>
      <c r="D2608"/>
      <c r="E2608"/>
      <c r="F2608"/>
      <c r="G2608"/>
      <c r="H2608"/>
      <c r="I2608"/>
    </row>
    <row r="2609" spans="2:9" x14ac:dyDescent="0.25">
      <c r="B2609"/>
      <c r="C2609"/>
      <c r="D2609"/>
      <c r="E2609"/>
      <c r="F2609"/>
      <c r="G2609"/>
      <c r="H2609"/>
      <c r="I2609"/>
    </row>
    <row r="2610" spans="2:9" x14ac:dyDescent="0.25">
      <c r="B2610"/>
      <c r="C2610"/>
      <c r="D2610"/>
      <c r="E2610"/>
      <c r="F2610"/>
      <c r="G2610"/>
      <c r="H2610"/>
      <c r="I2610"/>
    </row>
    <row r="2611" spans="2:9" x14ac:dyDescent="0.25">
      <c r="B2611"/>
      <c r="C2611"/>
      <c r="D2611"/>
      <c r="E2611"/>
      <c r="F2611"/>
      <c r="G2611"/>
      <c r="H2611"/>
      <c r="I2611"/>
    </row>
    <row r="2612" spans="2:9" x14ac:dyDescent="0.25">
      <c r="B2612"/>
      <c r="C2612"/>
      <c r="D2612"/>
      <c r="E2612"/>
      <c r="F2612"/>
      <c r="G2612"/>
      <c r="H2612"/>
      <c r="I2612"/>
    </row>
    <row r="2613" spans="2:9" x14ac:dyDescent="0.25">
      <c r="B2613"/>
      <c r="C2613"/>
      <c r="D2613"/>
      <c r="E2613"/>
      <c r="F2613"/>
      <c r="G2613"/>
      <c r="H2613"/>
      <c r="I2613"/>
    </row>
    <row r="2614" spans="2:9" x14ac:dyDescent="0.25">
      <c r="B2614"/>
      <c r="C2614"/>
      <c r="D2614"/>
      <c r="E2614"/>
      <c r="F2614"/>
      <c r="G2614"/>
      <c r="H2614"/>
      <c r="I2614"/>
    </row>
    <row r="2615" spans="2:9" x14ac:dyDescent="0.25">
      <c r="B2615"/>
      <c r="C2615"/>
      <c r="D2615"/>
      <c r="E2615"/>
      <c r="F2615"/>
      <c r="G2615"/>
      <c r="H2615"/>
      <c r="I2615"/>
    </row>
    <row r="2616" spans="2:9" x14ac:dyDescent="0.25">
      <c r="B2616"/>
      <c r="C2616"/>
      <c r="D2616"/>
      <c r="E2616"/>
      <c r="F2616"/>
      <c r="G2616"/>
      <c r="H2616"/>
      <c r="I2616"/>
    </row>
    <row r="2617" spans="2:9" x14ac:dyDescent="0.25">
      <c r="B2617"/>
      <c r="C2617"/>
      <c r="D2617"/>
      <c r="E2617"/>
      <c r="F2617"/>
      <c r="G2617"/>
      <c r="H2617"/>
      <c r="I2617"/>
    </row>
    <row r="2618" spans="2:9" x14ac:dyDescent="0.25">
      <c r="B2618"/>
      <c r="C2618"/>
      <c r="D2618"/>
      <c r="E2618"/>
      <c r="F2618"/>
      <c r="G2618"/>
      <c r="H2618"/>
      <c r="I2618"/>
    </row>
    <row r="2619" spans="2:9" x14ac:dyDescent="0.25">
      <c r="B2619"/>
      <c r="C2619"/>
      <c r="D2619"/>
      <c r="E2619"/>
      <c r="F2619"/>
      <c r="G2619"/>
      <c r="H2619"/>
      <c r="I2619"/>
    </row>
    <row r="2620" spans="2:9" x14ac:dyDescent="0.25">
      <c r="B2620"/>
      <c r="C2620"/>
      <c r="D2620"/>
      <c r="E2620"/>
      <c r="F2620"/>
      <c r="G2620"/>
      <c r="H2620"/>
      <c r="I2620"/>
    </row>
    <row r="2621" spans="2:9" x14ac:dyDescent="0.25">
      <c r="B2621"/>
      <c r="C2621"/>
      <c r="D2621"/>
      <c r="E2621"/>
      <c r="F2621"/>
      <c r="G2621"/>
      <c r="H2621"/>
      <c r="I2621"/>
    </row>
    <row r="2622" spans="2:9" x14ac:dyDescent="0.25">
      <c r="B2622"/>
      <c r="C2622"/>
      <c r="D2622"/>
      <c r="E2622"/>
      <c r="F2622"/>
      <c r="G2622"/>
      <c r="H2622"/>
      <c r="I2622"/>
    </row>
    <row r="2623" spans="2:9" x14ac:dyDescent="0.25">
      <c r="B2623"/>
      <c r="C2623"/>
      <c r="D2623"/>
      <c r="E2623"/>
      <c r="F2623"/>
      <c r="G2623"/>
      <c r="H2623"/>
      <c r="I2623"/>
    </row>
    <row r="2624" spans="2:9" x14ac:dyDescent="0.25">
      <c r="B2624"/>
      <c r="C2624"/>
      <c r="D2624"/>
      <c r="E2624"/>
      <c r="F2624"/>
      <c r="G2624"/>
      <c r="H2624"/>
      <c r="I2624"/>
    </row>
    <row r="2625" spans="2:9" x14ac:dyDescent="0.25">
      <c r="B2625"/>
      <c r="C2625"/>
      <c r="D2625"/>
      <c r="E2625"/>
      <c r="F2625"/>
      <c r="G2625"/>
      <c r="H2625"/>
      <c r="I2625"/>
    </row>
    <row r="2626" spans="2:9" x14ac:dyDescent="0.25">
      <c r="B2626"/>
      <c r="C2626"/>
      <c r="D2626"/>
      <c r="E2626"/>
      <c r="F2626"/>
      <c r="G2626"/>
      <c r="H2626"/>
      <c r="I2626"/>
    </row>
    <row r="2627" spans="2:9" x14ac:dyDescent="0.25">
      <c r="B2627"/>
      <c r="C2627"/>
      <c r="D2627"/>
      <c r="E2627"/>
      <c r="F2627"/>
      <c r="G2627"/>
      <c r="H2627"/>
      <c r="I2627"/>
    </row>
    <row r="2628" spans="2:9" x14ac:dyDescent="0.25">
      <c r="B2628"/>
      <c r="C2628"/>
      <c r="D2628"/>
      <c r="E2628"/>
      <c r="F2628"/>
      <c r="G2628"/>
      <c r="H2628"/>
      <c r="I2628"/>
    </row>
    <row r="2629" spans="2:9" x14ac:dyDescent="0.25">
      <c r="B2629"/>
      <c r="C2629"/>
      <c r="D2629"/>
      <c r="E2629"/>
      <c r="F2629"/>
      <c r="G2629"/>
      <c r="H2629"/>
      <c r="I2629"/>
    </row>
    <row r="2630" spans="2:9" x14ac:dyDescent="0.25">
      <c r="B2630"/>
      <c r="C2630"/>
      <c r="D2630"/>
      <c r="E2630"/>
      <c r="F2630"/>
      <c r="G2630"/>
      <c r="H2630"/>
      <c r="I2630"/>
    </row>
    <row r="2631" spans="2:9" x14ac:dyDescent="0.25">
      <c r="B2631"/>
      <c r="C2631"/>
      <c r="D2631"/>
      <c r="E2631"/>
      <c r="F2631"/>
      <c r="G2631"/>
      <c r="H2631"/>
      <c r="I2631"/>
    </row>
    <row r="2632" spans="2:9" x14ac:dyDescent="0.25">
      <c r="B2632"/>
      <c r="C2632"/>
      <c r="D2632"/>
      <c r="E2632"/>
      <c r="F2632"/>
      <c r="G2632"/>
      <c r="H2632"/>
      <c r="I2632"/>
    </row>
    <row r="2633" spans="2:9" x14ac:dyDescent="0.25">
      <c r="B2633"/>
      <c r="C2633"/>
      <c r="D2633"/>
      <c r="E2633"/>
      <c r="F2633"/>
      <c r="G2633"/>
      <c r="H2633"/>
      <c r="I2633"/>
    </row>
    <row r="2634" spans="2:9" x14ac:dyDescent="0.25">
      <c r="B2634"/>
      <c r="C2634"/>
      <c r="D2634"/>
      <c r="E2634"/>
      <c r="F2634"/>
      <c r="G2634"/>
      <c r="H2634"/>
      <c r="I2634"/>
    </row>
    <row r="2635" spans="2:9" x14ac:dyDescent="0.25">
      <c r="B2635"/>
      <c r="C2635"/>
      <c r="D2635"/>
      <c r="E2635"/>
      <c r="F2635"/>
      <c r="G2635"/>
      <c r="H2635"/>
      <c r="I2635"/>
    </row>
    <row r="2636" spans="2:9" x14ac:dyDescent="0.25">
      <c r="B2636"/>
      <c r="C2636"/>
      <c r="D2636"/>
      <c r="E2636"/>
      <c r="F2636"/>
      <c r="G2636"/>
      <c r="H2636"/>
      <c r="I2636"/>
    </row>
    <row r="2637" spans="2:9" x14ac:dyDescent="0.25">
      <c r="B2637"/>
      <c r="C2637"/>
      <c r="D2637"/>
      <c r="E2637"/>
      <c r="F2637"/>
      <c r="G2637"/>
      <c r="H2637"/>
      <c r="I2637"/>
    </row>
    <row r="2638" spans="2:9" x14ac:dyDescent="0.25">
      <c r="B2638"/>
      <c r="C2638"/>
      <c r="D2638"/>
      <c r="E2638"/>
      <c r="F2638"/>
      <c r="G2638"/>
      <c r="H2638"/>
      <c r="I2638"/>
    </row>
    <row r="2639" spans="2:9" x14ac:dyDescent="0.25">
      <c r="B2639"/>
      <c r="C2639"/>
      <c r="D2639"/>
      <c r="E2639"/>
      <c r="F2639"/>
      <c r="G2639"/>
      <c r="H2639"/>
      <c r="I2639"/>
    </row>
    <row r="2640" spans="2:9" x14ac:dyDescent="0.25">
      <c r="B2640"/>
      <c r="C2640"/>
      <c r="D2640"/>
      <c r="E2640"/>
      <c r="F2640"/>
      <c r="G2640"/>
      <c r="H2640"/>
      <c r="I2640"/>
    </row>
    <row r="2641" spans="2:9" x14ac:dyDescent="0.25">
      <c r="B2641"/>
      <c r="C2641"/>
      <c r="D2641"/>
      <c r="E2641"/>
      <c r="F2641"/>
      <c r="G2641"/>
      <c r="H2641"/>
      <c r="I2641"/>
    </row>
    <row r="2642" spans="2:9" x14ac:dyDescent="0.25">
      <c r="B2642"/>
      <c r="C2642"/>
      <c r="D2642"/>
      <c r="E2642"/>
      <c r="F2642"/>
      <c r="G2642"/>
      <c r="H2642"/>
      <c r="I2642"/>
    </row>
    <row r="2643" spans="2:9" x14ac:dyDescent="0.25">
      <c r="B2643"/>
      <c r="C2643"/>
      <c r="D2643"/>
      <c r="E2643"/>
      <c r="F2643"/>
      <c r="G2643"/>
      <c r="H2643"/>
      <c r="I2643"/>
    </row>
    <row r="2644" spans="2:9" x14ac:dyDescent="0.25">
      <c r="B2644"/>
      <c r="C2644"/>
      <c r="D2644"/>
      <c r="E2644"/>
      <c r="F2644"/>
      <c r="G2644"/>
      <c r="H2644"/>
      <c r="I2644"/>
    </row>
    <row r="2645" spans="2:9" x14ac:dyDescent="0.25">
      <c r="B2645"/>
      <c r="C2645"/>
      <c r="D2645"/>
      <c r="E2645"/>
      <c r="F2645"/>
      <c r="G2645"/>
      <c r="H2645"/>
      <c r="I2645"/>
    </row>
    <row r="2646" spans="2:9" x14ac:dyDescent="0.25">
      <c r="B2646"/>
      <c r="C2646"/>
      <c r="D2646"/>
      <c r="E2646"/>
      <c r="F2646"/>
      <c r="G2646"/>
      <c r="H2646"/>
      <c r="I2646"/>
    </row>
    <row r="2647" spans="2:9" x14ac:dyDescent="0.25">
      <c r="B2647"/>
      <c r="C2647"/>
      <c r="D2647"/>
      <c r="E2647"/>
      <c r="F2647"/>
      <c r="G2647"/>
      <c r="H2647"/>
      <c r="I2647"/>
    </row>
    <row r="2648" spans="2:9" x14ac:dyDescent="0.25">
      <c r="B2648"/>
      <c r="C2648"/>
      <c r="D2648"/>
      <c r="E2648"/>
      <c r="F2648"/>
      <c r="G2648"/>
      <c r="H2648"/>
      <c r="I2648"/>
    </row>
    <row r="2649" spans="2:9" x14ac:dyDescent="0.25">
      <c r="B2649"/>
      <c r="C2649"/>
      <c r="D2649"/>
      <c r="E2649"/>
      <c r="F2649"/>
      <c r="G2649"/>
      <c r="H2649"/>
      <c r="I2649"/>
    </row>
    <row r="2650" spans="2:9" x14ac:dyDescent="0.25">
      <c r="B2650"/>
      <c r="C2650"/>
      <c r="D2650"/>
      <c r="E2650"/>
      <c r="F2650"/>
      <c r="G2650"/>
      <c r="H2650"/>
      <c r="I2650"/>
    </row>
    <row r="2651" spans="2:9" x14ac:dyDescent="0.25">
      <c r="B2651"/>
      <c r="C2651"/>
      <c r="D2651"/>
      <c r="E2651"/>
      <c r="F2651"/>
      <c r="G2651"/>
      <c r="H2651"/>
      <c r="I2651"/>
    </row>
    <row r="2652" spans="2:9" x14ac:dyDescent="0.25">
      <c r="B2652"/>
      <c r="C2652"/>
      <c r="D2652"/>
      <c r="E2652"/>
      <c r="F2652"/>
      <c r="G2652"/>
      <c r="H2652"/>
      <c r="I2652"/>
    </row>
    <row r="2653" spans="2:9" x14ac:dyDescent="0.25">
      <c r="B2653"/>
      <c r="C2653"/>
      <c r="D2653"/>
      <c r="E2653"/>
      <c r="F2653"/>
      <c r="G2653"/>
      <c r="H2653"/>
      <c r="I2653"/>
    </row>
    <row r="2654" spans="2:9" x14ac:dyDescent="0.25">
      <c r="B2654"/>
      <c r="C2654"/>
      <c r="D2654"/>
      <c r="E2654"/>
      <c r="F2654"/>
      <c r="G2654"/>
      <c r="H2654"/>
      <c r="I2654"/>
    </row>
    <row r="2655" spans="2:9" x14ac:dyDescent="0.25">
      <c r="B2655"/>
      <c r="C2655"/>
      <c r="D2655"/>
      <c r="E2655"/>
      <c r="F2655"/>
      <c r="G2655"/>
      <c r="H2655"/>
      <c r="I2655"/>
    </row>
    <row r="2656" spans="2:9" x14ac:dyDescent="0.25">
      <c r="B2656"/>
      <c r="C2656"/>
      <c r="D2656"/>
      <c r="E2656"/>
      <c r="F2656"/>
      <c r="G2656"/>
      <c r="H2656"/>
      <c r="I2656"/>
    </row>
    <row r="2657" spans="2:9" x14ac:dyDescent="0.25">
      <c r="B2657"/>
      <c r="C2657"/>
      <c r="D2657"/>
      <c r="E2657"/>
      <c r="F2657"/>
      <c r="G2657"/>
      <c r="H2657"/>
      <c r="I2657"/>
    </row>
    <row r="2658" spans="2:9" x14ac:dyDescent="0.25">
      <c r="B2658"/>
      <c r="C2658"/>
      <c r="D2658"/>
      <c r="E2658"/>
      <c r="F2658"/>
      <c r="G2658"/>
      <c r="H2658"/>
      <c r="I2658"/>
    </row>
    <row r="2659" spans="2:9" x14ac:dyDescent="0.25">
      <c r="B2659"/>
      <c r="C2659"/>
      <c r="D2659"/>
      <c r="E2659"/>
      <c r="F2659"/>
      <c r="G2659"/>
      <c r="H2659"/>
      <c r="I2659"/>
    </row>
    <row r="2660" spans="2:9" x14ac:dyDescent="0.25">
      <c r="B2660"/>
      <c r="C2660"/>
      <c r="D2660"/>
      <c r="E2660"/>
      <c r="F2660"/>
      <c r="G2660"/>
      <c r="H2660"/>
      <c r="I2660"/>
    </row>
    <row r="2661" spans="2:9" x14ac:dyDescent="0.25">
      <c r="B2661"/>
      <c r="C2661"/>
      <c r="D2661"/>
      <c r="E2661"/>
      <c r="F2661"/>
      <c r="G2661"/>
      <c r="H2661"/>
      <c r="I2661"/>
    </row>
    <row r="2662" spans="2:9" x14ac:dyDescent="0.25">
      <c r="B2662"/>
      <c r="C2662"/>
      <c r="D2662"/>
      <c r="E2662"/>
      <c r="F2662"/>
      <c r="G2662"/>
      <c r="H2662"/>
      <c r="I2662"/>
    </row>
    <row r="2663" spans="2:9" x14ac:dyDescent="0.25">
      <c r="B2663"/>
      <c r="C2663"/>
      <c r="D2663"/>
      <c r="E2663"/>
      <c r="F2663"/>
      <c r="G2663"/>
      <c r="H2663"/>
      <c r="I2663"/>
    </row>
    <row r="2664" spans="2:9" x14ac:dyDescent="0.25">
      <c r="B2664"/>
      <c r="C2664"/>
      <c r="D2664"/>
      <c r="E2664"/>
      <c r="F2664"/>
      <c r="G2664"/>
      <c r="H2664"/>
      <c r="I2664"/>
    </row>
    <row r="2665" spans="2:9" x14ac:dyDescent="0.25">
      <c r="B2665"/>
      <c r="C2665"/>
      <c r="D2665"/>
      <c r="E2665"/>
      <c r="F2665"/>
      <c r="G2665"/>
      <c r="H2665"/>
      <c r="I2665"/>
    </row>
    <row r="2666" spans="2:9" x14ac:dyDescent="0.25">
      <c r="B2666"/>
      <c r="C2666"/>
      <c r="D2666"/>
      <c r="E2666"/>
      <c r="F2666"/>
      <c r="G2666"/>
      <c r="H2666"/>
      <c r="I2666"/>
    </row>
    <row r="2667" spans="2:9" x14ac:dyDescent="0.25">
      <c r="B2667"/>
      <c r="C2667"/>
      <c r="D2667"/>
      <c r="E2667"/>
      <c r="F2667"/>
      <c r="G2667"/>
      <c r="H2667"/>
      <c r="I2667"/>
    </row>
    <row r="2668" spans="2:9" x14ac:dyDescent="0.25">
      <c r="B2668"/>
      <c r="C2668"/>
      <c r="D2668"/>
      <c r="E2668"/>
      <c r="F2668"/>
      <c r="G2668"/>
      <c r="H2668"/>
      <c r="I2668"/>
    </row>
    <row r="2669" spans="2:9" x14ac:dyDescent="0.25">
      <c r="B2669"/>
      <c r="C2669"/>
      <c r="D2669"/>
      <c r="E2669"/>
      <c r="F2669"/>
      <c r="G2669"/>
      <c r="H2669"/>
      <c r="I2669"/>
    </row>
    <row r="2670" spans="2:9" x14ac:dyDescent="0.25">
      <c r="B2670"/>
      <c r="C2670"/>
      <c r="D2670"/>
      <c r="E2670"/>
      <c r="F2670"/>
      <c r="G2670"/>
      <c r="H2670"/>
      <c r="I2670"/>
    </row>
    <row r="2671" spans="2:9" x14ac:dyDescent="0.25">
      <c r="B2671"/>
      <c r="C2671"/>
      <c r="D2671"/>
      <c r="E2671"/>
      <c r="F2671"/>
      <c r="G2671"/>
      <c r="H2671"/>
      <c r="I2671"/>
    </row>
    <row r="2672" spans="2:9" x14ac:dyDescent="0.25">
      <c r="B2672"/>
      <c r="C2672"/>
      <c r="D2672"/>
      <c r="E2672"/>
      <c r="F2672"/>
      <c r="G2672"/>
      <c r="H2672"/>
      <c r="I2672"/>
    </row>
    <row r="2673" spans="2:9" x14ac:dyDescent="0.25">
      <c r="B2673"/>
      <c r="C2673"/>
      <c r="D2673"/>
      <c r="E2673"/>
      <c r="F2673"/>
      <c r="G2673"/>
      <c r="H2673"/>
      <c r="I2673"/>
    </row>
    <row r="2674" spans="2:9" x14ac:dyDescent="0.25">
      <c r="B2674"/>
      <c r="C2674"/>
      <c r="D2674"/>
      <c r="E2674"/>
      <c r="F2674"/>
      <c r="G2674"/>
      <c r="H2674"/>
      <c r="I2674"/>
    </row>
    <row r="2675" spans="2:9" x14ac:dyDescent="0.25">
      <c r="B2675"/>
      <c r="C2675"/>
      <c r="D2675"/>
      <c r="E2675"/>
      <c r="F2675"/>
      <c r="G2675"/>
      <c r="H2675"/>
      <c r="I2675"/>
    </row>
    <row r="2676" spans="2:9" x14ac:dyDescent="0.25">
      <c r="B2676"/>
      <c r="C2676"/>
      <c r="D2676"/>
      <c r="E2676"/>
      <c r="F2676"/>
      <c r="G2676"/>
      <c r="H2676"/>
      <c r="I2676"/>
    </row>
    <row r="2677" spans="2:9" x14ac:dyDescent="0.25">
      <c r="B2677"/>
      <c r="C2677"/>
      <c r="D2677"/>
      <c r="E2677"/>
      <c r="F2677"/>
      <c r="G2677"/>
      <c r="H2677"/>
      <c r="I2677"/>
    </row>
    <row r="2678" spans="2:9" x14ac:dyDescent="0.25">
      <c r="B2678"/>
      <c r="C2678"/>
      <c r="D2678"/>
      <c r="E2678"/>
      <c r="F2678"/>
      <c r="G2678"/>
      <c r="H2678"/>
      <c r="I2678"/>
    </row>
    <row r="2679" spans="2:9" x14ac:dyDescent="0.25">
      <c r="B2679"/>
      <c r="C2679"/>
      <c r="D2679"/>
      <c r="E2679"/>
      <c r="F2679"/>
      <c r="G2679"/>
      <c r="H2679"/>
      <c r="I2679"/>
    </row>
    <row r="2680" spans="2:9" x14ac:dyDescent="0.25">
      <c r="B2680"/>
      <c r="C2680"/>
      <c r="D2680"/>
      <c r="E2680"/>
      <c r="F2680"/>
      <c r="G2680"/>
      <c r="H2680"/>
      <c r="I2680"/>
    </row>
    <row r="2681" spans="2:9" x14ac:dyDescent="0.25">
      <c r="B2681"/>
      <c r="C2681"/>
      <c r="D2681"/>
      <c r="E2681"/>
      <c r="F2681"/>
      <c r="G2681"/>
      <c r="H2681"/>
      <c r="I2681"/>
    </row>
    <row r="2682" spans="2:9" x14ac:dyDescent="0.25">
      <c r="B2682"/>
      <c r="C2682"/>
      <c r="D2682"/>
      <c r="E2682"/>
      <c r="F2682"/>
      <c r="G2682"/>
      <c r="H2682"/>
      <c r="I2682"/>
    </row>
    <row r="2683" spans="2:9" x14ac:dyDescent="0.25">
      <c r="B2683"/>
      <c r="C2683"/>
      <c r="D2683"/>
      <c r="E2683"/>
      <c r="F2683"/>
      <c r="G2683"/>
      <c r="H2683"/>
      <c r="I2683"/>
    </row>
    <row r="2684" spans="2:9" x14ac:dyDescent="0.25">
      <c r="B2684"/>
      <c r="C2684"/>
      <c r="D2684"/>
      <c r="E2684"/>
      <c r="F2684"/>
      <c r="G2684"/>
      <c r="H2684"/>
      <c r="I2684"/>
    </row>
    <row r="2685" spans="2:9" x14ac:dyDescent="0.25">
      <c r="B2685"/>
      <c r="C2685"/>
      <c r="D2685"/>
      <c r="E2685"/>
      <c r="F2685"/>
      <c r="G2685"/>
      <c r="H2685"/>
      <c r="I2685"/>
    </row>
    <row r="2686" spans="2:9" x14ac:dyDescent="0.25">
      <c r="B2686"/>
      <c r="C2686"/>
      <c r="D2686"/>
      <c r="E2686"/>
      <c r="F2686"/>
      <c r="G2686"/>
      <c r="H2686"/>
      <c r="I2686"/>
    </row>
    <row r="2687" spans="2:9" x14ac:dyDescent="0.25">
      <c r="B2687"/>
      <c r="C2687"/>
      <c r="D2687"/>
      <c r="E2687"/>
      <c r="F2687"/>
      <c r="G2687"/>
      <c r="H2687"/>
      <c r="I2687"/>
    </row>
    <row r="2688" spans="2:9" x14ac:dyDescent="0.25">
      <c r="B2688"/>
      <c r="C2688"/>
      <c r="D2688"/>
      <c r="E2688"/>
      <c r="F2688"/>
      <c r="G2688"/>
      <c r="H2688"/>
      <c r="I2688"/>
    </row>
    <row r="2689" spans="2:9" x14ac:dyDescent="0.25">
      <c r="B2689"/>
      <c r="C2689"/>
      <c r="D2689"/>
      <c r="E2689"/>
      <c r="F2689"/>
      <c r="G2689"/>
      <c r="H2689"/>
      <c r="I2689"/>
    </row>
    <row r="2690" spans="2:9" x14ac:dyDescent="0.25">
      <c r="B2690"/>
      <c r="C2690"/>
      <c r="D2690"/>
      <c r="E2690"/>
      <c r="F2690"/>
      <c r="G2690"/>
      <c r="H2690"/>
      <c r="I2690"/>
    </row>
    <row r="2691" spans="2:9" x14ac:dyDescent="0.25">
      <c r="B2691"/>
      <c r="C2691"/>
      <c r="D2691"/>
      <c r="E2691"/>
      <c r="F2691"/>
      <c r="G2691"/>
      <c r="H2691"/>
      <c r="I2691"/>
    </row>
    <row r="2692" spans="2:9" x14ac:dyDescent="0.25">
      <c r="B2692"/>
      <c r="C2692"/>
      <c r="D2692"/>
      <c r="E2692"/>
      <c r="F2692"/>
      <c r="G2692"/>
      <c r="H2692"/>
      <c r="I2692"/>
    </row>
    <row r="2693" spans="2:9" x14ac:dyDescent="0.25">
      <c r="B2693"/>
      <c r="C2693"/>
      <c r="D2693"/>
      <c r="E2693"/>
      <c r="F2693"/>
      <c r="G2693"/>
      <c r="H2693"/>
      <c r="I2693"/>
    </row>
    <row r="2694" spans="2:9" x14ac:dyDescent="0.25">
      <c r="B2694"/>
      <c r="C2694"/>
      <c r="D2694"/>
      <c r="E2694"/>
      <c r="F2694"/>
      <c r="G2694"/>
      <c r="H2694"/>
      <c r="I2694"/>
    </row>
    <row r="2695" spans="2:9" x14ac:dyDescent="0.25">
      <c r="B2695"/>
      <c r="C2695"/>
      <c r="D2695"/>
      <c r="E2695"/>
      <c r="F2695"/>
      <c r="G2695"/>
      <c r="H2695"/>
      <c r="I2695"/>
    </row>
    <row r="2696" spans="2:9" x14ac:dyDescent="0.25">
      <c r="B2696"/>
      <c r="C2696"/>
      <c r="D2696"/>
      <c r="E2696"/>
      <c r="F2696"/>
      <c r="G2696"/>
      <c r="H2696"/>
      <c r="I2696"/>
    </row>
    <row r="2697" spans="2:9" x14ac:dyDescent="0.25">
      <c r="B2697"/>
      <c r="C2697"/>
      <c r="D2697"/>
      <c r="E2697"/>
      <c r="F2697"/>
      <c r="G2697"/>
      <c r="H2697"/>
      <c r="I2697"/>
    </row>
    <row r="2698" spans="2:9" x14ac:dyDescent="0.25">
      <c r="B2698"/>
      <c r="C2698"/>
      <c r="D2698"/>
      <c r="E2698"/>
      <c r="F2698"/>
      <c r="G2698"/>
      <c r="H2698"/>
      <c r="I2698"/>
    </row>
    <row r="2699" spans="2:9" x14ac:dyDescent="0.25">
      <c r="B2699"/>
      <c r="C2699"/>
      <c r="D2699"/>
      <c r="E2699"/>
      <c r="F2699"/>
      <c r="G2699"/>
      <c r="H2699"/>
      <c r="I2699"/>
    </row>
    <row r="2700" spans="2:9" x14ac:dyDescent="0.25">
      <c r="B2700"/>
      <c r="C2700"/>
      <c r="D2700"/>
      <c r="E2700"/>
      <c r="F2700"/>
      <c r="G2700"/>
      <c r="H2700"/>
      <c r="I2700"/>
    </row>
    <row r="2701" spans="2:9" x14ac:dyDescent="0.25">
      <c r="B2701"/>
      <c r="C2701"/>
      <c r="D2701"/>
      <c r="E2701"/>
      <c r="F2701"/>
      <c r="G2701"/>
      <c r="H2701"/>
      <c r="I2701"/>
    </row>
    <row r="2702" spans="2:9" x14ac:dyDescent="0.25">
      <c r="B2702"/>
      <c r="C2702"/>
      <c r="D2702"/>
      <c r="E2702"/>
      <c r="F2702"/>
      <c r="G2702"/>
      <c r="H2702"/>
      <c r="I2702"/>
    </row>
    <row r="2703" spans="2:9" x14ac:dyDescent="0.25">
      <c r="B2703"/>
      <c r="C2703"/>
      <c r="D2703"/>
      <c r="E2703"/>
      <c r="F2703"/>
      <c r="G2703"/>
      <c r="H2703"/>
      <c r="I2703"/>
    </row>
    <row r="2704" spans="2:9" x14ac:dyDescent="0.25">
      <c r="B2704"/>
      <c r="C2704"/>
      <c r="D2704"/>
      <c r="E2704"/>
      <c r="F2704"/>
      <c r="G2704"/>
      <c r="H2704"/>
      <c r="I2704"/>
    </row>
    <row r="2705" spans="2:9" x14ac:dyDescent="0.25">
      <c r="B2705"/>
      <c r="C2705"/>
      <c r="D2705"/>
      <c r="E2705"/>
      <c r="F2705"/>
      <c r="G2705"/>
      <c r="H2705"/>
      <c r="I2705"/>
    </row>
    <row r="2706" spans="2:9" x14ac:dyDescent="0.25">
      <c r="B2706"/>
      <c r="C2706"/>
      <c r="D2706"/>
      <c r="E2706"/>
      <c r="F2706"/>
      <c r="G2706"/>
      <c r="H2706"/>
      <c r="I2706"/>
    </row>
    <row r="2707" spans="2:9" x14ac:dyDescent="0.25">
      <c r="B2707"/>
      <c r="C2707"/>
      <c r="D2707"/>
      <c r="E2707"/>
      <c r="F2707"/>
      <c r="G2707"/>
      <c r="H2707"/>
      <c r="I2707"/>
    </row>
    <row r="2708" spans="2:9" x14ac:dyDescent="0.25">
      <c r="B2708"/>
      <c r="C2708"/>
      <c r="D2708"/>
      <c r="E2708"/>
      <c r="F2708"/>
      <c r="G2708"/>
      <c r="H2708"/>
      <c r="I2708"/>
    </row>
    <row r="2709" spans="2:9" x14ac:dyDescent="0.25">
      <c r="B2709"/>
      <c r="C2709"/>
      <c r="D2709"/>
      <c r="E2709"/>
      <c r="F2709"/>
      <c r="G2709"/>
      <c r="H2709"/>
      <c r="I2709"/>
    </row>
    <row r="2710" spans="2:9" x14ac:dyDescent="0.25">
      <c r="B2710"/>
      <c r="C2710"/>
      <c r="D2710"/>
      <c r="E2710"/>
      <c r="F2710"/>
      <c r="G2710"/>
      <c r="H2710"/>
      <c r="I2710"/>
    </row>
    <row r="2711" spans="2:9" x14ac:dyDescent="0.25">
      <c r="B2711"/>
      <c r="C2711"/>
      <c r="D2711"/>
      <c r="E2711"/>
      <c r="F2711"/>
      <c r="G2711"/>
      <c r="H2711"/>
      <c r="I2711"/>
    </row>
    <row r="2712" spans="2:9" x14ac:dyDescent="0.25">
      <c r="B2712"/>
      <c r="C2712"/>
      <c r="D2712"/>
      <c r="E2712"/>
      <c r="F2712"/>
      <c r="G2712"/>
      <c r="H2712"/>
      <c r="I2712"/>
    </row>
    <row r="2713" spans="2:9" x14ac:dyDescent="0.25">
      <c r="B2713"/>
      <c r="C2713"/>
      <c r="D2713"/>
      <c r="E2713"/>
      <c r="F2713"/>
      <c r="G2713"/>
      <c r="H2713"/>
      <c r="I2713"/>
    </row>
    <row r="2714" spans="2:9" x14ac:dyDescent="0.25">
      <c r="B2714"/>
      <c r="C2714"/>
      <c r="D2714"/>
      <c r="E2714"/>
      <c r="F2714"/>
      <c r="G2714"/>
      <c r="H2714"/>
      <c r="I2714"/>
    </row>
    <row r="2715" spans="2:9" x14ac:dyDescent="0.25">
      <c r="B2715"/>
      <c r="C2715"/>
      <c r="D2715"/>
      <c r="E2715"/>
      <c r="F2715"/>
      <c r="G2715"/>
      <c r="H2715"/>
      <c r="I2715"/>
    </row>
    <row r="2716" spans="2:9" x14ac:dyDescent="0.25">
      <c r="B2716"/>
      <c r="C2716"/>
      <c r="D2716"/>
      <c r="E2716"/>
      <c r="F2716"/>
      <c r="G2716"/>
      <c r="H2716"/>
      <c r="I2716"/>
    </row>
    <row r="2717" spans="2:9" x14ac:dyDescent="0.25">
      <c r="B2717"/>
      <c r="C2717"/>
      <c r="D2717"/>
      <c r="E2717"/>
      <c r="F2717"/>
      <c r="G2717"/>
      <c r="H2717"/>
      <c r="I2717"/>
    </row>
    <row r="2718" spans="2:9" x14ac:dyDescent="0.25">
      <c r="B2718"/>
      <c r="C2718"/>
      <c r="D2718"/>
      <c r="E2718"/>
      <c r="F2718"/>
      <c r="G2718"/>
      <c r="H2718"/>
      <c r="I2718"/>
    </row>
    <row r="2719" spans="2:9" x14ac:dyDescent="0.25">
      <c r="B2719"/>
      <c r="C2719"/>
      <c r="D2719"/>
      <c r="E2719"/>
      <c r="F2719"/>
      <c r="G2719"/>
      <c r="H2719"/>
      <c r="I2719"/>
    </row>
    <row r="2720" spans="2:9" x14ac:dyDescent="0.25">
      <c r="B2720"/>
      <c r="C2720"/>
      <c r="D2720"/>
      <c r="E2720"/>
      <c r="F2720"/>
      <c r="G2720"/>
      <c r="H2720"/>
      <c r="I2720"/>
    </row>
    <row r="2721" spans="2:9" x14ac:dyDescent="0.25">
      <c r="B2721"/>
      <c r="C2721"/>
      <c r="D2721"/>
      <c r="E2721"/>
      <c r="F2721"/>
      <c r="G2721"/>
      <c r="H2721"/>
      <c r="I2721"/>
    </row>
    <row r="2722" spans="2:9" x14ac:dyDescent="0.25">
      <c r="B2722"/>
      <c r="C2722"/>
      <c r="D2722"/>
      <c r="E2722"/>
      <c r="F2722"/>
      <c r="G2722"/>
      <c r="H2722"/>
      <c r="I2722"/>
    </row>
    <row r="2723" spans="2:9" x14ac:dyDescent="0.25">
      <c r="B2723"/>
      <c r="C2723"/>
      <c r="D2723"/>
      <c r="E2723"/>
      <c r="F2723"/>
      <c r="G2723"/>
      <c r="H2723"/>
      <c r="I2723"/>
    </row>
    <row r="2724" spans="2:9" x14ac:dyDescent="0.25">
      <c r="B2724"/>
      <c r="C2724"/>
      <c r="D2724"/>
      <c r="E2724"/>
      <c r="F2724"/>
      <c r="G2724"/>
      <c r="H2724"/>
      <c r="I2724"/>
    </row>
    <row r="2725" spans="2:9" x14ac:dyDescent="0.25">
      <c r="B2725"/>
      <c r="C2725"/>
      <c r="D2725"/>
      <c r="E2725"/>
      <c r="F2725"/>
      <c r="G2725"/>
      <c r="H2725"/>
      <c r="I2725"/>
    </row>
    <row r="2726" spans="2:9" x14ac:dyDescent="0.25">
      <c r="B2726"/>
      <c r="C2726"/>
      <c r="D2726"/>
      <c r="E2726"/>
      <c r="F2726"/>
      <c r="G2726"/>
      <c r="H2726"/>
      <c r="I2726"/>
    </row>
    <row r="2727" spans="2:9" x14ac:dyDescent="0.25">
      <c r="B2727"/>
      <c r="C2727"/>
      <c r="D2727"/>
      <c r="E2727"/>
      <c r="F2727"/>
      <c r="G2727"/>
      <c r="H2727"/>
      <c r="I2727"/>
    </row>
    <row r="2728" spans="2:9" x14ac:dyDescent="0.25">
      <c r="B2728"/>
      <c r="C2728"/>
      <c r="D2728"/>
      <c r="E2728"/>
      <c r="F2728"/>
      <c r="G2728"/>
      <c r="H2728"/>
      <c r="I2728"/>
    </row>
    <row r="2729" spans="2:9" x14ac:dyDescent="0.25">
      <c r="B2729"/>
      <c r="C2729"/>
      <c r="D2729"/>
      <c r="E2729"/>
      <c r="F2729"/>
      <c r="G2729"/>
      <c r="H2729"/>
      <c r="I2729"/>
    </row>
    <row r="2730" spans="2:9" x14ac:dyDescent="0.25">
      <c r="B2730"/>
      <c r="C2730"/>
      <c r="D2730"/>
      <c r="E2730"/>
      <c r="F2730"/>
      <c r="G2730"/>
      <c r="H2730"/>
      <c r="I2730"/>
    </row>
    <row r="2731" spans="2:9" x14ac:dyDescent="0.25">
      <c r="B2731"/>
      <c r="C2731"/>
      <c r="D2731"/>
      <c r="E2731"/>
      <c r="F2731"/>
      <c r="G2731"/>
      <c r="H2731"/>
      <c r="I2731"/>
    </row>
    <row r="2732" spans="2:9" x14ac:dyDescent="0.25">
      <c r="B2732"/>
      <c r="C2732"/>
      <c r="D2732"/>
      <c r="E2732"/>
      <c r="F2732"/>
      <c r="G2732"/>
      <c r="H2732"/>
      <c r="I2732"/>
    </row>
    <row r="2733" spans="2:9" x14ac:dyDescent="0.25">
      <c r="B2733"/>
      <c r="C2733"/>
      <c r="D2733"/>
      <c r="E2733"/>
      <c r="F2733"/>
      <c r="G2733"/>
      <c r="H2733"/>
      <c r="I2733"/>
    </row>
    <row r="2734" spans="2:9" x14ac:dyDescent="0.25">
      <c r="B2734"/>
      <c r="C2734"/>
      <c r="D2734"/>
      <c r="E2734"/>
      <c r="F2734"/>
      <c r="G2734"/>
      <c r="H2734"/>
      <c r="I2734"/>
    </row>
    <row r="2735" spans="2:9" x14ac:dyDescent="0.25">
      <c r="B2735"/>
      <c r="C2735"/>
      <c r="D2735"/>
      <c r="E2735"/>
      <c r="F2735"/>
      <c r="G2735"/>
      <c r="H2735"/>
      <c r="I2735"/>
    </row>
    <row r="2736" spans="2:9" x14ac:dyDescent="0.25">
      <c r="B2736"/>
      <c r="C2736"/>
      <c r="D2736"/>
      <c r="E2736"/>
      <c r="F2736"/>
      <c r="G2736"/>
      <c r="H2736"/>
      <c r="I2736"/>
    </row>
    <row r="2737" spans="2:9" x14ac:dyDescent="0.25">
      <c r="B2737"/>
      <c r="C2737"/>
      <c r="D2737"/>
      <c r="E2737"/>
      <c r="F2737"/>
      <c r="G2737"/>
      <c r="H2737"/>
      <c r="I2737"/>
    </row>
    <row r="2738" spans="2:9" x14ac:dyDescent="0.25">
      <c r="B2738"/>
      <c r="C2738"/>
      <c r="D2738"/>
      <c r="E2738"/>
      <c r="F2738"/>
      <c r="G2738"/>
      <c r="H2738"/>
      <c r="I2738"/>
    </row>
    <row r="2739" spans="2:9" x14ac:dyDescent="0.25">
      <c r="B2739"/>
      <c r="C2739"/>
      <c r="D2739"/>
      <c r="E2739"/>
      <c r="F2739"/>
      <c r="G2739"/>
      <c r="H2739"/>
      <c r="I2739"/>
    </row>
    <row r="2740" spans="2:9" x14ac:dyDescent="0.25">
      <c r="B2740"/>
      <c r="C2740"/>
      <c r="D2740"/>
      <c r="E2740"/>
      <c r="F2740"/>
      <c r="G2740"/>
      <c r="H2740"/>
      <c r="I2740"/>
    </row>
    <row r="2741" spans="2:9" x14ac:dyDescent="0.25">
      <c r="B2741"/>
      <c r="C2741"/>
      <c r="D2741"/>
      <c r="E2741"/>
      <c r="F2741"/>
      <c r="G2741"/>
      <c r="H2741"/>
      <c r="I2741"/>
    </row>
    <row r="2742" spans="2:9" x14ac:dyDescent="0.25">
      <c r="B2742"/>
      <c r="C2742"/>
      <c r="D2742"/>
      <c r="E2742"/>
      <c r="F2742"/>
      <c r="G2742"/>
      <c r="H2742"/>
      <c r="I2742"/>
    </row>
    <row r="2743" spans="2:9" x14ac:dyDescent="0.25">
      <c r="B2743"/>
      <c r="C2743"/>
      <c r="D2743"/>
      <c r="E2743"/>
      <c r="F2743"/>
      <c r="G2743"/>
      <c r="H2743"/>
      <c r="I2743"/>
    </row>
    <row r="2744" spans="2:9" x14ac:dyDescent="0.25">
      <c r="B2744"/>
      <c r="C2744"/>
      <c r="D2744"/>
      <c r="E2744"/>
      <c r="F2744"/>
      <c r="G2744"/>
      <c r="H2744"/>
      <c r="I2744"/>
    </row>
    <row r="2745" spans="2:9" x14ac:dyDescent="0.25">
      <c r="B2745"/>
      <c r="C2745"/>
      <c r="D2745"/>
      <c r="E2745"/>
      <c r="F2745"/>
      <c r="G2745"/>
      <c r="H2745"/>
      <c r="I2745"/>
    </row>
    <row r="2746" spans="2:9" x14ac:dyDescent="0.25">
      <c r="B2746"/>
      <c r="C2746"/>
      <c r="D2746"/>
      <c r="E2746"/>
      <c r="F2746"/>
      <c r="G2746"/>
      <c r="H2746"/>
      <c r="I2746"/>
    </row>
    <row r="2747" spans="2:9" x14ac:dyDescent="0.25">
      <c r="B2747"/>
      <c r="C2747"/>
      <c r="D2747"/>
      <c r="E2747"/>
      <c r="F2747"/>
      <c r="G2747"/>
      <c r="H2747"/>
      <c r="I2747"/>
    </row>
    <row r="2748" spans="2:9" x14ac:dyDescent="0.25">
      <c r="B2748"/>
      <c r="C2748"/>
      <c r="D2748"/>
      <c r="E2748"/>
      <c r="F2748"/>
      <c r="G2748"/>
      <c r="H2748"/>
      <c r="I2748"/>
    </row>
    <row r="2749" spans="2:9" x14ac:dyDescent="0.25">
      <c r="B2749"/>
      <c r="C2749"/>
      <c r="D2749"/>
      <c r="E2749"/>
      <c r="F2749"/>
      <c r="G2749"/>
      <c r="H2749"/>
      <c r="I2749"/>
    </row>
    <row r="2750" spans="2:9" x14ac:dyDescent="0.25">
      <c r="B2750"/>
      <c r="C2750"/>
      <c r="D2750"/>
      <c r="E2750"/>
      <c r="F2750"/>
      <c r="G2750"/>
      <c r="H2750"/>
      <c r="I2750"/>
    </row>
    <row r="2751" spans="2:9" x14ac:dyDescent="0.25">
      <c r="B2751"/>
      <c r="C2751"/>
      <c r="D2751"/>
      <c r="E2751"/>
      <c r="F2751"/>
      <c r="G2751"/>
      <c r="H2751"/>
      <c r="I2751"/>
    </row>
    <row r="2752" spans="2:9" x14ac:dyDescent="0.25">
      <c r="B2752"/>
      <c r="C2752"/>
      <c r="D2752"/>
      <c r="E2752"/>
      <c r="F2752"/>
      <c r="G2752"/>
      <c r="H2752"/>
      <c r="I2752"/>
    </row>
    <row r="2753" spans="2:9" x14ac:dyDescent="0.25">
      <c r="B2753"/>
      <c r="C2753"/>
      <c r="D2753"/>
      <c r="E2753"/>
      <c r="F2753"/>
      <c r="G2753"/>
      <c r="H2753"/>
      <c r="I2753"/>
    </row>
    <row r="2754" spans="2:9" x14ac:dyDescent="0.25">
      <c r="B2754"/>
      <c r="C2754"/>
      <c r="D2754"/>
      <c r="E2754"/>
      <c r="F2754"/>
      <c r="G2754"/>
      <c r="H2754"/>
      <c r="I2754"/>
    </row>
    <row r="2755" spans="2:9" x14ac:dyDescent="0.25">
      <c r="B2755"/>
      <c r="C2755"/>
      <c r="D2755"/>
      <c r="E2755"/>
      <c r="F2755"/>
      <c r="G2755"/>
      <c r="H2755"/>
      <c r="I2755"/>
    </row>
    <row r="2756" spans="2:9" x14ac:dyDescent="0.25">
      <c r="B2756"/>
      <c r="C2756"/>
      <c r="D2756"/>
      <c r="E2756"/>
      <c r="F2756"/>
      <c r="G2756"/>
      <c r="H2756"/>
      <c r="I2756"/>
    </row>
    <row r="2757" spans="2:9" x14ac:dyDescent="0.25">
      <c r="B2757"/>
      <c r="C2757"/>
      <c r="D2757"/>
      <c r="E2757"/>
      <c r="F2757"/>
      <c r="G2757"/>
      <c r="H2757"/>
      <c r="I2757"/>
    </row>
    <row r="2758" spans="2:9" x14ac:dyDescent="0.25">
      <c r="B2758"/>
      <c r="C2758"/>
      <c r="D2758"/>
      <c r="E2758"/>
      <c r="F2758"/>
      <c r="G2758"/>
      <c r="H2758"/>
      <c r="I2758"/>
    </row>
    <row r="2759" spans="2:9" x14ac:dyDescent="0.25">
      <c r="B2759"/>
      <c r="C2759"/>
      <c r="D2759"/>
      <c r="E2759"/>
      <c r="F2759"/>
      <c r="G2759"/>
      <c r="H2759"/>
      <c r="I2759"/>
    </row>
    <row r="2760" spans="2:9" x14ac:dyDescent="0.25">
      <c r="B2760"/>
      <c r="C2760"/>
      <c r="D2760"/>
      <c r="E2760"/>
      <c r="F2760"/>
      <c r="G2760"/>
      <c r="H2760"/>
      <c r="I2760"/>
    </row>
    <row r="2761" spans="2:9" x14ac:dyDescent="0.25">
      <c r="B2761"/>
      <c r="C2761"/>
      <c r="D2761"/>
      <c r="E2761"/>
      <c r="F2761"/>
      <c r="G2761"/>
      <c r="H2761"/>
      <c r="I2761"/>
    </row>
    <row r="2762" spans="2:9" x14ac:dyDescent="0.25">
      <c r="B2762"/>
      <c r="C2762"/>
      <c r="D2762"/>
      <c r="E2762"/>
      <c r="F2762"/>
      <c r="G2762"/>
      <c r="H2762"/>
      <c r="I2762"/>
    </row>
    <row r="2763" spans="2:9" x14ac:dyDescent="0.25">
      <c r="B2763"/>
      <c r="C2763"/>
      <c r="D2763"/>
      <c r="E2763"/>
      <c r="F2763"/>
      <c r="G2763"/>
      <c r="H2763"/>
      <c r="I2763"/>
    </row>
    <row r="2764" spans="2:9" x14ac:dyDescent="0.25">
      <c r="B2764"/>
      <c r="C2764"/>
      <c r="D2764"/>
      <c r="E2764"/>
      <c r="F2764"/>
      <c r="G2764"/>
      <c r="H2764"/>
      <c r="I2764"/>
    </row>
    <row r="2765" spans="2:9" x14ac:dyDescent="0.25">
      <c r="B2765"/>
      <c r="C2765"/>
      <c r="D2765"/>
      <c r="E2765"/>
      <c r="F2765"/>
      <c r="G2765"/>
      <c r="H2765"/>
      <c r="I2765"/>
    </row>
    <row r="2766" spans="2:9" x14ac:dyDescent="0.25">
      <c r="B2766"/>
      <c r="C2766"/>
      <c r="D2766"/>
      <c r="E2766"/>
      <c r="F2766"/>
      <c r="G2766"/>
      <c r="H2766"/>
      <c r="I2766"/>
    </row>
    <row r="2767" spans="2:9" x14ac:dyDescent="0.25">
      <c r="B2767"/>
      <c r="C2767"/>
      <c r="D2767"/>
      <c r="E2767"/>
      <c r="F2767"/>
      <c r="G2767"/>
      <c r="H2767"/>
      <c r="I2767"/>
    </row>
    <row r="2768" spans="2:9" x14ac:dyDescent="0.25">
      <c r="B2768"/>
      <c r="C2768"/>
      <c r="D2768"/>
      <c r="E2768"/>
      <c r="F2768"/>
      <c r="G2768"/>
      <c r="H2768"/>
      <c r="I2768"/>
    </row>
    <row r="2769" spans="2:9" x14ac:dyDescent="0.25">
      <c r="B2769"/>
      <c r="C2769"/>
      <c r="D2769"/>
      <c r="E2769"/>
      <c r="F2769"/>
      <c r="G2769"/>
      <c r="H2769"/>
      <c r="I2769"/>
    </row>
    <row r="2770" spans="2:9" x14ac:dyDescent="0.25">
      <c r="B2770"/>
      <c r="C2770"/>
      <c r="D2770"/>
      <c r="E2770"/>
      <c r="F2770"/>
      <c r="G2770"/>
      <c r="H2770"/>
      <c r="I2770"/>
    </row>
    <row r="2771" spans="2:9" x14ac:dyDescent="0.25">
      <c r="B2771"/>
      <c r="C2771"/>
      <c r="D2771"/>
      <c r="E2771"/>
      <c r="F2771"/>
      <c r="G2771"/>
      <c r="H2771"/>
      <c r="I2771"/>
    </row>
    <row r="2772" spans="2:9" x14ac:dyDescent="0.25">
      <c r="B2772"/>
      <c r="C2772"/>
      <c r="D2772"/>
      <c r="E2772"/>
      <c r="F2772"/>
      <c r="G2772"/>
      <c r="H2772"/>
      <c r="I2772"/>
    </row>
    <row r="2773" spans="2:9" x14ac:dyDescent="0.25">
      <c r="B2773"/>
      <c r="C2773"/>
      <c r="D2773"/>
      <c r="E2773"/>
      <c r="F2773"/>
      <c r="G2773"/>
      <c r="H2773"/>
      <c r="I2773"/>
    </row>
    <row r="2774" spans="2:9" x14ac:dyDescent="0.25">
      <c r="B2774"/>
      <c r="C2774"/>
      <c r="D2774"/>
      <c r="E2774"/>
      <c r="F2774"/>
      <c r="G2774"/>
      <c r="H2774"/>
      <c r="I2774"/>
    </row>
    <row r="2775" spans="2:9" x14ac:dyDescent="0.25">
      <c r="B2775"/>
      <c r="C2775"/>
      <c r="D2775"/>
      <c r="E2775"/>
      <c r="F2775"/>
      <c r="G2775"/>
      <c r="H2775"/>
      <c r="I2775"/>
    </row>
    <row r="2776" spans="2:9" x14ac:dyDescent="0.25">
      <c r="B2776"/>
      <c r="C2776"/>
      <c r="D2776"/>
      <c r="E2776"/>
      <c r="F2776"/>
      <c r="G2776"/>
      <c r="H2776"/>
      <c r="I2776"/>
    </row>
    <row r="2777" spans="2:9" x14ac:dyDescent="0.25">
      <c r="B2777"/>
      <c r="C2777"/>
      <c r="D2777"/>
      <c r="E2777"/>
      <c r="F2777"/>
      <c r="G2777"/>
      <c r="H2777"/>
      <c r="I2777"/>
    </row>
    <row r="2778" spans="2:9" x14ac:dyDescent="0.25">
      <c r="B2778"/>
      <c r="C2778"/>
      <c r="D2778"/>
      <c r="E2778"/>
      <c r="F2778"/>
      <c r="G2778"/>
      <c r="H2778"/>
      <c r="I2778"/>
    </row>
    <row r="2779" spans="2:9" x14ac:dyDescent="0.25">
      <c r="B2779"/>
      <c r="C2779"/>
      <c r="D2779"/>
      <c r="E2779"/>
      <c r="F2779"/>
      <c r="G2779"/>
      <c r="H2779"/>
      <c r="I2779"/>
    </row>
    <row r="2780" spans="2:9" x14ac:dyDescent="0.25">
      <c r="B2780"/>
      <c r="C2780"/>
      <c r="D2780"/>
      <c r="E2780"/>
      <c r="F2780"/>
      <c r="G2780"/>
      <c r="H2780"/>
      <c r="I2780"/>
    </row>
    <row r="2781" spans="2:9" x14ac:dyDescent="0.25">
      <c r="B2781"/>
      <c r="C2781"/>
      <c r="D2781"/>
      <c r="E2781"/>
      <c r="F2781"/>
      <c r="G2781"/>
      <c r="H2781"/>
      <c r="I2781"/>
    </row>
    <row r="2782" spans="2:9" x14ac:dyDescent="0.25">
      <c r="B2782"/>
      <c r="C2782"/>
      <c r="D2782"/>
      <c r="E2782"/>
      <c r="F2782"/>
      <c r="G2782"/>
      <c r="H2782"/>
      <c r="I2782"/>
    </row>
    <row r="2783" spans="2:9" x14ac:dyDescent="0.25">
      <c r="B2783"/>
      <c r="C2783"/>
      <c r="D2783"/>
      <c r="E2783"/>
      <c r="F2783"/>
      <c r="G2783"/>
      <c r="H2783"/>
      <c r="I2783"/>
    </row>
    <row r="2784" spans="2:9" x14ac:dyDescent="0.25">
      <c r="B2784"/>
      <c r="C2784"/>
      <c r="D2784"/>
      <c r="E2784"/>
      <c r="F2784"/>
      <c r="G2784"/>
      <c r="H2784"/>
      <c r="I2784"/>
    </row>
    <row r="2785" spans="2:9" x14ac:dyDescent="0.25">
      <c r="B2785"/>
      <c r="C2785"/>
      <c r="D2785"/>
      <c r="E2785"/>
      <c r="F2785"/>
      <c r="G2785"/>
      <c r="H2785"/>
      <c r="I2785"/>
    </row>
    <row r="2786" spans="2:9" x14ac:dyDescent="0.25">
      <c r="B2786"/>
      <c r="C2786"/>
      <c r="D2786"/>
      <c r="E2786"/>
      <c r="F2786"/>
      <c r="G2786"/>
      <c r="H2786"/>
      <c r="I2786"/>
    </row>
    <row r="2787" spans="2:9" x14ac:dyDescent="0.25">
      <c r="B2787"/>
      <c r="C2787"/>
      <c r="D2787"/>
      <c r="E2787"/>
      <c r="F2787"/>
      <c r="G2787"/>
      <c r="H2787"/>
      <c r="I2787"/>
    </row>
    <row r="2788" spans="2:9" x14ac:dyDescent="0.25">
      <c r="B2788"/>
      <c r="C2788"/>
      <c r="D2788"/>
      <c r="E2788"/>
      <c r="F2788"/>
      <c r="G2788"/>
      <c r="H2788"/>
      <c r="I2788"/>
    </row>
    <row r="2789" spans="2:9" x14ac:dyDescent="0.25">
      <c r="B2789"/>
      <c r="C2789"/>
      <c r="D2789"/>
      <c r="E2789"/>
      <c r="F2789"/>
      <c r="G2789"/>
      <c r="H2789"/>
      <c r="I2789"/>
    </row>
    <row r="2790" spans="2:9" x14ac:dyDescent="0.25">
      <c r="B2790"/>
      <c r="C2790"/>
      <c r="D2790"/>
      <c r="E2790"/>
      <c r="F2790"/>
      <c r="G2790"/>
      <c r="H2790"/>
      <c r="I2790"/>
    </row>
    <row r="2791" spans="2:9" x14ac:dyDescent="0.25">
      <c r="B2791"/>
      <c r="C2791"/>
      <c r="D2791"/>
      <c r="E2791"/>
      <c r="F2791"/>
      <c r="G2791"/>
      <c r="H2791"/>
      <c r="I2791"/>
    </row>
    <row r="2792" spans="2:9" x14ac:dyDescent="0.25">
      <c r="B2792"/>
      <c r="C2792"/>
      <c r="D2792"/>
      <c r="E2792"/>
      <c r="F2792"/>
      <c r="G2792"/>
      <c r="H2792"/>
      <c r="I2792"/>
    </row>
    <row r="2793" spans="2:9" x14ac:dyDescent="0.25">
      <c r="B2793"/>
      <c r="C2793"/>
      <c r="D2793"/>
      <c r="E2793"/>
      <c r="F2793"/>
      <c r="G2793"/>
      <c r="H2793"/>
      <c r="I2793"/>
    </row>
    <row r="2794" spans="2:9" x14ac:dyDescent="0.25">
      <c r="B2794"/>
      <c r="C2794"/>
      <c r="D2794"/>
      <c r="E2794"/>
      <c r="F2794"/>
      <c r="G2794"/>
      <c r="H2794"/>
      <c r="I2794"/>
    </row>
    <row r="2795" spans="2:9" x14ac:dyDescent="0.25">
      <c r="B2795"/>
      <c r="C2795"/>
      <c r="D2795"/>
      <c r="E2795"/>
      <c r="F2795"/>
      <c r="G2795"/>
      <c r="H2795"/>
      <c r="I2795"/>
    </row>
    <row r="2796" spans="2:9" x14ac:dyDescent="0.25">
      <c r="B2796"/>
      <c r="C2796"/>
      <c r="D2796"/>
      <c r="E2796"/>
      <c r="F2796"/>
      <c r="G2796"/>
      <c r="H2796"/>
      <c r="I2796"/>
    </row>
    <row r="2797" spans="2:9" x14ac:dyDescent="0.25">
      <c r="B2797"/>
      <c r="C2797"/>
      <c r="D2797"/>
      <c r="E2797"/>
      <c r="F2797"/>
      <c r="G2797"/>
      <c r="H2797"/>
      <c r="I2797"/>
    </row>
    <row r="2798" spans="2:9" x14ac:dyDescent="0.25">
      <c r="B2798"/>
      <c r="C2798"/>
      <c r="D2798"/>
      <c r="E2798"/>
      <c r="F2798"/>
      <c r="G2798"/>
      <c r="H2798"/>
      <c r="I2798"/>
    </row>
    <row r="2799" spans="2:9" x14ac:dyDescent="0.25">
      <c r="B2799"/>
      <c r="C2799"/>
      <c r="D2799"/>
      <c r="E2799"/>
      <c r="F2799"/>
      <c r="G2799"/>
      <c r="H2799"/>
      <c r="I2799"/>
    </row>
    <row r="2800" spans="2:9" x14ac:dyDescent="0.25">
      <c r="B2800"/>
      <c r="C2800"/>
      <c r="D2800"/>
      <c r="E2800"/>
      <c r="F2800"/>
      <c r="G2800"/>
      <c r="H2800"/>
      <c r="I2800"/>
    </row>
    <row r="2801" spans="2:9" x14ac:dyDescent="0.25">
      <c r="B2801"/>
      <c r="C2801"/>
      <c r="D2801"/>
      <c r="E2801"/>
      <c r="F2801"/>
      <c r="G2801"/>
      <c r="H2801"/>
      <c r="I2801"/>
    </row>
    <row r="2802" spans="2:9" x14ac:dyDescent="0.25">
      <c r="B2802"/>
      <c r="C2802"/>
      <c r="D2802"/>
      <c r="E2802"/>
      <c r="F2802"/>
      <c r="G2802"/>
      <c r="H2802"/>
      <c r="I2802"/>
    </row>
    <row r="2803" spans="2:9" x14ac:dyDescent="0.25">
      <c r="B2803"/>
      <c r="C2803"/>
      <c r="D2803"/>
      <c r="E2803"/>
      <c r="F2803"/>
      <c r="G2803"/>
      <c r="H2803"/>
      <c r="I2803"/>
    </row>
    <row r="2804" spans="2:9" x14ac:dyDescent="0.25">
      <c r="B2804"/>
      <c r="C2804"/>
      <c r="D2804"/>
      <c r="E2804"/>
      <c r="F2804"/>
      <c r="G2804"/>
      <c r="H2804"/>
      <c r="I2804"/>
    </row>
    <row r="2805" spans="2:9" x14ac:dyDescent="0.25">
      <c r="B2805"/>
      <c r="C2805"/>
      <c r="D2805"/>
      <c r="E2805"/>
      <c r="F2805"/>
      <c r="G2805"/>
      <c r="H2805"/>
      <c r="I2805"/>
    </row>
    <row r="2806" spans="2:9" x14ac:dyDescent="0.25">
      <c r="B2806"/>
      <c r="C2806"/>
      <c r="D2806"/>
      <c r="E2806"/>
      <c r="F2806"/>
      <c r="G2806"/>
      <c r="H2806"/>
      <c r="I2806"/>
    </row>
    <row r="2807" spans="2:9" x14ac:dyDescent="0.25">
      <c r="B2807"/>
      <c r="C2807"/>
      <c r="D2807"/>
      <c r="E2807"/>
      <c r="F2807"/>
      <c r="G2807"/>
      <c r="H2807"/>
      <c r="I2807"/>
    </row>
    <row r="2808" spans="2:9" x14ac:dyDescent="0.25">
      <c r="B2808"/>
      <c r="C2808"/>
      <c r="D2808"/>
      <c r="E2808"/>
      <c r="F2808"/>
      <c r="G2808"/>
      <c r="H2808"/>
      <c r="I2808"/>
    </row>
    <row r="2809" spans="2:9" x14ac:dyDescent="0.25">
      <c r="B2809"/>
      <c r="C2809"/>
      <c r="D2809"/>
      <c r="E2809"/>
      <c r="F2809"/>
      <c r="G2809"/>
      <c r="H2809"/>
      <c r="I2809"/>
    </row>
    <row r="2810" spans="2:9" x14ac:dyDescent="0.25">
      <c r="B2810"/>
      <c r="C2810"/>
      <c r="D2810"/>
      <c r="E2810"/>
      <c r="F2810"/>
      <c r="G2810"/>
      <c r="H2810"/>
      <c r="I2810"/>
    </row>
    <row r="2811" spans="2:9" x14ac:dyDescent="0.25">
      <c r="B2811"/>
      <c r="C2811"/>
      <c r="D2811"/>
      <c r="E2811"/>
      <c r="F2811"/>
      <c r="G2811"/>
      <c r="H2811"/>
      <c r="I2811"/>
    </row>
    <row r="2812" spans="2:9" x14ac:dyDescent="0.25">
      <c r="B2812"/>
      <c r="C2812"/>
      <c r="D2812"/>
      <c r="E2812"/>
      <c r="F2812"/>
      <c r="G2812"/>
      <c r="H2812"/>
      <c r="I2812"/>
    </row>
    <row r="2813" spans="2:9" x14ac:dyDescent="0.25">
      <c r="B2813"/>
      <c r="C2813"/>
      <c r="D2813"/>
      <c r="E2813"/>
      <c r="F2813"/>
      <c r="G2813"/>
      <c r="H2813"/>
      <c r="I2813"/>
    </row>
    <row r="2814" spans="2:9" x14ac:dyDescent="0.25">
      <c r="B2814"/>
      <c r="C2814"/>
      <c r="D2814"/>
      <c r="E2814"/>
      <c r="F2814"/>
      <c r="G2814"/>
      <c r="H2814"/>
      <c r="I2814"/>
    </row>
    <row r="2815" spans="2:9" x14ac:dyDescent="0.25">
      <c r="B2815"/>
      <c r="C2815"/>
      <c r="D2815"/>
      <c r="E2815"/>
      <c r="F2815"/>
      <c r="G2815"/>
      <c r="H2815"/>
      <c r="I2815"/>
    </row>
    <row r="2816" spans="2:9" x14ac:dyDescent="0.25">
      <c r="B2816"/>
      <c r="C2816"/>
      <c r="D2816"/>
      <c r="E2816"/>
      <c r="F2816"/>
      <c r="G2816"/>
      <c r="H2816"/>
      <c r="I2816"/>
    </row>
    <row r="2817" spans="2:9" x14ac:dyDescent="0.25">
      <c r="B2817"/>
      <c r="C2817"/>
      <c r="D2817"/>
      <c r="E2817"/>
      <c r="F2817"/>
      <c r="G2817"/>
      <c r="H2817"/>
      <c r="I2817"/>
    </row>
    <row r="2818" spans="2:9" x14ac:dyDescent="0.25">
      <c r="B2818"/>
      <c r="C2818"/>
      <c r="D2818"/>
      <c r="E2818"/>
      <c r="F2818"/>
      <c r="G2818"/>
      <c r="H2818"/>
      <c r="I2818"/>
    </row>
    <row r="2819" spans="2:9" x14ac:dyDescent="0.25">
      <c r="B2819"/>
      <c r="C2819"/>
      <c r="D2819"/>
      <c r="E2819"/>
      <c r="F2819"/>
      <c r="G2819"/>
      <c r="H2819"/>
      <c r="I2819"/>
    </row>
    <row r="2820" spans="2:9" x14ac:dyDescent="0.25">
      <c r="B2820"/>
      <c r="C2820"/>
      <c r="D2820"/>
      <c r="E2820"/>
      <c r="F2820"/>
      <c r="G2820"/>
      <c r="H2820"/>
      <c r="I2820"/>
    </row>
    <row r="2821" spans="2:9" x14ac:dyDescent="0.25">
      <c r="B2821"/>
      <c r="C2821"/>
      <c r="D2821"/>
      <c r="E2821"/>
      <c r="F2821"/>
      <c r="G2821"/>
      <c r="H2821"/>
      <c r="I2821"/>
    </row>
    <row r="2822" spans="2:9" x14ac:dyDescent="0.25">
      <c r="B2822"/>
      <c r="C2822"/>
      <c r="D2822"/>
      <c r="E2822"/>
      <c r="F2822"/>
      <c r="G2822"/>
      <c r="H2822"/>
      <c r="I2822"/>
    </row>
    <row r="2823" spans="2:9" x14ac:dyDescent="0.25">
      <c r="B2823"/>
      <c r="C2823"/>
      <c r="D2823"/>
      <c r="E2823"/>
      <c r="F2823"/>
      <c r="G2823"/>
      <c r="H2823"/>
      <c r="I2823"/>
    </row>
    <row r="2824" spans="2:9" x14ac:dyDescent="0.25">
      <c r="B2824"/>
      <c r="C2824"/>
      <c r="D2824"/>
      <c r="E2824"/>
      <c r="F2824"/>
      <c r="G2824"/>
      <c r="H2824"/>
      <c r="I2824"/>
    </row>
    <row r="2825" spans="2:9" x14ac:dyDescent="0.25">
      <c r="B2825"/>
      <c r="C2825"/>
      <c r="D2825"/>
      <c r="E2825"/>
      <c r="F2825"/>
      <c r="G2825"/>
      <c r="H2825"/>
      <c r="I2825"/>
    </row>
    <row r="2826" spans="2:9" x14ac:dyDescent="0.25">
      <c r="B2826"/>
      <c r="C2826"/>
      <c r="D2826"/>
      <c r="E2826"/>
      <c r="F2826"/>
      <c r="G2826"/>
      <c r="H2826"/>
      <c r="I2826"/>
    </row>
    <row r="2827" spans="2:9" x14ac:dyDescent="0.25">
      <c r="B2827"/>
      <c r="C2827"/>
      <c r="D2827"/>
      <c r="E2827"/>
      <c r="F2827"/>
      <c r="G2827"/>
      <c r="H2827"/>
      <c r="I2827"/>
    </row>
    <row r="2828" spans="2:9" x14ac:dyDescent="0.25">
      <c r="B2828"/>
      <c r="C2828"/>
      <c r="D2828"/>
      <c r="E2828"/>
      <c r="F2828"/>
      <c r="G2828"/>
      <c r="H2828"/>
      <c r="I2828"/>
    </row>
    <row r="2829" spans="2:9" x14ac:dyDescent="0.25">
      <c r="B2829"/>
      <c r="C2829"/>
      <c r="D2829"/>
      <c r="E2829"/>
      <c r="F2829"/>
      <c r="G2829"/>
      <c r="H2829"/>
      <c r="I2829"/>
    </row>
    <row r="2830" spans="2:9" x14ac:dyDescent="0.25">
      <c r="B2830"/>
      <c r="C2830"/>
      <c r="D2830"/>
      <c r="E2830"/>
      <c r="F2830"/>
      <c r="G2830"/>
      <c r="H2830"/>
      <c r="I2830"/>
    </row>
    <row r="2831" spans="2:9" x14ac:dyDescent="0.25">
      <c r="B2831"/>
      <c r="C2831"/>
      <c r="D2831"/>
      <c r="E2831"/>
      <c r="F2831"/>
      <c r="G2831"/>
      <c r="H2831"/>
      <c r="I2831"/>
    </row>
    <row r="2832" spans="2:9" x14ac:dyDescent="0.25">
      <c r="B2832"/>
      <c r="C2832"/>
      <c r="D2832"/>
      <c r="E2832"/>
      <c r="F2832"/>
      <c r="G2832"/>
      <c r="H2832"/>
      <c r="I2832"/>
    </row>
    <row r="2833" spans="2:9" x14ac:dyDescent="0.25">
      <c r="B2833"/>
      <c r="C2833"/>
      <c r="D2833"/>
      <c r="E2833"/>
      <c r="F2833"/>
      <c r="G2833"/>
      <c r="H2833"/>
      <c r="I2833"/>
    </row>
    <row r="2834" spans="2:9" x14ac:dyDescent="0.25">
      <c r="B2834"/>
      <c r="C2834"/>
      <c r="D2834"/>
      <c r="E2834"/>
      <c r="F2834"/>
      <c r="G2834"/>
      <c r="H2834"/>
      <c r="I2834"/>
    </row>
    <row r="2835" spans="2:9" x14ac:dyDescent="0.25">
      <c r="B2835"/>
      <c r="C2835"/>
      <c r="D2835"/>
      <c r="E2835"/>
      <c r="F2835"/>
      <c r="G2835"/>
      <c r="H2835"/>
      <c r="I2835"/>
    </row>
    <row r="2836" spans="2:9" x14ac:dyDescent="0.25">
      <c r="B2836"/>
      <c r="C2836"/>
      <c r="D2836"/>
      <c r="E2836"/>
      <c r="F2836"/>
      <c r="G2836"/>
      <c r="H2836"/>
      <c r="I2836"/>
    </row>
    <row r="2837" spans="2:9" x14ac:dyDescent="0.25">
      <c r="B2837"/>
      <c r="C2837"/>
      <c r="D2837"/>
      <c r="E2837"/>
      <c r="F2837"/>
      <c r="G2837"/>
      <c r="H2837"/>
      <c r="I2837"/>
    </row>
    <row r="2838" spans="2:9" x14ac:dyDescent="0.25">
      <c r="B2838"/>
      <c r="C2838"/>
      <c r="D2838"/>
      <c r="E2838"/>
      <c r="F2838"/>
      <c r="G2838"/>
      <c r="H2838"/>
      <c r="I2838"/>
    </row>
    <row r="2839" spans="2:9" x14ac:dyDescent="0.25">
      <c r="B2839"/>
      <c r="C2839"/>
      <c r="D2839"/>
      <c r="E2839"/>
      <c r="F2839"/>
      <c r="G2839"/>
      <c r="H2839"/>
      <c r="I2839"/>
    </row>
    <row r="2840" spans="2:9" x14ac:dyDescent="0.25">
      <c r="B2840"/>
      <c r="C2840"/>
      <c r="D2840"/>
      <c r="E2840"/>
      <c r="F2840"/>
      <c r="G2840"/>
      <c r="H2840"/>
      <c r="I2840"/>
    </row>
    <row r="2841" spans="2:9" x14ac:dyDescent="0.25">
      <c r="B2841"/>
      <c r="C2841"/>
      <c r="D2841"/>
      <c r="E2841"/>
      <c r="F2841"/>
      <c r="G2841"/>
      <c r="H2841"/>
      <c r="I2841"/>
    </row>
    <row r="2842" spans="2:9" x14ac:dyDescent="0.25">
      <c r="B2842"/>
      <c r="C2842"/>
      <c r="D2842"/>
      <c r="E2842"/>
      <c r="F2842"/>
      <c r="G2842"/>
      <c r="H2842"/>
      <c r="I2842"/>
    </row>
    <row r="2843" spans="2:9" x14ac:dyDescent="0.25">
      <c r="B2843"/>
      <c r="C2843"/>
      <c r="D2843"/>
      <c r="E2843"/>
      <c r="F2843"/>
      <c r="G2843"/>
      <c r="H2843"/>
      <c r="I2843"/>
    </row>
    <row r="2844" spans="2:9" x14ac:dyDescent="0.25">
      <c r="B2844"/>
      <c r="C2844"/>
      <c r="D2844"/>
      <c r="E2844"/>
      <c r="F2844"/>
      <c r="G2844"/>
      <c r="H2844"/>
      <c r="I2844"/>
    </row>
    <row r="2845" spans="2:9" x14ac:dyDescent="0.25">
      <c r="B2845"/>
      <c r="C2845"/>
      <c r="D2845"/>
      <c r="E2845"/>
      <c r="F2845"/>
      <c r="G2845"/>
      <c r="H2845"/>
      <c r="I2845"/>
    </row>
    <row r="2846" spans="2:9" x14ac:dyDescent="0.25">
      <c r="B2846"/>
      <c r="C2846"/>
      <c r="D2846"/>
      <c r="E2846"/>
      <c r="F2846"/>
      <c r="G2846"/>
      <c r="H2846"/>
      <c r="I2846"/>
    </row>
    <row r="2847" spans="2:9" x14ac:dyDescent="0.25">
      <c r="B2847"/>
      <c r="C2847"/>
      <c r="D2847"/>
      <c r="E2847"/>
      <c r="F2847"/>
      <c r="G2847"/>
      <c r="H2847"/>
      <c r="I2847"/>
    </row>
    <row r="2848" spans="2:9" x14ac:dyDescent="0.25">
      <c r="B2848"/>
      <c r="C2848"/>
      <c r="D2848"/>
      <c r="E2848"/>
      <c r="F2848"/>
      <c r="G2848"/>
      <c r="H2848"/>
      <c r="I2848"/>
    </row>
    <row r="2849" spans="2:9" x14ac:dyDescent="0.25">
      <c r="B2849"/>
      <c r="C2849"/>
      <c r="D2849"/>
      <c r="E2849"/>
      <c r="F2849"/>
      <c r="G2849"/>
      <c r="H2849"/>
      <c r="I2849"/>
    </row>
    <row r="2850" spans="2:9" x14ac:dyDescent="0.25">
      <c r="B2850"/>
      <c r="C2850"/>
      <c r="D2850"/>
      <c r="E2850"/>
      <c r="F2850"/>
      <c r="G2850"/>
      <c r="H2850"/>
      <c r="I2850"/>
    </row>
    <row r="2851" spans="2:9" x14ac:dyDescent="0.25">
      <c r="B2851"/>
      <c r="C2851"/>
      <c r="D2851"/>
      <c r="E2851"/>
      <c r="F2851"/>
      <c r="G2851"/>
      <c r="H2851"/>
      <c r="I2851"/>
    </row>
    <row r="2852" spans="2:9" x14ac:dyDescent="0.25">
      <c r="B2852"/>
      <c r="C2852"/>
      <c r="D2852"/>
      <c r="E2852"/>
      <c r="F2852"/>
      <c r="G2852"/>
      <c r="H2852"/>
      <c r="I2852"/>
    </row>
    <row r="2853" spans="2:9" x14ac:dyDescent="0.25">
      <c r="B2853"/>
      <c r="C2853"/>
      <c r="D2853"/>
      <c r="E2853"/>
      <c r="F2853"/>
      <c r="G2853"/>
      <c r="H2853"/>
      <c r="I2853"/>
    </row>
    <row r="2854" spans="2:9" x14ac:dyDescent="0.25">
      <c r="B2854"/>
      <c r="C2854"/>
      <c r="D2854"/>
      <c r="E2854"/>
      <c r="F2854"/>
      <c r="G2854"/>
      <c r="H2854"/>
      <c r="I2854"/>
    </row>
    <row r="2855" spans="2:9" x14ac:dyDescent="0.25">
      <c r="B2855"/>
      <c r="C2855"/>
      <c r="D2855"/>
      <c r="E2855"/>
      <c r="F2855"/>
      <c r="G2855"/>
      <c r="H2855"/>
      <c r="I2855"/>
    </row>
    <row r="2856" spans="2:9" x14ac:dyDescent="0.25">
      <c r="B2856"/>
      <c r="C2856"/>
      <c r="D2856"/>
      <c r="E2856"/>
      <c r="F2856"/>
      <c r="G2856"/>
      <c r="H2856"/>
      <c r="I2856"/>
    </row>
    <row r="2857" spans="2:9" x14ac:dyDescent="0.25">
      <c r="B2857"/>
      <c r="C2857"/>
      <c r="D2857"/>
      <c r="E2857"/>
      <c r="F2857"/>
      <c r="G2857"/>
      <c r="H2857"/>
      <c r="I2857"/>
    </row>
    <row r="2858" spans="2:9" x14ac:dyDescent="0.25">
      <c r="B2858"/>
      <c r="C2858"/>
      <c r="D2858"/>
      <c r="E2858"/>
      <c r="F2858"/>
      <c r="G2858"/>
      <c r="H2858"/>
      <c r="I2858"/>
    </row>
    <row r="2859" spans="2:9" x14ac:dyDescent="0.25">
      <c r="B2859"/>
      <c r="C2859"/>
      <c r="D2859"/>
      <c r="E2859"/>
      <c r="F2859"/>
      <c r="G2859"/>
      <c r="H2859"/>
      <c r="I2859"/>
    </row>
    <row r="2860" spans="2:9" x14ac:dyDescent="0.25">
      <c r="B2860"/>
      <c r="C2860"/>
      <c r="D2860"/>
      <c r="E2860"/>
      <c r="F2860"/>
      <c r="G2860"/>
      <c r="H2860"/>
      <c r="I2860"/>
    </row>
    <row r="2861" spans="2:9" x14ac:dyDescent="0.25">
      <c r="B2861"/>
      <c r="C2861"/>
      <c r="D2861"/>
      <c r="E2861"/>
      <c r="F2861"/>
      <c r="G2861"/>
      <c r="H2861"/>
      <c r="I2861"/>
    </row>
    <row r="2862" spans="2:9" x14ac:dyDescent="0.25">
      <c r="B2862"/>
      <c r="C2862"/>
      <c r="D2862"/>
      <c r="E2862"/>
      <c r="F2862"/>
      <c r="G2862"/>
      <c r="H2862"/>
      <c r="I2862"/>
    </row>
    <row r="2863" spans="2:9" x14ac:dyDescent="0.25">
      <c r="B2863"/>
      <c r="C2863"/>
      <c r="D2863"/>
      <c r="E2863"/>
      <c r="F2863"/>
      <c r="G2863"/>
      <c r="H2863"/>
      <c r="I2863"/>
    </row>
    <row r="2864" spans="2:9" x14ac:dyDescent="0.25">
      <c r="B2864"/>
      <c r="C2864"/>
      <c r="D2864"/>
      <c r="E2864"/>
      <c r="F2864"/>
      <c r="G2864"/>
      <c r="H2864"/>
      <c r="I2864"/>
    </row>
    <row r="2865" spans="2:9" x14ac:dyDescent="0.25">
      <c r="B2865"/>
      <c r="C2865"/>
      <c r="D2865"/>
      <c r="E2865"/>
      <c r="F2865"/>
      <c r="G2865"/>
      <c r="H2865"/>
      <c r="I2865"/>
    </row>
    <row r="2866" spans="2:9" x14ac:dyDescent="0.25">
      <c r="B2866"/>
      <c r="C2866"/>
      <c r="D2866"/>
      <c r="E2866"/>
      <c r="F2866"/>
      <c r="G2866"/>
      <c r="H2866"/>
      <c r="I2866"/>
    </row>
    <row r="2867" spans="2:9" x14ac:dyDescent="0.25">
      <c r="B2867"/>
      <c r="C2867"/>
      <c r="D2867"/>
      <c r="E2867"/>
      <c r="F2867"/>
      <c r="G2867"/>
      <c r="H2867"/>
      <c r="I2867"/>
    </row>
    <row r="2868" spans="2:9" x14ac:dyDescent="0.25">
      <c r="B2868"/>
      <c r="C2868"/>
      <c r="D2868"/>
      <c r="E2868"/>
      <c r="F2868"/>
      <c r="G2868"/>
      <c r="H2868"/>
      <c r="I2868"/>
    </row>
    <row r="2869" spans="2:9" x14ac:dyDescent="0.25">
      <c r="B2869"/>
      <c r="C2869"/>
      <c r="D2869"/>
      <c r="E2869"/>
      <c r="F2869"/>
      <c r="G2869"/>
      <c r="H2869"/>
      <c r="I2869"/>
    </row>
    <row r="2870" spans="2:9" x14ac:dyDescent="0.25">
      <c r="B2870"/>
      <c r="C2870"/>
      <c r="D2870"/>
      <c r="E2870"/>
      <c r="F2870"/>
      <c r="G2870"/>
      <c r="H2870"/>
      <c r="I2870"/>
    </row>
    <row r="2871" spans="2:9" x14ac:dyDescent="0.25">
      <c r="B2871"/>
      <c r="C2871"/>
      <c r="D2871"/>
      <c r="E2871"/>
      <c r="F2871"/>
      <c r="G2871"/>
      <c r="H2871"/>
      <c r="I2871"/>
    </row>
    <row r="2872" spans="2:9" x14ac:dyDescent="0.25">
      <c r="B2872"/>
      <c r="C2872"/>
      <c r="D2872"/>
      <c r="E2872"/>
      <c r="F2872"/>
      <c r="G2872"/>
      <c r="H2872"/>
      <c r="I2872"/>
    </row>
    <row r="2873" spans="2:9" x14ac:dyDescent="0.25">
      <c r="B2873"/>
      <c r="C2873"/>
      <c r="D2873"/>
      <c r="E2873"/>
      <c r="F2873"/>
      <c r="G2873"/>
      <c r="H2873"/>
      <c r="I2873"/>
    </row>
    <row r="2874" spans="2:9" x14ac:dyDescent="0.25">
      <c r="B2874"/>
      <c r="C2874"/>
      <c r="D2874"/>
      <c r="E2874"/>
      <c r="F2874"/>
      <c r="G2874"/>
      <c r="H2874"/>
      <c r="I2874"/>
    </row>
    <row r="2875" spans="2:9" x14ac:dyDescent="0.25">
      <c r="B2875"/>
      <c r="C2875"/>
      <c r="D2875"/>
      <c r="E2875"/>
      <c r="F2875"/>
      <c r="G2875"/>
      <c r="H2875"/>
      <c r="I2875"/>
    </row>
    <row r="2876" spans="2:9" x14ac:dyDescent="0.25">
      <c r="B2876"/>
      <c r="C2876"/>
      <c r="D2876"/>
      <c r="E2876"/>
      <c r="F2876"/>
      <c r="G2876"/>
      <c r="H2876"/>
      <c r="I2876"/>
    </row>
    <row r="2877" spans="2:9" x14ac:dyDescent="0.25">
      <c r="B2877"/>
      <c r="C2877"/>
      <c r="D2877"/>
      <c r="E2877"/>
      <c r="F2877"/>
      <c r="G2877"/>
      <c r="H2877"/>
      <c r="I2877"/>
    </row>
    <row r="2878" spans="2:9" x14ac:dyDescent="0.25">
      <c r="B2878"/>
      <c r="C2878"/>
      <c r="D2878"/>
      <c r="E2878"/>
      <c r="F2878"/>
      <c r="G2878"/>
      <c r="H2878"/>
      <c r="I2878"/>
    </row>
    <row r="2879" spans="2:9" x14ac:dyDescent="0.25">
      <c r="B2879"/>
      <c r="C2879"/>
      <c r="D2879"/>
      <c r="E2879"/>
      <c r="F2879"/>
      <c r="G2879"/>
      <c r="H2879"/>
      <c r="I2879"/>
    </row>
    <row r="2880" spans="2:9" x14ac:dyDescent="0.25">
      <c r="B2880"/>
      <c r="C2880"/>
      <c r="D2880"/>
      <c r="E2880"/>
      <c r="F2880"/>
      <c r="G2880"/>
      <c r="H2880"/>
      <c r="I2880"/>
    </row>
    <row r="2881" spans="2:9" x14ac:dyDescent="0.25">
      <c r="B2881"/>
      <c r="C2881"/>
      <c r="D2881"/>
      <c r="E2881"/>
      <c r="F2881"/>
      <c r="G2881"/>
      <c r="H2881"/>
      <c r="I2881"/>
    </row>
    <row r="2882" spans="2:9" x14ac:dyDescent="0.25">
      <c r="B2882"/>
      <c r="C2882"/>
      <c r="D2882"/>
      <c r="E2882"/>
      <c r="F2882"/>
      <c r="G2882"/>
      <c r="H2882"/>
      <c r="I2882"/>
    </row>
    <row r="2883" spans="2:9" x14ac:dyDescent="0.25">
      <c r="B2883"/>
      <c r="C2883"/>
      <c r="D2883"/>
      <c r="E2883"/>
      <c r="F2883"/>
      <c r="G2883"/>
      <c r="H2883"/>
      <c r="I2883"/>
    </row>
    <row r="2884" spans="2:9" x14ac:dyDescent="0.25">
      <c r="B2884"/>
      <c r="C2884"/>
      <c r="D2884"/>
      <c r="E2884"/>
      <c r="F2884"/>
      <c r="G2884"/>
      <c r="H2884"/>
      <c r="I2884"/>
    </row>
    <row r="2885" spans="2:9" x14ac:dyDescent="0.25">
      <c r="B2885"/>
      <c r="C2885"/>
      <c r="D2885"/>
      <c r="E2885"/>
      <c r="F2885"/>
      <c r="G2885"/>
      <c r="H2885"/>
      <c r="I2885"/>
    </row>
    <row r="2886" spans="2:9" x14ac:dyDescent="0.25">
      <c r="B2886"/>
      <c r="C2886"/>
      <c r="D2886"/>
      <c r="E2886"/>
      <c r="F2886"/>
      <c r="G2886"/>
      <c r="H2886"/>
      <c r="I2886"/>
    </row>
    <row r="2887" spans="2:9" x14ac:dyDescent="0.25">
      <c r="B2887"/>
      <c r="C2887"/>
      <c r="D2887"/>
      <c r="E2887"/>
      <c r="F2887"/>
      <c r="G2887"/>
      <c r="H2887"/>
      <c r="I2887"/>
    </row>
    <row r="2888" spans="2:9" x14ac:dyDescent="0.25">
      <c r="B2888"/>
      <c r="C2888"/>
      <c r="D2888"/>
      <c r="E2888"/>
      <c r="F2888"/>
      <c r="G2888"/>
      <c r="H2888"/>
      <c r="I2888"/>
    </row>
    <row r="2889" spans="2:9" x14ac:dyDescent="0.25">
      <c r="B2889"/>
      <c r="C2889"/>
      <c r="D2889"/>
      <c r="E2889"/>
      <c r="F2889"/>
      <c r="G2889"/>
      <c r="H2889"/>
      <c r="I2889"/>
    </row>
    <row r="2890" spans="2:9" x14ac:dyDescent="0.25">
      <c r="B2890"/>
      <c r="C2890"/>
      <c r="D2890"/>
      <c r="E2890"/>
      <c r="F2890"/>
      <c r="G2890"/>
      <c r="H2890"/>
      <c r="I2890"/>
    </row>
    <row r="2891" spans="2:9" x14ac:dyDescent="0.25">
      <c r="B2891"/>
      <c r="C2891"/>
      <c r="D2891"/>
      <c r="E2891"/>
      <c r="F2891"/>
      <c r="G2891"/>
      <c r="H2891"/>
      <c r="I2891"/>
    </row>
    <row r="2892" spans="2:9" x14ac:dyDescent="0.25">
      <c r="B2892"/>
      <c r="C2892"/>
      <c r="D2892"/>
      <c r="E2892"/>
      <c r="F2892"/>
      <c r="G2892"/>
      <c r="H2892"/>
      <c r="I2892"/>
    </row>
    <row r="2893" spans="2:9" x14ac:dyDescent="0.25">
      <c r="B2893"/>
      <c r="C2893"/>
      <c r="D2893"/>
      <c r="E2893"/>
      <c r="F2893"/>
      <c r="G2893"/>
      <c r="H2893"/>
      <c r="I2893"/>
    </row>
    <row r="2894" spans="2:9" x14ac:dyDescent="0.25">
      <c r="B2894"/>
      <c r="C2894"/>
      <c r="D2894"/>
      <c r="E2894"/>
      <c r="F2894"/>
      <c r="G2894"/>
      <c r="H2894"/>
      <c r="I2894"/>
    </row>
    <row r="2895" spans="2:9" x14ac:dyDescent="0.25">
      <c r="B2895"/>
      <c r="C2895"/>
      <c r="D2895"/>
      <c r="E2895"/>
      <c r="F2895"/>
      <c r="G2895"/>
      <c r="H2895"/>
      <c r="I2895"/>
    </row>
    <row r="2896" spans="2:9" x14ac:dyDescent="0.25">
      <c r="B2896"/>
      <c r="C2896"/>
      <c r="D2896"/>
      <c r="E2896"/>
      <c r="F2896"/>
      <c r="G2896"/>
      <c r="H2896"/>
      <c r="I2896"/>
    </row>
    <row r="2897" spans="2:9" x14ac:dyDescent="0.25">
      <c r="B2897"/>
      <c r="C2897"/>
      <c r="D2897"/>
      <c r="E2897"/>
      <c r="F2897"/>
      <c r="G2897"/>
      <c r="H2897"/>
      <c r="I2897"/>
    </row>
    <row r="2898" spans="2:9" x14ac:dyDescent="0.25">
      <c r="B2898"/>
      <c r="C2898"/>
      <c r="D2898"/>
      <c r="E2898"/>
      <c r="F2898"/>
      <c r="G2898"/>
      <c r="H2898"/>
      <c r="I2898"/>
    </row>
    <row r="2899" spans="2:9" x14ac:dyDescent="0.25">
      <c r="B2899"/>
      <c r="C2899"/>
      <c r="D2899"/>
      <c r="E2899"/>
      <c r="F2899"/>
      <c r="G2899"/>
      <c r="H2899"/>
      <c r="I2899"/>
    </row>
    <row r="2900" spans="2:9" x14ac:dyDescent="0.25">
      <c r="B2900"/>
      <c r="C2900"/>
      <c r="D2900"/>
      <c r="E2900"/>
      <c r="F2900"/>
      <c r="G2900"/>
      <c r="H2900"/>
      <c r="I2900"/>
    </row>
    <row r="2901" spans="2:9" x14ac:dyDescent="0.25">
      <c r="B2901"/>
      <c r="C2901"/>
      <c r="D2901"/>
      <c r="E2901"/>
      <c r="F2901"/>
      <c r="G2901"/>
      <c r="H2901"/>
      <c r="I2901"/>
    </row>
    <row r="2902" spans="2:9" x14ac:dyDescent="0.25">
      <c r="B2902"/>
      <c r="C2902"/>
      <c r="D2902"/>
      <c r="E2902"/>
      <c r="F2902"/>
      <c r="G2902"/>
      <c r="H2902"/>
      <c r="I2902"/>
    </row>
    <row r="2903" spans="2:9" x14ac:dyDescent="0.25">
      <c r="B2903"/>
      <c r="C2903"/>
      <c r="D2903"/>
      <c r="E2903"/>
      <c r="F2903"/>
      <c r="G2903"/>
      <c r="H2903"/>
      <c r="I2903"/>
    </row>
    <row r="2904" spans="2:9" x14ac:dyDescent="0.25">
      <c r="B2904"/>
      <c r="C2904"/>
      <c r="D2904"/>
      <c r="E2904"/>
      <c r="F2904"/>
      <c r="G2904"/>
      <c r="H2904"/>
      <c r="I2904"/>
    </row>
    <row r="2905" spans="2:9" x14ac:dyDescent="0.25">
      <c r="B2905"/>
      <c r="C2905"/>
      <c r="D2905"/>
      <c r="E2905"/>
      <c r="F2905"/>
      <c r="G2905"/>
      <c r="H2905"/>
      <c r="I2905"/>
    </row>
    <row r="2906" spans="2:9" x14ac:dyDescent="0.25">
      <c r="B2906"/>
      <c r="C2906"/>
      <c r="D2906"/>
      <c r="E2906"/>
      <c r="F2906"/>
      <c r="G2906"/>
      <c r="H2906"/>
      <c r="I2906"/>
    </row>
    <row r="2907" spans="2:9" x14ac:dyDescent="0.25">
      <c r="B2907"/>
      <c r="C2907"/>
      <c r="D2907"/>
      <c r="E2907"/>
      <c r="F2907"/>
      <c r="G2907"/>
      <c r="H2907"/>
      <c r="I2907"/>
    </row>
    <row r="2908" spans="2:9" x14ac:dyDescent="0.25">
      <c r="B2908"/>
      <c r="C2908"/>
      <c r="D2908"/>
      <c r="E2908"/>
      <c r="F2908"/>
      <c r="G2908"/>
      <c r="H2908"/>
      <c r="I2908"/>
    </row>
    <row r="2909" spans="2:9" x14ac:dyDescent="0.25">
      <c r="B2909"/>
      <c r="C2909"/>
      <c r="D2909"/>
      <c r="E2909"/>
      <c r="F2909"/>
      <c r="G2909"/>
      <c r="H2909"/>
      <c r="I2909"/>
    </row>
    <row r="2910" spans="2:9" x14ac:dyDescent="0.25">
      <c r="B2910"/>
      <c r="C2910"/>
      <c r="D2910"/>
      <c r="E2910"/>
      <c r="F2910"/>
      <c r="G2910"/>
      <c r="H2910"/>
      <c r="I2910"/>
    </row>
    <row r="2911" spans="2:9" x14ac:dyDescent="0.25">
      <c r="B2911"/>
      <c r="C2911"/>
      <c r="D2911"/>
      <c r="E2911"/>
      <c r="F2911"/>
      <c r="G2911"/>
      <c r="H2911"/>
      <c r="I2911"/>
    </row>
    <row r="2912" spans="2:9" x14ac:dyDescent="0.25">
      <c r="B2912"/>
      <c r="C2912"/>
      <c r="D2912"/>
      <c r="E2912"/>
      <c r="F2912"/>
      <c r="G2912"/>
      <c r="H2912"/>
      <c r="I2912"/>
    </row>
    <row r="2913" spans="2:9" x14ac:dyDescent="0.25">
      <c r="B2913"/>
      <c r="C2913"/>
      <c r="D2913"/>
      <c r="E2913"/>
      <c r="F2913"/>
      <c r="G2913"/>
      <c r="H2913"/>
      <c r="I2913"/>
    </row>
    <row r="2914" spans="2:9" x14ac:dyDescent="0.25">
      <c r="B2914"/>
      <c r="C2914"/>
      <c r="D2914"/>
      <c r="E2914"/>
      <c r="F2914"/>
      <c r="G2914"/>
      <c r="H2914"/>
      <c r="I2914"/>
    </row>
    <row r="2915" spans="2:9" x14ac:dyDescent="0.25">
      <c r="B2915"/>
      <c r="C2915"/>
      <c r="D2915"/>
      <c r="E2915"/>
      <c r="F2915"/>
      <c r="G2915"/>
      <c r="H2915"/>
      <c r="I2915"/>
    </row>
    <row r="2916" spans="2:9" x14ac:dyDescent="0.25">
      <c r="B2916"/>
      <c r="C2916"/>
      <c r="D2916"/>
      <c r="E2916"/>
      <c r="F2916"/>
      <c r="G2916"/>
      <c r="H2916"/>
      <c r="I2916"/>
    </row>
    <row r="2917" spans="2:9" x14ac:dyDescent="0.25">
      <c r="B2917"/>
      <c r="C2917"/>
      <c r="D2917"/>
      <c r="E2917"/>
      <c r="F2917"/>
      <c r="G2917"/>
      <c r="H2917"/>
      <c r="I2917"/>
    </row>
    <row r="2918" spans="2:9" x14ac:dyDescent="0.25">
      <c r="B2918"/>
      <c r="C2918"/>
      <c r="D2918"/>
      <c r="E2918"/>
      <c r="F2918"/>
      <c r="G2918"/>
      <c r="H2918"/>
      <c r="I2918"/>
    </row>
    <row r="2919" spans="2:9" x14ac:dyDescent="0.25">
      <c r="B2919"/>
      <c r="C2919"/>
      <c r="D2919"/>
      <c r="E2919"/>
      <c r="F2919"/>
      <c r="G2919"/>
      <c r="H2919"/>
      <c r="I2919"/>
    </row>
    <row r="2920" spans="2:9" x14ac:dyDescent="0.25">
      <c r="B2920"/>
      <c r="C2920"/>
      <c r="D2920"/>
      <c r="E2920"/>
      <c r="F2920"/>
      <c r="G2920"/>
      <c r="H2920"/>
      <c r="I2920"/>
    </row>
    <row r="2921" spans="2:9" x14ac:dyDescent="0.25">
      <c r="B2921"/>
      <c r="C2921"/>
      <c r="D2921"/>
      <c r="E2921"/>
      <c r="F2921"/>
      <c r="G2921"/>
      <c r="H2921"/>
      <c r="I2921"/>
    </row>
    <row r="2922" spans="2:9" x14ac:dyDescent="0.25">
      <c r="B2922"/>
      <c r="C2922"/>
      <c r="D2922"/>
      <c r="E2922"/>
      <c r="F2922"/>
      <c r="G2922"/>
      <c r="H2922"/>
      <c r="I2922"/>
    </row>
    <row r="2923" spans="2:9" x14ac:dyDescent="0.25">
      <c r="B2923"/>
      <c r="C2923"/>
      <c r="D2923"/>
      <c r="E2923"/>
      <c r="F2923"/>
      <c r="G2923"/>
      <c r="H2923"/>
      <c r="I2923"/>
    </row>
    <row r="2924" spans="2:9" x14ac:dyDescent="0.25">
      <c r="B2924"/>
      <c r="C2924"/>
      <c r="D2924"/>
      <c r="E2924"/>
      <c r="F2924"/>
      <c r="G2924"/>
      <c r="H2924"/>
      <c r="I2924"/>
    </row>
    <row r="2925" spans="2:9" x14ac:dyDescent="0.25">
      <c r="B2925"/>
      <c r="C2925"/>
      <c r="D2925"/>
      <c r="E2925"/>
      <c r="F2925"/>
      <c r="G2925"/>
      <c r="H2925"/>
      <c r="I2925"/>
    </row>
    <row r="2926" spans="2:9" x14ac:dyDescent="0.25">
      <c r="B2926"/>
      <c r="C2926"/>
      <c r="D2926"/>
      <c r="E2926"/>
      <c r="F2926"/>
      <c r="G2926"/>
      <c r="H2926"/>
      <c r="I2926"/>
    </row>
    <row r="2927" spans="2:9" x14ac:dyDescent="0.25">
      <c r="B2927"/>
      <c r="C2927"/>
      <c r="D2927"/>
      <c r="E2927"/>
      <c r="F2927"/>
      <c r="G2927"/>
      <c r="H2927"/>
      <c r="I2927"/>
    </row>
    <row r="2928" spans="2:9" x14ac:dyDescent="0.25">
      <c r="B2928"/>
      <c r="C2928"/>
      <c r="D2928"/>
      <c r="E2928"/>
      <c r="F2928"/>
      <c r="G2928"/>
      <c r="H2928"/>
      <c r="I2928"/>
    </row>
    <row r="2929" spans="2:9" x14ac:dyDescent="0.25">
      <c r="B2929"/>
      <c r="C2929"/>
      <c r="D2929"/>
      <c r="E2929"/>
      <c r="F2929"/>
      <c r="G2929"/>
      <c r="H2929"/>
      <c r="I2929"/>
    </row>
    <row r="2930" spans="2:9" x14ac:dyDescent="0.25">
      <c r="B2930"/>
      <c r="C2930"/>
      <c r="D2930"/>
      <c r="E2930"/>
      <c r="F2930"/>
      <c r="G2930"/>
      <c r="H2930"/>
      <c r="I2930"/>
    </row>
  </sheetData>
  <sortState xmlns:xlrd2="http://schemas.microsoft.com/office/spreadsheetml/2017/richdata2" ref="K4:K15">
    <sortCondition ref="K4:K15"/>
  </sortState>
  <mergeCells count="1">
    <mergeCell ref="K2:L2"/>
  </mergeCells>
  <conditionalFormatting sqref="B1:I1048576">
    <cfRule type="cellIs" dxfId="413" priority="1" operator="equal">
      <formula>"NÃO INFORMADO"</formula>
    </cfRule>
  </conditionalFormatting>
  <conditionalFormatting sqref="B4:I3619">
    <cfRule type="expression" dxfId="412" priority="2">
      <formula>$H4="SEM PEDIDO"</formula>
    </cfRule>
    <cfRule type="expression" dxfId="411" priority="3">
      <formula>$H4="SEM PEDIDO - COMPRADOR"</formula>
    </cfRule>
    <cfRule type="expression" dxfId="410" priority="4">
      <formula>$H4="SEM PEDIDO - FORNECEDOR"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1A1AD-FE13-47B4-A7F5-318D90BE5493}">
  <sheetPr codeName="Planilha3"/>
  <dimension ref="B2:L3214"/>
  <sheetViews>
    <sheetView showGridLines="0" topLeftCell="A3185" zoomScaleNormal="100" workbookViewId="0">
      <selection activeCell="C3181" sqref="C3181:C3214"/>
    </sheetView>
  </sheetViews>
  <sheetFormatPr defaultRowHeight="15" x14ac:dyDescent="0.25"/>
  <cols>
    <col min="1" max="1" width="1.7109375" customWidth="1"/>
    <col min="2" max="4" width="16.42578125" style="2" customWidth="1"/>
    <col min="5" max="5" width="19" style="2" customWidth="1"/>
    <col min="6" max="6" width="66.5703125" style="1" bestFit="1" customWidth="1"/>
    <col min="7" max="7" width="16.42578125" style="2" customWidth="1"/>
    <col min="8" max="8" width="37.140625" style="2" bestFit="1" customWidth="1"/>
    <col min="9" max="9" width="19.7109375" style="2" customWidth="1"/>
  </cols>
  <sheetData>
    <row r="2" spans="2:9" x14ac:dyDescent="0.25">
      <c r="B2" s="8" t="s">
        <v>9</v>
      </c>
      <c r="C2" s="8" t="s">
        <v>10</v>
      </c>
      <c r="D2" s="8" t="s">
        <v>11</v>
      </c>
      <c r="E2" s="8" t="s">
        <v>19</v>
      </c>
      <c r="F2" s="9" t="s">
        <v>12</v>
      </c>
      <c r="G2" s="8" t="s">
        <v>13</v>
      </c>
      <c r="H2" s="8" t="s">
        <v>14</v>
      </c>
      <c r="I2" s="8" t="s">
        <v>15</v>
      </c>
    </row>
    <row r="3" spans="2:9" x14ac:dyDescent="0.25">
      <c r="B3" s="16" t="s">
        <v>33</v>
      </c>
      <c r="C3" s="17">
        <v>45048</v>
      </c>
      <c r="D3" s="16">
        <v>443439</v>
      </c>
      <c r="E3" s="16">
        <v>13168</v>
      </c>
      <c r="F3" s="18" t="s">
        <v>44</v>
      </c>
      <c r="G3" s="16" t="s">
        <v>5</v>
      </c>
      <c r="H3" s="16" t="s">
        <v>45</v>
      </c>
      <c r="I3" s="16" t="s">
        <v>35</v>
      </c>
    </row>
    <row r="4" spans="2:9" x14ac:dyDescent="0.25">
      <c r="B4" s="16" t="s">
        <v>33</v>
      </c>
      <c r="C4" s="17">
        <v>45048</v>
      </c>
      <c r="D4" s="16">
        <v>82405</v>
      </c>
      <c r="E4" s="16">
        <v>13168</v>
      </c>
      <c r="F4" s="18" t="s">
        <v>44</v>
      </c>
      <c r="G4" s="16" t="s">
        <v>5</v>
      </c>
      <c r="H4" s="16" t="s">
        <v>45</v>
      </c>
      <c r="I4" s="16" t="s">
        <v>35</v>
      </c>
    </row>
    <row r="5" spans="2:9" x14ac:dyDescent="0.25">
      <c r="B5" s="16" t="s">
        <v>22</v>
      </c>
      <c r="C5" s="17">
        <v>45048</v>
      </c>
      <c r="D5" s="16">
        <v>958527</v>
      </c>
      <c r="E5" s="16">
        <v>10263</v>
      </c>
      <c r="F5" s="18" t="s">
        <v>34</v>
      </c>
      <c r="G5" s="16" t="s">
        <v>16</v>
      </c>
      <c r="H5" s="16" t="s">
        <v>36</v>
      </c>
      <c r="I5" s="16" t="s">
        <v>35</v>
      </c>
    </row>
    <row r="6" spans="2:9" x14ac:dyDescent="0.25">
      <c r="B6" s="16" t="s">
        <v>26</v>
      </c>
      <c r="C6" s="17">
        <v>45048</v>
      </c>
      <c r="D6" s="16">
        <v>958401</v>
      </c>
      <c r="E6" s="16">
        <v>10263</v>
      </c>
      <c r="F6" s="18" t="s">
        <v>34</v>
      </c>
      <c r="G6" s="16" t="s">
        <v>16</v>
      </c>
      <c r="H6" s="16" t="s">
        <v>36</v>
      </c>
      <c r="I6" s="16" t="s">
        <v>35</v>
      </c>
    </row>
    <row r="7" spans="2:9" x14ac:dyDescent="0.25">
      <c r="B7" s="16" t="s">
        <v>40</v>
      </c>
      <c r="C7" s="17">
        <v>45048</v>
      </c>
      <c r="D7" s="16">
        <v>958617</v>
      </c>
      <c r="E7" s="16">
        <v>10263</v>
      </c>
      <c r="F7" s="18" t="s">
        <v>34</v>
      </c>
      <c r="G7" s="16" t="s">
        <v>16</v>
      </c>
      <c r="H7" s="16" t="s">
        <v>36</v>
      </c>
      <c r="I7" s="16" t="s">
        <v>35</v>
      </c>
    </row>
    <row r="8" spans="2:9" x14ac:dyDescent="0.25">
      <c r="B8" s="16" t="s">
        <v>22</v>
      </c>
      <c r="C8" s="17">
        <v>45048</v>
      </c>
      <c r="D8" s="16">
        <v>1052528</v>
      </c>
      <c r="E8" s="16">
        <v>9378</v>
      </c>
      <c r="F8" s="18" t="s">
        <v>30</v>
      </c>
      <c r="G8" s="16" t="s">
        <v>0</v>
      </c>
      <c r="H8" s="16" t="s">
        <v>31</v>
      </c>
      <c r="I8" s="16" t="s">
        <v>32</v>
      </c>
    </row>
    <row r="9" spans="2:9" x14ac:dyDescent="0.25">
      <c r="B9" s="16" t="s">
        <v>33</v>
      </c>
      <c r="C9" s="17">
        <v>45048</v>
      </c>
      <c r="D9" s="16">
        <v>1052308</v>
      </c>
      <c r="E9" s="16">
        <v>9378</v>
      </c>
      <c r="F9" s="18" t="s">
        <v>30</v>
      </c>
      <c r="G9" s="16" t="s">
        <v>0</v>
      </c>
      <c r="H9" s="16" t="s">
        <v>31</v>
      </c>
      <c r="I9" s="16" t="s">
        <v>32</v>
      </c>
    </row>
    <row r="10" spans="2:9" x14ac:dyDescent="0.25">
      <c r="B10" s="16" t="s">
        <v>33</v>
      </c>
      <c r="C10" s="17">
        <v>45048</v>
      </c>
      <c r="D10" s="16">
        <v>19196</v>
      </c>
      <c r="E10" s="16">
        <v>9510</v>
      </c>
      <c r="F10" s="18" t="s">
        <v>48</v>
      </c>
      <c r="G10" s="16" t="s">
        <v>3</v>
      </c>
      <c r="H10" s="16" t="s">
        <v>49</v>
      </c>
      <c r="I10" s="16" t="s">
        <v>17</v>
      </c>
    </row>
    <row r="11" spans="2:9" x14ac:dyDescent="0.25">
      <c r="B11" s="16" t="s">
        <v>33</v>
      </c>
      <c r="C11" s="17">
        <v>45048</v>
      </c>
      <c r="D11" s="16">
        <v>19194</v>
      </c>
      <c r="E11" s="16">
        <v>9510</v>
      </c>
      <c r="F11" s="18" t="s">
        <v>48</v>
      </c>
      <c r="G11" s="16" t="s">
        <v>3</v>
      </c>
      <c r="H11" s="16" t="s">
        <v>49</v>
      </c>
      <c r="I11" s="16" t="s">
        <v>17</v>
      </c>
    </row>
    <row r="12" spans="2:9" x14ac:dyDescent="0.25">
      <c r="B12" s="16" t="s">
        <v>26</v>
      </c>
      <c r="C12" s="17">
        <v>45048</v>
      </c>
      <c r="D12" s="16">
        <v>13112</v>
      </c>
      <c r="E12" s="16">
        <v>63651</v>
      </c>
      <c r="F12" s="18" t="s">
        <v>27</v>
      </c>
      <c r="G12" s="16" t="s">
        <v>52</v>
      </c>
      <c r="H12" s="16" t="s">
        <v>28</v>
      </c>
      <c r="I12" s="16" t="s">
        <v>29</v>
      </c>
    </row>
    <row r="13" spans="2:9" x14ac:dyDescent="0.25">
      <c r="B13" s="16" t="s">
        <v>26</v>
      </c>
      <c r="C13" s="17">
        <v>45048</v>
      </c>
      <c r="D13" s="16">
        <v>13113</v>
      </c>
      <c r="E13" s="16">
        <v>63651</v>
      </c>
      <c r="F13" s="18" t="s">
        <v>27</v>
      </c>
      <c r="G13" s="16" t="s">
        <v>52</v>
      </c>
      <c r="H13" s="16" t="s">
        <v>28</v>
      </c>
      <c r="I13" s="16" t="s">
        <v>29</v>
      </c>
    </row>
    <row r="14" spans="2:9" x14ac:dyDescent="0.25">
      <c r="B14" s="16" t="s">
        <v>2</v>
      </c>
      <c r="C14" s="17">
        <v>45048</v>
      </c>
      <c r="D14" s="16">
        <v>13349</v>
      </c>
      <c r="E14" s="16">
        <v>70485</v>
      </c>
      <c r="F14" s="18" t="s">
        <v>53</v>
      </c>
      <c r="G14" s="16" t="s">
        <v>54</v>
      </c>
      <c r="H14" s="16" t="s">
        <v>46</v>
      </c>
      <c r="I14" s="16" t="s">
        <v>17</v>
      </c>
    </row>
    <row r="15" spans="2:9" x14ac:dyDescent="0.25">
      <c r="B15" s="16" t="s">
        <v>2</v>
      </c>
      <c r="C15" s="17">
        <v>45048</v>
      </c>
      <c r="D15" s="16">
        <v>13351</v>
      </c>
      <c r="E15" s="16">
        <v>70485</v>
      </c>
      <c r="F15" s="18" t="s">
        <v>53</v>
      </c>
      <c r="G15" s="16" t="s">
        <v>54</v>
      </c>
      <c r="H15" s="16" t="s">
        <v>46</v>
      </c>
      <c r="I15" s="16" t="s">
        <v>17</v>
      </c>
    </row>
    <row r="16" spans="2:9" x14ac:dyDescent="0.25">
      <c r="B16" s="16" t="s">
        <v>2</v>
      </c>
      <c r="C16" s="17">
        <v>45048</v>
      </c>
      <c r="D16" s="16">
        <v>13352</v>
      </c>
      <c r="E16" s="16">
        <v>70485</v>
      </c>
      <c r="F16" s="18" t="s">
        <v>53</v>
      </c>
      <c r="G16" s="16" t="s">
        <v>54</v>
      </c>
      <c r="H16" s="16" t="s">
        <v>46</v>
      </c>
      <c r="I16" s="16" t="s">
        <v>17</v>
      </c>
    </row>
    <row r="17" spans="2:9" x14ac:dyDescent="0.25">
      <c r="B17" s="16" t="s">
        <v>2</v>
      </c>
      <c r="C17" s="17">
        <v>45048</v>
      </c>
      <c r="D17" s="16">
        <v>13353</v>
      </c>
      <c r="E17" s="16">
        <v>70485</v>
      </c>
      <c r="F17" s="18" t="s">
        <v>53</v>
      </c>
      <c r="G17" s="16" t="s">
        <v>54</v>
      </c>
      <c r="H17" s="16" t="s">
        <v>46</v>
      </c>
      <c r="I17" s="16" t="s">
        <v>17</v>
      </c>
    </row>
    <row r="18" spans="2:9" x14ac:dyDescent="0.25">
      <c r="B18" s="16" t="s">
        <v>33</v>
      </c>
      <c r="C18" s="17">
        <v>45048</v>
      </c>
      <c r="D18" s="16">
        <v>958227</v>
      </c>
      <c r="E18" s="16">
        <v>10263</v>
      </c>
      <c r="F18" s="18" t="s">
        <v>34</v>
      </c>
      <c r="G18" s="16" t="s">
        <v>16</v>
      </c>
      <c r="H18" s="16" t="s">
        <v>46</v>
      </c>
      <c r="I18" s="16" t="s">
        <v>51</v>
      </c>
    </row>
    <row r="19" spans="2:9" x14ac:dyDescent="0.25">
      <c r="B19" s="16" t="s">
        <v>33</v>
      </c>
      <c r="C19" s="17">
        <v>45048</v>
      </c>
      <c r="D19" s="16">
        <v>958228</v>
      </c>
      <c r="E19" s="16">
        <v>10263</v>
      </c>
      <c r="F19" s="18" t="s">
        <v>34</v>
      </c>
      <c r="G19" s="16" t="s">
        <v>16</v>
      </c>
      <c r="H19" s="16" t="s">
        <v>46</v>
      </c>
      <c r="I19" s="16" t="s">
        <v>51</v>
      </c>
    </row>
    <row r="20" spans="2:9" x14ac:dyDescent="0.25">
      <c r="B20" s="16" t="s">
        <v>33</v>
      </c>
      <c r="C20" s="17">
        <v>45048</v>
      </c>
      <c r="D20" s="16">
        <v>958229</v>
      </c>
      <c r="E20" s="16">
        <v>10263</v>
      </c>
      <c r="F20" s="18" t="s">
        <v>34</v>
      </c>
      <c r="G20" s="16" t="s">
        <v>16</v>
      </c>
      <c r="H20" s="16" t="s">
        <v>46</v>
      </c>
      <c r="I20" s="16" t="s">
        <v>51</v>
      </c>
    </row>
    <row r="21" spans="2:9" x14ac:dyDescent="0.25">
      <c r="B21" s="16" t="s">
        <v>33</v>
      </c>
      <c r="C21" s="17">
        <v>45048</v>
      </c>
      <c r="D21" s="16">
        <v>958230</v>
      </c>
      <c r="E21" s="16">
        <v>10263</v>
      </c>
      <c r="F21" s="18" t="s">
        <v>34</v>
      </c>
      <c r="G21" s="16" t="s">
        <v>16</v>
      </c>
      <c r="H21" s="16" t="s">
        <v>46</v>
      </c>
      <c r="I21" s="16" t="s">
        <v>51</v>
      </c>
    </row>
    <row r="22" spans="2:9" x14ac:dyDescent="0.25">
      <c r="B22" s="16" t="s">
        <v>33</v>
      </c>
      <c r="C22" s="17">
        <v>45048</v>
      </c>
      <c r="D22" s="16">
        <v>958231</v>
      </c>
      <c r="E22" s="16">
        <v>10263</v>
      </c>
      <c r="F22" s="18" t="s">
        <v>34</v>
      </c>
      <c r="G22" s="16" t="s">
        <v>16</v>
      </c>
      <c r="H22" s="16" t="s">
        <v>46</v>
      </c>
      <c r="I22" s="16" t="s">
        <v>51</v>
      </c>
    </row>
    <row r="23" spans="2:9" x14ac:dyDescent="0.25">
      <c r="B23" s="16" t="s">
        <v>33</v>
      </c>
      <c r="C23" s="17">
        <v>45048</v>
      </c>
      <c r="D23" s="16">
        <v>958232</v>
      </c>
      <c r="E23" s="16">
        <v>10263</v>
      </c>
      <c r="F23" s="18" t="s">
        <v>34</v>
      </c>
      <c r="G23" s="16" t="s">
        <v>16</v>
      </c>
      <c r="H23" s="16" t="s">
        <v>46</v>
      </c>
      <c r="I23" s="16" t="s">
        <v>51</v>
      </c>
    </row>
    <row r="24" spans="2:9" x14ac:dyDescent="0.25">
      <c r="B24" s="16" t="s">
        <v>33</v>
      </c>
      <c r="C24" s="17">
        <v>45048</v>
      </c>
      <c r="D24" s="16">
        <v>958233</v>
      </c>
      <c r="E24" s="16">
        <v>10263</v>
      </c>
      <c r="F24" s="18" t="s">
        <v>34</v>
      </c>
      <c r="G24" s="16" t="s">
        <v>16</v>
      </c>
      <c r="H24" s="16" t="s">
        <v>46</v>
      </c>
      <c r="I24" s="16" t="s">
        <v>51</v>
      </c>
    </row>
    <row r="25" spans="2:9" x14ac:dyDescent="0.25">
      <c r="B25" s="16" t="s">
        <v>33</v>
      </c>
      <c r="C25" s="17">
        <v>45048</v>
      </c>
      <c r="D25" s="16">
        <v>958234</v>
      </c>
      <c r="E25" s="16">
        <v>10263</v>
      </c>
      <c r="F25" s="18" t="s">
        <v>34</v>
      </c>
      <c r="G25" s="16" t="s">
        <v>16</v>
      </c>
      <c r="H25" s="16" t="s">
        <v>46</v>
      </c>
      <c r="I25" s="16" t="s">
        <v>51</v>
      </c>
    </row>
    <row r="26" spans="2:9" x14ac:dyDescent="0.25">
      <c r="B26" s="16" t="s">
        <v>33</v>
      </c>
      <c r="C26" s="17">
        <v>45048</v>
      </c>
      <c r="D26" s="16">
        <v>958235</v>
      </c>
      <c r="E26" s="16">
        <v>10263</v>
      </c>
      <c r="F26" s="18" t="s">
        <v>34</v>
      </c>
      <c r="G26" s="16" t="s">
        <v>16</v>
      </c>
      <c r="H26" s="16" t="s">
        <v>46</v>
      </c>
      <c r="I26" s="16" t="s">
        <v>51</v>
      </c>
    </row>
    <row r="27" spans="2:9" x14ac:dyDescent="0.25">
      <c r="B27" s="16" t="s">
        <v>33</v>
      </c>
      <c r="C27" s="17">
        <v>45048</v>
      </c>
      <c r="D27" s="16">
        <v>958236</v>
      </c>
      <c r="E27" s="16">
        <v>10263</v>
      </c>
      <c r="F27" s="18" t="s">
        <v>34</v>
      </c>
      <c r="G27" s="16" t="s">
        <v>16</v>
      </c>
      <c r="H27" s="16" t="s">
        <v>46</v>
      </c>
      <c r="I27" s="16" t="s">
        <v>51</v>
      </c>
    </row>
    <row r="28" spans="2:9" x14ac:dyDescent="0.25">
      <c r="B28" s="16" t="s">
        <v>33</v>
      </c>
      <c r="C28" s="17">
        <v>45048</v>
      </c>
      <c r="D28" s="16">
        <v>958237</v>
      </c>
      <c r="E28" s="16">
        <v>10263</v>
      </c>
      <c r="F28" s="18" t="s">
        <v>34</v>
      </c>
      <c r="G28" s="16" t="s">
        <v>16</v>
      </c>
      <c r="H28" s="16" t="s">
        <v>46</v>
      </c>
      <c r="I28" s="16" t="s">
        <v>51</v>
      </c>
    </row>
    <row r="29" spans="2:9" x14ac:dyDescent="0.25">
      <c r="B29" s="16" t="s">
        <v>33</v>
      </c>
      <c r="C29" s="17">
        <v>45048</v>
      </c>
      <c r="D29" s="16">
        <v>958238</v>
      </c>
      <c r="E29" s="16">
        <v>10263</v>
      </c>
      <c r="F29" s="18" t="s">
        <v>34</v>
      </c>
      <c r="G29" s="16" t="s">
        <v>16</v>
      </c>
      <c r="H29" s="16" t="s">
        <v>46</v>
      </c>
      <c r="I29" s="16" t="s">
        <v>51</v>
      </c>
    </row>
    <row r="30" spans="2:9" x14ac:dyDescent="0.25">
      <c r="B30" s="16" t="s">
        <v>33</v>
      </c>
      <c r="C30" s="17">
        <v>45048</v>
      </c>
      <c r="D30" s="16">
        <v>958239</v>
      </c>
      <c r="E30" s="16">
        <v>10263</v>
      </c>
      <c r="F30" s="18" t="s">
        <v>34</v>
      </c>
      <c r="G30" s="16" t="s">
        <v>16</v>
      </c>
      <c r="H30" s="16" t="s">
        <v>46</v>
      </c>
      <c r="I30" s="16" t="s">
        <v>51</v>
      </c>
    </row>
    <row r="31" spans="2:9" x14ac:dyDescent="0.25">
      <c r="B31" s="16" t="s">
        <v>33</v>
      </c>
      <c r="C31" s="17">
        <v>45048</v>
      </c>
      <c r="D31" s="16">
        <v>958240</v>
      </c>
      <c r="E31" s="16">
        <v>10263</v>
      </c>
      <c r="F31" s="18" t="s">
        <v>34</v>
      </c>
      <c r="G31" s="16" t="s">
        <v>16</v>
      </c>
      <c r="H31" s="16" t="s">
        <v>46</v>
      </c>
      <c r="I31" s="16" t="s">
        <v>51</v>
      </c>
    </row>
    <row r="32" spans="2:9" x14ac:dyDescent="0.25">
      <c r="B32" s="16" t="s">
        <v>33</v>
      </c>
      <c r="C32" s="17">
        <v>45048</v>
      </c>
      <c r="D32" s="16">
        <v>958241</v>
      </c>
      <c r="E32" s="16">
        <v>10263</v>
      </c>
      <c r="F32" s="18" t="s">
        <v>34</v>
      </c>
      <c r="G32" s="16" t="s">
        <v>16</v>
      </c>
      <c r="H32" s="16" t="s">
        <v>46</v>
      </c>
      <c r="I32" s="16" t="s">
        <v>51</v>
      </c>
    </row>
    <row r="33" spans="2:9" x14ac:dyDescent="0.25">
      <c r="B33" s="16" t="s">
        <v>33</v>
      </c>
      <c r="C33" s="17">
        <v>45048</v>
      </c>
      <c r="D33" s="16">
        <v>958242</v>
      </c>
      <c r="E33" s="16">
        <v>10263</v>
      </c>
      <c r="F33" s="18" t="s">
        <v>34</v>
      </c>
      <c r="G33" s="16" t="s">
        <v>16</v>
      </c>
      <c r="H33" s="16" t="s">
        <v>46</v>
      </c>
      <c r="I33" s="16" t="s">
        <v>51</v>
      </c>
    </row>
    <row r="34" spans="2:9" x14ac:dyDescent="0.25">
      <c r="B34" s="16" t="s">
        <v>33</v>
      </c>
      <c r="C34" s="17">
        <v>45048</v>
      </c>
      <c r="D34" s="16">
        <v>958243</v>
      </c>
      <c r="E34" s="16">
        <v>10263</v>
      </c>
      <c r="F34" s="18" t="s">
        <v>34</v>
      </c>
      <c r="G34" s="16" t="s">
        <v>16</v>
      </c>
      <c r="H34" s="16" t="s">
        <v>46</v>
      </c>
      <c r="I34" s="16" t="s">
        <v>51</v>
      </c>
    </row>
    <row r="35" spans="2:9" x14ac:dyDescent="0.25">
      <c r="B35" s="16" t="s">
        <v>33</v>
      </c>
      <c r="C35" s="17">
        <v>45048</v>
      </c>
      <c r="D35" s="16">
        <v>958244</v>
      </c>
      <c r="E35" s="16">
        <v>10263</v>
      </c>
      <c r="F35" s="18" t="s">
        <v>34</v>
      </c>
      <c r="G35" s="16" t="s">
        <v>16</v>
      </c>
      <c r="H35" s="16" t="s">
        <v>46</v>
      </c>
      <c r="I35" s="16" t="s">
        <v>51</v>
      </c>
    </row>
    <row r="36" spans="2:9" x14ac:dyDescent="0.25">
      <c r="B36" s="16" t="s">
        <v>33</v>
      </c>
      <c r="C36" s="17">
        <v>45048</v>
      </c>
      <c r="D36" s="16">
        <v>958245</v>
      </c>
      <c r="E36" s="16">
        <v>10263</v>
      </c>
      <c r="F36" s="18" t="s">
        <v>34</v>
      </c>
      <c r="G36" s="16" t="s">
        <v>16</v>
      </c>
      <c r="H36" s="16" t="s">
        <v>46</v>
      </c>
      <c r="I36" s="16" t="s">
        <v>51</v>
      </c>
    </row>
    <row r="37" spans="2:9" x14ac:dyDescent="0.25">
      <c r="B37" s="16" t="s">
        <v>33</v>
      </c>
      <c r="C37" s="17">
        <v>45048</v>
      </c>
      <c r="D37" s="16">
        <v>958246</v>
      </c>
      <c r="E37" s="16">
        <v>10263</v>
      </c>
      <c r="F37" s="18" t="s">
        <v>34</v>
      </c>
      <c r="G37" s="16" t="s">
        <v>16</v>
      </c>
      <c r="H37" s="16" t="s">
        <v>46</v>
      </c>
      <c r="I37" s="16" t="s">
        <v>51</v>
      </c>
    </row>
    <row r="38" spans="2:9" x14ac:dyDescent="0.25">
      <c r="B38" s="16" t="s">
        <v>33</v>
      </c>
      <c r="C38" s="17">
        <v>45048</v>
      </c>
      <c r="D38" s="16">
        <v>958247</v>
      </c>
      <c r="E38" s="16">
        <v>10263</v>
      </c>
      <c r="F38" s="18" t="s">
        <v>34</v>
      </c>
      <c r="G38" s="16" t="s">
        <v>16</v>
      </c>
      <c r="H38" s="16" t="s">
        <v>46</v>
      </c>
      <c r="I38" s="16" t="s">
        <v>51</v>
      </c>
    </row>
    <row r="39" spans="2:9" x14ac:dyDescent="0.25">
      <c r="B39" s="16" t="s">
        <v>33</v>
      </c>
      <c r="C39" s="17">
        <v>45048</v>
      </c>
      <c r="D39" s="16">
        <v>958248</v>
      </c>
      <c r="E39" s="16">
        <v>10263</v>
      </c>
      <c r="F39" s="18" t="s">
        <v>34</v>
      </c>
      <c r="G39" s="16" t="s">
        <v>16</v>
      </c>
      <c r="H39" s="16" t="s">
        <v>46</v>
      </c>
      <c r="I39" s="16" t="s">
        <v>51</v>
      </c>
    </row>
    <row r="40" spans="2:9" x14ac:dyDescent="0.25">
      <c r="B40" s="16" t="s">
        <v>33</v>
      </c>
      <c r="C40" s="17">
        <v>45048</v>
      </c>
      <c r="D40" s="16">
        <v>958249</v>
      </c>
      <c r="E40" s="16">
        <v>10263</v>
      </c>
      <c r="F40" s="18" t="s">
        <v>34</v>
      </c>
      <c r="G40" s="16" t="s">
        <v>16</v>
      </c>
      <c r="H40" s="16" t="s">
        <v>46</v>
      </c>
      <c r="I40" s="16" t="s">
        <v>51</v>
      </c>
    </row>
    <row r="41" spans="2:9" x14ac:dyDescent="0.25">
      <c r="B41" s="16" t="s">
        <v>33</v>
      </c>
      <c r="C41" s="17">
        <v>45048</v>
      </c>
      <c r="D41" s="16">
        <v>958250</v>
      </c>
      <c r="E41" s="16">
        <v>10263</v>
      </c>
      <c r="F41" s="18" t="s">
        <v>34</v>
      </c>
      <c r="G41" s="16" t="s">
        <v>16</v>
      </c>
      <c r="H41" s="16" t="s">
        <v>46</v>
      </c>
      <c r="I41" s="16" t="s">
        <v>51</v>
      </c>
    </row>
    <row r="42" spans="2:9" x14ac:dyDescent="0.25">
      <c r="B42" s="16" t="s">
        <v>33</v>
      </c>
      <c r="C42" s="17">
        <v>45048</v>
      </c>
      <c r="D42" s="16">
        <v>958251</v>
      </c>
      <c r="E42" s="16">
        <v>10263</v>
      </c>
      <c r="F42" s="18" t="s">
        <v>34</v>
      </c>
      <c r="G42" s="16" t="s">
        <v>16</v>
      </c>
      <c r="H42" s="16" t="s">
        <v>46</v>
      </c>
      <c r="I42" s="16" t="s">
        <v>51</v>
      </c>
    </row>
    <row r="43" spans="2:9" x14ac:dyDescent="0.25">
      <c r="B43" s="16" t="s">
        <v>33</v>
      </c>
      <c r="C43" s="17">
        <v>45048</v>
      </c>
      <c r="D43" s="16">
        <v>958252</v>
      </c>
      <c r="E43" s="16">
        <v>10263</v>
      </c>
      <c r="F43" s="18" t="s">
        <v>34</v>
      </c>
      <c r="G43" s="16" t="s">
        <v>16</v>
      </c>
      <c r="H43" s="16" t="s">
        <v>46</v>
      </c>
      <c r="I43" s="16" t="s">
        <v>51</v>
      </c>
    </row>
    <row r="44" spans="2:9" x14ac:dyDescent="0.25">
      <c r="B44" s="16" t="s">
        <v>33</v>
      </c>
      <c r="C44" s="17">
        <v>45048</v>
      </c>
      <c r="D44" s="16">
        <v>958253</v>
      </c>
      <c r="E44" s="16">
        <v>10263</v>
      </c>
      <c r="F44" s="18" t="s">
        <v>34</v>
      </c>
      <c r="G44" s="16" t="s">
        <v>16</v>
      </c>
      <c r="H44" s="16" t="s">
        <v>46</v>
      </c>
      <c r="I44" s="16" t="s">
        <v>51</v>
      </c>
    </row>
    <row r="45" spans="2:9" x14ac:dyDescent="0.25">
      <c r="B45" s="16" t="s">
        <v>33</v>
      </c>
      <c r="C45" s="17">
        <v>45048</v>
      </c>
      <c r="D45" s="16">
        <v>958254</v>
      </c>
      <c r="E45" s="16">
        <v>10263</v>
      </c>
      <c r="F45" s="18" t="s">
        <v>34</v>
      </c>
      <c r="G45" s="16" t="s">
        <v>16</v>
      </c>
      <c r="H45" s="16" t="s">
        <v>46</v>
      </c>
      <c r="I45" s="16" t="s">
        <v>51</v>
      </c>
    </row>
    <row r="46" spans="2:9" x14ac:dyDescent="0.25">
      <c r="B46" s="16" t="s">
        <v>33</v>
      </c>
      <c r="C46" s="17">
        <v>45048</v>
      </c>
      <c r="D46" s="16">
        <v>958255</v>
      </c>
      <c r="E46" s="16">
        <v>10263</v>
      </c>
      <c r="F46" s="18" t="s">
        <v>34</v>
      </c>
      <c r="G46" s="16" t="s">
        <v>16</v>
      </c>
      <c r="H46" s="16" t="s">
        <v>46</v>
      </c>
      <c r="I46" s="16" t="s">
        <v>51</v>
      </c>
    </row>
    <row r="47" spans="2:9" x14ac:dyDescent="0.25">
      <c r="B47" s="16" t="s">
        <v>33</v>
      </c>
      <c r="C47" s="17">
        <v>45048</v>
      </c>
      <c r="D47" s="16">
        <v>958256</v>
      </c>
      <c r="E47" s="16">
        <v>10263</v>
      </c>
      <c r="F47" s="18" t="s">
        <v>34</v>
      </c>
      <c r="G47" s="16" t="s">
        <v>16</v>
      </c>
      <c r="H47" s="16" t="s">
        <v>46</v>
      </c>
      <c r="I47" s="16" t="s">
        <v>51</v>
      </c>
    </row>
    <row r="48" spans="2:9" x14ac:dyDescent="0.25">
      <c r="B48" s="16" t="s">
        <v>33</v>
      </c>
      <c r="C48" s="17">
        <v>45048</v>
      </c>
      <c r="D48" s="16">
        <v>958257</v>
      </c>
      <c r="E48" s="16">
        <v>10263</v>
      </c>
      <c r="F48" s="18" t="s">
        <v>34</v>
      </c>
      <c r="G48" s="16" t="s">
        <v>16</v>
      </c>
      <c r="H48" s="16" t="s">
        <v>46</v>
      </c>
      <c r="I48" s="16" t="s">
        <v>51</v>
      </c>
    </row>
    <row r="49" spans="2:9" x14ac:dyDescent="0.25">
      <c r="B49" s="16" t="s">
        <v>33</v>
      </c>
      <c r="C49" s="17">
        <v>45048</v>
      </c>
      <c r="D49" s="16">
        <v>958258</v>
      </c>
      <c r="E49" s="16">
        <v>10263</v>
      </c>
      <c r="F49" s="18" t="s">
        <v>34</v>
      </c>
      <c r="G49" s="16" t="s">
        <v>16</v>
      </c>
      <c r="H49" s="16" t="s">
        <v>46</v>
      </c>
      <c r="I49" s="16" t="s">
        <v>51</v>
      </c>
    </row>
    <row r="50" spans="2:9" x14ac:dyDescent="0.25">
      <c r="B50" s="16" t="s">
        <v>33</v>
      </c>
      <c r="C50" s="17">
        <v>45048</v>
      </c>
      <c r="D50" s="16">
        <v>958259</v>
      </c>
      <c r="E50" s="16">
        <v>10263</v>
      </c>
      <c r="F50" s="18" t="s">
        <v>34</v>
      </c>
      <c r="G50" s="16" t="s">
        <v>16</v>
      </c>
      <c r="H50" s="16" t="s">
        <v>46</v>
      </c>
      <c r="I50" s="16" t="s">
        <v>51</v>
      </c>
    </row>
    <row r="51" spans="2:9" x14ac:dyDescent="0.25">
      <c r="B51" s="16" t="s">
        <v>33</v>
      </c>
      <c r="C51" s="17">
        <v>45048</v>
      </c>
      <c r="D51" s="16">
        <v>958260</v>
      </c>
      <c r="E51" s="16">
        <v>10263</v>
      </c>
      <c r="F51" s="18" t="s">
        <v>34</v>
      </c>
      <c r="G51" s="16" t="s">
        <v>16</v>
      </c>
      <c r="H51" s="16" t="s">
        <v>46</v>
      </c>
      <c r="I51" s="16" t="s">
        <v>51</v>
      </c>
    </row>
    <row r="52" spans="2:9" x14ac:dyDescent="0.25">
      <c r="B52" s="16" t="s">
        <v>33</v>
      </c>
      <c r="C52" s="17">
        <v>45048</v>
      </c>
      <c r="D52" s="16">
        <v>958261</v>
      </c>
      <c r="E52" s="16">
        <v>10263</v>
      </c>
      <c r="F52" s="18" t="s">
        <v>34</v>
      </c>
      <c r="G52" s="16" t="s">
        <v>16</v>
      </c>
      <c r="H52" s="16" t="s">
        <v>46</v>
      </c>
      <c r="I52" s="16" t="s">
        <v>51</v>
      </c>
    </row>
    <row r="53" spans="2:9" x14ac:dyDescent="0.25">
      <c r="B53" s="16" t="s">
        <v>33</v>
      </c>
      <c r="C53" s="17">
        <v>45048</v>
      </c>
      <c r="D53" s="16">
        <v>958262</v>
      </c>
      <c r="E53" s="16">
        <v>10263</v>
      </c>
      <c r="F53" s="18" t="s">
        <v>34</v>
      </c>
      <c r="G53" s="16" t="s">
        <v>16</v>
      </c>
      <c r="H53" s="16" t="s">
        <v>46</v>
      </c>
      <c r="I53" s="16" t="s">
        <v>51</v>
      </c>
    </row>
    <row r="54" spans="2:9" x14ac:dyDescent="0.25">
      <c r="B54" s="16" t="s">
        <v>33</v>
      </c>
      <c r="C54" s="17">
        <v>45048</v>
      </c>
      <c r="D54" s="16">
        <v>958263</v>
      </c>
      <c r="E54" s="16">
        <v>10263</v>
      </c>
      <c r="F54" s="18" t="s">
        <v>34</v>
      </c>
      <c r="G54" s="16" t="s">
        <v>16</v>
      </c>
      <c r="H54" s="16" t="s">
        <v>46</v>
      </c>
      <c r="I54" s="16" t="s">
        <v>51</v>
      </c>
    </row>
    <row r="55" spans="2:9" x14ac:dyDescent="0.25">
      <c r="B55" s="16" t="s">
        <v>33</v>
      </c>
      <c r="C55" s="17">
        <v>45048</v>
      </c>
      <c r="D55" s="16">
        <v>958264</v>
      </c>
      <c r="E55" s="16">
        <v>10263</v>
      </c>
      <c r="F55" s="18" t="s">
        <v>34</v>
      </c>
      <c r="G55" s="16" t="s">
        <v>16</v>
      </c>
      <c r="H55" s="16" t="s">
        <v>46</v>
      </c>
      <c r="I55" s="16" t="s">
        <v>51</v>
      </c>
    </row>
    <row r="56" spans="2:9" x14ac:dyDescent="0.25">
      <c r="B56" s="16" t="s">
        <v>33</v>
      </c>
      <c r="C56" s="17">
        <v>45048</v>
      </c>
      <c r="D56" s="16">
        <v>958265</v>
      </c>
      <c r="E56" s="16">
        <v>10263</v>
      </c>
      <c r="F56" s="18" t="s">
        <v>34</v>
      </c>
      <c r="G56" s="16" t="s">
        <v>16</v>
      </c>
      <c r="H56" s="16" t="s">
        <v>46</v>
      </c>
      <c r="I56" s="16" t="s">
        <v>51</v>
      </c>
    </row>
    <row r="57" spans="2:9" x14ac:dyDescent="0.25">
      <c r="B57" s="16" t="s">
        <v>33</v>
      </c>
      <c r="C57" s="17">
        <v>45048</v>
      </c>
      <c r="D57" s="16">
        <v>958266</v>
      </c>
      <c r="E57" s="16">
        <v>10263</v>
      </c>
      <c r="F57" s="18" t="s">
        <v>34</v>
      </c>
      <c r="G57" s="16" t="s">
        <v>16</v>
      </c>
      <c r="H57" s="16" t="s">
        <v>46</v>
      </c>
      <c r="I57" s="16" t="s">
        <v>51</v>
      </c>
    </row>
    <row r="58" spans="2:9" x14ac:dyDescent="0.25">
      <c r="B58" s="16" t="s">
        <v>33</v>
      </c>
      <c r="C58" s="17">
        <v>45048</v>
      </c>
      <c r="D58" s="16">
        <v>958267</v>
      </c>
      <c r="E58" s="16">
        <v>10263</v>
      </c>
      <c r="F58" s="18" t="s">
        <v>34</v>
      </c>
      <c r="G58" s="16" t="s">
        <v>16</v>
      </c>
      <c r="H58" s="16" t="s">
        <v>46</v>
      </c>
      <c r="I58" s="16" t="s">
        <v>51</v>
      </c>
    </row>
    <row r="59" spans="2:9" x14ac:dyDescent="0.25">
      <c r="B59" s="16" t="s">
        <v>33</v>
      </c>
      <c r="C59" s="17">
        <v>45048</v>
      </c>
      <c r="D59" s="16">
        <v>958268</v>
      </c>
      <c r="E59" s="16">
        <v>10263</v>
      </c>
      <c r="F59" s="18" t="s">
        <v>34</v>
      </c>
      <c r="G59" s="16" t="s">
        <v>16</v>
      </c>
      <c r="H59" s="16" t="s">
        <v>46</v>
      </c>
      <c r="I59" s="16" t="s">
        <v>51</v>
      </c>
    </row>
    <row r="60" spans="2:9" x14ac:dyDescent="0.25">
      <c r="B60" s="16" t="s">
        <v>33</v>
      </c>
      <c r="C60" s="17">
        <v>45048</v>
      </c>
      <c r="D60" s="16">
        <v>958269</v>
      </c>
      <c r="E60" s="16">
        <v>10263</v>
      </c>
      <c r="F60" s="18" t="s">
        <v>34</v>
      </c>
      <c r="G60" s="16" t="s">
        <v>16</v>
      </c>
      <c r="H60" s="16" t="s">
        <v>46</v>
      </c>
      <c r="I60" s="16" t="s">
        <v>51</v>
      </c>
    </row>
    <row r="61" spans="2:9" x14ac:dyDescent="0.25">
      <c r="B61" s="16" t="s">
        <v>33</v>
      </c>
      <c r="C61" s="17">
        <v>45048</v>
      </c>
      <c r="D61" s="16">
        <v>958270</v>
      </c>
      <c r="E61" s="16">
        <v>10263</v>
      </c>
      <c r="F61" s="18" t="s">
        <v>34</v>
      </c>
      <c r="G61" s="16" t="s">
        <v>16</v>
      </c>
      <c r="H61" s="16" t="s">
        <v>46</v>
      </c>
      <c r="I61" s="16" t="s">
        <v>51</v>
      </c>
    </row>
    <row r="62" spans="2:9" x14ac:dyDescent="0.25">
      <c r="B62" s="16" t="s">
        <v>33</v>
      </c>
      <c r="C62" s="17">
        <v>45048</v>
      </c>
      <c r="D62" s="16">
        <v>958271</v>
      </c>
      <c r="E62" s="16">
        <v>10263</v>
      </c>
      <c r="F62" s="18" t="s">
        <v>34</v>
      </c>
      <c r="G62" s="16" t="s">
        <v>16</v>
      </c>
      <c r="H62" s="16" t="s">
        <v>46</v>
      </c>
      <c r="I62" s="16" t="s">
        <v>51</v>
      </c>
    </row>
    <row r="63" spans="2:9" x14ac:dyDescent="0.25">
      <c r="B63" s="16" t="s">
        <v>33</v>
      </c>
      <c r="C63" s="17">
        <v>45048</v>
      </c>
      <c r="D63" s="16">
        <v>958272</v>
      </c>
      <c r="E63" s="16">
        <v>10263</v>
      </c>
      <c r="F63" s="18" t="s">
        <v>34</v>
      </c>
      <c r="G63" s="16" t="s">
        <v>16</v>
      </c>
      <c r="H63" s="16" t="s">
        <v>46</v>
      </c>
      <c r="I63" s="16" t="s">
        <v>51</v>
      </c>
    </row>
    <row r="64" spans="2:9" x14ac:dyDescent="0.25">
      <c r="B64" s="16" t="s">
        <v>33</v>
      </c>
      <c r="C64" s="17">
        <v>45048</v>
      </c>
      <c r="D64" s="16">
        <v>958273</v>
      </c>
      <c r="E64" s="16">
        <v>10263</v>
      </c>
      <c r="F64" s="18" t="s">
        <v>34</v>
      </c>
      <c r="G64" s="16" t="s">
        <v>16</v>
      </c>
      <c r="H64" s="16" t="s">
        <v>46</v>
      </c>
      <c r="I64" s="16" t="s">
        <v>51</v>
      </c>
    </row>
    <row r="65" spans="2:9" x14ac:dyDescent="0.25">
      <c r="B65" s="16" t="s">
        <v>33</v>
      </c>
      <c r="C65" s="17">
        <v>45048</v>
      </c>
      <c r="D65" s="16">
        <v>958274</v>
      </c>
      <c r="E65" s="16">
        <v>10263</v>
      </c>
      <c r="F65" s="18" t="s">
        <v>34</v>
      </c>
      <c r="G65" s="16" t="s">
        <v>16</v>
      </c>
      <c r="H65" s="16" t="s">
        <v>46</v>
      </c>
      <c r="I65" s="16" t="s">
        <v>51</v>
      </c>
    </row>
    <row r="66" spans="2:9" x14ac:dyDescent="0.25">
      <c r="B66" s="16" t="s">
        <v>33</v>
      </c>
      <c r="C66" s="17">
        <v>45048</v>
      </c>
      <c r="D66" s="16">
        <v>958275</v>
      </c>
      <c r="E66" s="16">
        <v>10263</v>
      </c>
      <c r="F66" s="18" t="s">
        <v>34</v>
      </c>
      <c r="G66" s="16" t="s">
        <v>16</v>
      </c>
      <c r="H66" s="16" t="s">
        <v>46</v>
      </c>
      <c r="I66" s="16" t="s">
        <v>51</v>
      </c>
    </row>
    <row r="67" spans="2:9" x14ac:dyDescent="0.25">
      <c r="B67" s="16" t="s">
        <v>33</v>
      </c>
      <c r="C67" s="17">
        <v>45048</v>
      </c>
      <c r="D67" s="16">
        <v>958276</v>
      </c>
      <c r="E67" s="16">
        <v>10263</v>
      </c>
      <c r="F67" s="18" t="s">
        <v>34</v>
      </c>
      <c r="G67" s="16" t="s">
        <v>16</v>
      </c>
      <c r="H67" s="16" t="s">
        <v>46</v>
      </c>
      <c r="I67" s="16" t="s">
        <v>51</v>
      </c>
    </row>
    <row r="68" spans="2:9" x14ac:dyDescent="0.25">
      <c r="B68" s="16" t="s">
        <v>33</v>
      </c>
      <c r="C68" s="17">
        <v>45048</v>
      </c>
      <c r="D68" s="16">
        <v>958277</v>
      </c>
      <c r="E68" s="16">
        <v>10263</v>
      </c>
      <c r="F68" s="18" t="s">
        <v>34</v>
      </c>
      <c r="G68" s="16" t="s">
        <v>16</v>
      </c>
      <c r="H68" s="16" t="s">
        <v>46</v>
      </c>
      <c r="I68" s="16" t="s">
        <v>51</v>
      </c>
    </row>
    <row r="69" spans="2:9" x14ac:dyDescent="0.25">
      <c r="B69" s="16" t="s">
        <v>33</v>
      </c>
      <c r="C69" s="17">
        <v>45048</v>
      </c>
      <c r="D69" s="16">
        <v>958278</v>
      </c>
      <c r="E69" s="16">
        <v>10263</v>
      </c>
      <c r="F69" s="18" t="s">
        <v>34</v>
      </c>
      <c r="G69" s="16" t="s">
        <v>16</v>
      </c>
      <c r="H69" s="16" t="s">
        <v>46</v>
      </c>
      <c r="I69" s="16" t="s">
        <v>51</v>
      </c>
    </row>
    <row r="70" spans="2:9" x14ac:dyDescent="0.25">
      <c r="B70" s="16" t="s">
        <v>33</v>
      </c>
      <c r="C70" s="17">
        <v>45048</v>
      </c>
      <c r="D70" s="16">
        <v>958279</v>
      </c>
      <c r="E70" s="16">
        <v>10263</v>
      </c>
      <c r="F70" s="18" t="s">
        <v>34</v>
      </c>
      <c r="G70" s="16" t="s">
        <v>16</v>
      </c>
      <c r="H70" s="16" t="s">
        <v>46</v>
      </c>
      <c r="I70" s="16" t="s">
        <v>51</v>
      </c>
    </row>
    <row r="71" spans="2:9" x14ac:dyDescent="0.25">
      <c r="B71" s="16" t="s">
        <v>33</v>
      </c>
      <c r="C71" s="17">
        <v>45048</v>
      </c>
      <c r="D71" s="16">
        <v>958280</v>
      </c>
      <c r="E71" s="16">
        <v>10263</v>
      </c>
      <c r="F71" s="18" t="s">
        <v>34</v>
      </c>
      <c r="G71" s="16" t="s">
        <v>16</v>
      </c>
      <c r="H71" s="16" t="s">
        <v>46</v>
      </c>
      <c r="I71" s="16" t="s">
        <v>51</v>
      </c>
    </row>
    <row r="72" spans="2:9" x14ac:dyDescent="0.25">
      <c r="B72" s="16" t="s">
        <v>33</v>
      </c>
      <c r="C72" s="17">
        <v>45048</v>
      </c>
      <c r="D72" s="16">
        <v>958281</v>
      </c>
      <c r="E72" s="16">
        <v>10263</v>
      </c>
      <c r="F72" s="18" t="s">
        <v>34</v>
      </c>
      <c r="G72" s="16" t="s">
        <v>16</v>
      </c>
      <c r="H72" s="16" t="s">
        <v>46</v>
      </c>
      <c r="I72" s="16" t="s">
        <v>51</v>
      </c>
    </row>
    <row r="73" spans="2:9" x14ac:dyDescent="0.25">
      <c r="B73" s="16" t="s">
        <v>33</v>
      </c>
      <c r="C73" s="17">
        <v>45048</v>
      </c>
      <c r="D73" s="16">
        <v>958282</v>
      </c>
      <c r="E73" s="16">
        <v>10263</v>
      </c>
      <c r="F73" s="18" t="s">
        <v>34</v>
      </c>
      <c r="G73" s="16" t="s">
        <v>16</v>
      </c>
      <c r="H73" s="16" t="s">
        <v>46</v>
      </c>
      <c r="I73" s="16" t="s">
        <v>51</v>
      </c>
    </row>
    <row r="74" spans="2:9" x14ac:dyDescent="0.25">
      <c r="B74" s="16" t="s">
        <v>33</v>
      </c>
      <c r="C74" s="17">
        <v>45048</v>
      </c>
      <c r="D74" s="16">
        <v>958283</v>
      </c>
      <c r="E74" s="16">
        <v>10263</v>
      </c>
      <c r="F74" s="18" t="s">
        <v>34</v>
      </c>
      <c r="G74" s="16" t="s">
        <v>16</v>
      </c>
      <c r="H74" s="16" t="s">
        <v>46</v>
      </c>
      <c r="I74" s="16" t="s">
        <v>51</v>
      </c>
    </row>
    <row r="75" spans="2:9" x14ac:dyDescent="0.25">
      <c r="B75" s="16" t="s">
        <v>33</v>
      </c>
      <c r="C75" s="17">
        <v>45048</v>
      </c>
      <c r="D75" s="16">
        <v>958284</v>
      </c>
      <c r="E75" s="16">
        <v>10263</v>
      </c>
      <c r="F75" s="18" t="s">
        <v>34</v>
      </c>
      <c r="G75" s="16" t="s">
        <v>16</v>
      </c>
      <c r="H75" s="16" t="s">
        <v>46</v>
      </c>
      <c r="I75" s="16" t="s">
        <v>51</v>
      </c>
    </row>
    <row r="76" spans="2:9" x14ac:dyDescent="0.25">
      <c r="B76" s="16" t="s">
        <v>33</v>
      </c>
      <c r="C76" s="17">
        <v>45048</v>
      </c>
      <c r="D76" s="16">
        <v>958285</v>
      </c>
      <c r="E76" s="16">
        <v>10263</v>
      </c>
      <c r="F76" s="18" t="s">
        <v>34</v>
      </c>
      <c r="G76" s="16" t="s">
        <v>16</v>
      </c>
      <c r="H76" s="16" t="s">
        <v>46</v>
      </c>
      <c r="I76" s="16" t="s">
        <v>51</v>
      </c>
    </row>
    <row r="77" spans="2:9" x14ac:dyDescent="0.25">
      <c r="B77" s="16" t="s">
        <v>33</v>
      </c>
      <c r="C77" s="17">
        <v>45048</v>
      </c>
      <c r="D77" s="16">
        <v>958286</v>
      </c>
      <c r="E77" s="16">
        <v>10263</v>
      </c>
      <c r="F77" s="18" t="s">
        <v>34</v>
      </c>
      <c r="G77" s="16" t="s">
        <v>16</v>
      </c>
      <c r="H77" s="16" t="s">
        <v>46</v>
      </c>
      <c r="I77" s="16" t="s">
        <v>51</v>
      </c>
    </row>
    <row r="78" spans="2:9" x14ac:dyDescent="0.25">
      <c r="B78" s="16" t="s">
        <v>33</v>
      </c>
      <c r="C78" s="17">
        <v>45048</v>
      </c>
      <c r="D78" s="16">
        <v>958287</v>
      </c>
      <c r="E78" s="16">
        <v>10263</v>
      </c>
      <c r="F78" s="18" t="s">
        <v>34</v>
      </c>
      <c r="G78" s="16" t="s">
        <v>16</v>
      </c>
      <c r="H78" s="16" t="s">
        <v>46</v>
      </c>
      <c r="I78" s="16" t="s">
        <v>51</v>
      </c>
    </row>
    <row r="79" spans="2:9" x14ac:dyDescent="0.25">
      <c r="B79" s="16" t="s">
        <v>33</v>
      </c>
      <c r="C79" s="17">
        <v>45048</v>
      </c>
      <c r="D79" s="16">
        <v>958288</v>
      </c>
      <c r="E79" s="16">
        <v>10263</v>
      </c>
      <c r="F79" s="18" t="s">
        <v>34</v>
      </c>
      <c r="G79" s="16" t="s">
        <v>16</v>
      </c>
      <c r="H79" s="16" t="s">
        <v>46</v>
      </c>
      <c r="I79" s="16" t="s">
        <v>51</v>
      </c>
    </row>
    <row r="80" spans="2:9" x14ac:dyDescent="0.25">
      <c r="B80" s="16" t="s">
        <v>33</v>
      </c>
      <c r="C80" s="17">
        <v>45048</v>
      </c>
      <c r="D80" s="16">
        <v>958289</v>
      </c>
      <c r="E80" s="16">
        <v>10263</v>
      </c>
      <c r="F80" s="18" t="s">
        <v>34</v>
      </c>
      <c r="G80" s="16" t="s">
        <v>16</v>
      </c>
      <c r="H80" s="16" t="s">
        <v>46</v>
      </c>
      <c r="I80" s="16" t="s">
        <v>51</v>
      </c>
    </row>
    <row r="81" spans="2:9" x14ac:dyDescent="0.25">
      <c r="B81" s="16" t="s">
        <v>33</v>
      </c>
      <c r="C81" s="17">
        <v>45048</v>
      </c>
      <c r="D81" s="16">
        <v>958290</v>
      </c>
      <c r="E81" s="16">
        <v>10263</v>
      </c>
      <c r="F81" s="18" t="s">
        <v>34</v>
      </c>
      <c r="G81" s="16" t="s">
        <v>16</v>
      </c>
      <c r="H81" s="16" t="s">
        <v>46</v>
      </c>
      <c r="I81" s="16" t="s">
        <v>51</v>
      </c>
    </row>
    <row r="82" spans="2:9" x14ac:dyDescent="0.25">
      <c r="B82" s="16" t="s">
        <v>33</v>
      </c>
      <c r="C82" s="17">
        <v>45048</v>
      </c>
      <c r="D82" s="16">
        <v>958291</v>
      </c>
      <c r="E82" s="16">
        <v>10263</v>
      </c>
      <c r="F82" s="18" t="s">
        <v>34</v>
      </c>
      <c r="G82" s="16" t="s">
        <v>16</v>
      </c>
      <c r="H82" s="16" t="s">
        <v>46</v>
      </c>
      <c r="I82" s="16" t="s">
        <v>51</v>
      </c>
    </row>
    <row r="83" spans="2:9" x14ac:dyDescent="0.25">
      <c r="B83" s="16" t="s">
        <v>33</v>
      </c>
      <c r="C83" s="17">
        <v>45048</v>
      </c>
      <c r="D83" s="16">
        <v>958292</v>
      </c>
      <c r="E83" s="16">
        <v>10263</v>
      </c>
      <c r="F83" s="18" t="s">
        <v>34</v>
      </c>
      <c r="G83" s="16" t="s">
        <v>16</v>
      </c>
      <c r="H83" s="16" t="s">
        <v>46</v>
      </c>
      <c r="I83" s="16" t="s">
        <v>51</v>
      </c>
    </row>
    <row r="84" spans="2:9" x14ac:dyDescent="0.25">
      <c r="B84" s="16" t="s">
        <v>33</v>
      </c>
      <c r="C84" s="17">
        <v>45048</v>
      </c>
      <c r="D84" s="16">
        <v>958293</v>
      </c>
      <c r="E84" s="16">
        <v>10263</v>
      </c>
      <c r="F84" s="18" t="s">
        <v>34</v>
      </c>
      <c r="G84" s="16" t="s">
        <v>16</v>
      </c>
      <c r="H84" s="16" t="s">
        <v>46</v>
      </c>
      <c r="I84" s="16" t="s">
        <v>51</v>
      </c>
    </row>
    <row r="85" spans="2:9" x14ac:dyDescent="0.25">
      <c r="B85" s="16" t="s">
        <v>33</v>
      </c>
      <c r="C85" s="17">
        <v>45048</v>
      </c>
      <c r="D85" s="16">
        <v>958294</v>
      </c>
      <c r="E85" s="16">
        <v>10263</v>
      </c>
      <c r="F85" s="18" t="s">
        <v>34</v>
      </c>
      <c r="G85" s="16" t="s">
        <v>16</v>
      </c>
      <c r="H85" s="16" t="s">
        <v>46</v>
      </c>
      <c r="I85" s="16" t="s">
        <v>51</v>
      </c>
    </row>
    <row r="86" spans="2:9" x14ac:dyDescent="0.25">
      <c r="B86" s="16" t="s">
        <v>33</v>
      </c>
      <c r="C86" s="17">
        <v>45048</v>
      </c>
      <c r="D86" s="16">
        <v>958295</v>
      </c>
      <c r="E86" s="16">
        <v>10263</v>
      </c>
      <c r="F86" s="18" t="s">
        <v>34</v>
      </c>
      <c r="G86" s="16" t="s">
        <v>16</v>
      </c>
      <c r="H86" s="16" t="s">
        <v>46</v>
      </c>
      <c r="I86" s="16" t="s">
        <v>51</v>
      </c>
    </row>
    <row r="87" spans="2:9" x14ac:dyDescent="0.25">
      <c r="B87" s="16" t="s">
        <v>33</v>
      </c>
      <c r="C87" s="17">
        <v>45048</v>
      </c>
      <c r="D87" s="16">
        <v>958296</v>
      </c>
      <c r="E87" s="16">
        <v>10263</v>
      </c>
      <c r="F87" s="18" t="s">
        <v>34</v>
      </c>
      <c r="G87" s="16" t="s">
        <v>16</v>
      </c>
      <c r="H87" s="16" t="s">
        <v>46</v>
      </c>
      <c r="I87" s="16" t="s">
        <v>51</v>
      </c>
    </row>
    <row r="88" spans="2:9" x14ac:dyDescent="0.25">
      <c r="B88" s="16" t="s">
        <v>33</v>
      </c>
      <c r="C88" s="17">
        <v>45048</v>
      </c>
      <c r="D88" s="16">
        <v>958297</v>
      </c>
      <c r="E88" s="16">
        <v>10263</v>
      </c>
      <c r="F88" s="18" t="s">
        <v>34</v>
      </c>
      <c r="G88" s="16" t="s">
        <v>16</v>
      </c>
      <c r="H88" s="16" t="s">
        <v>46</v>
      </c>
      <c r="I88" s="16" t="s">
        <v>51</v>
      </c>
    </row>
    <row r="89" spans="2:9" x14ac:dyDescent="0.25">
      <c r="B89" s="16" t="s">
        <v>33</v>
      </c>
      <c r="C89" s="17">
        <v>45048</v>
      </c>
      <c r="D89" s="16">
        <v>958298</v>
      </c>
      <c r="E89" s="16">
        <v>10263</v>
      </c>
      <c r="F89" s="18" t="s">
        <v>34</v>
      </c>
      <c r="G89" s="16" t="s">
        <v>16</v>
      </c>
      <c r="H89" s="16" t="s">
        <v>46</v>
      </c>
      <c r="I89" s="16" t="s">
        <v>51</v>
      </c>
    </row>
    <row r="90" spans="2:9" x14ac:dyDescent="0.25">
      <c r="B90" s="16" t="s">
        <v>33</v>
      </c>
      <c r="C90" s="17">
        <v>45048</v>
      </c>
      <c r="D90" s="16">
        <v>958299</v>
      </c>
      <c r="E90" s="16">
        <v>10263</v>
      </c>
      <c r="F90" s="18" t="s">
        <v>34</v>
      </c>
      <c r="G90" s="16" t="s">
        <v>16</v>
      </c>
      <c r="H90" s="16" t="s">
        <v>46</v>
      </c>
      <c r="I90" s="16" t="s">
        <v>51</v>
      </c>
    </row>
    <row r="91" spans="2:9" x14ac:dyDescent="0.25">
      <c r="B91" s="16" t="s">
        <v>33</v>
      </c>
      <c r="C91" s="17">
        <v>45048</v>
      </c>
      <c r="D91" s="16">
        <v>958300</v>
      </c>
      <c r="E91" s="16">
        <v>10263</v>
      </c>
      <c r="F91" s="18" t="s">
        <v>34</v>
      </c>
      <c r="G91" s="16" t="s">
        <v>16</v>
      </c>
      <c r="H91" s="16" t="s">
        <v>46</v>
      </c>
      <c r="I91" s="16" t="s">
        <v>51</v>
      </c>
    </row>
    <row r="92" spans="2:9" x14ac:dyDescent="0.25">
      <c r="B92" s="16" t="s">
        <v>33</v>
      </c>
      <c r="C92" s="17">
        <v>45048</v>
      </c>
      <c r="D92" s="16">
        <v>958301</v>
      </c>
      <c r="E92" s="16">
        <v>10263</v>
      </c>
      <c r="F92" s="18" t="s">
        <v>34</v>
      </c>
      <c r="G92" s="16" t="s">
        <v>16</v>
      </c>
      <c r="H92" s="16" t="s">
        <v>46</v>
      </c>
      <c r="I92" s="16" t="s">
        <v>51</v>
      </c>
    </row>
    <row r="93" spans="2:9" x14ac:dyDescent="0.25">
      <c r="B93" s="16" t="s">
        <v>33</v>
      </c>
      <c r="C93" s="17">
        <v>45048</v>
      </c>
      <c r="D93" s="16">
        <v>958302</v>
      </c>
      <c r="E93" s="16">
        <v>10263</v>
      </c>
      <c r="F93" s="18" t="s">
        <v>34</v>
      </c>
      <c r="G93" s="16" t="s">
        <v>16</v>
      </c>
      <c r="H93" s="16" t="s">
        <v>46</v>
      </c>
      <c r="I93" s="16" t="s">
        <v>51</v>
      </c>
    </row>
    <row r="94" spans="2:9" x14ac:dyDescent="0.25">
      <c r="B94" s="16" t="s">
        <v>33</v>
      </c>
      <c r="C94" s="17">
        <v>45048</v>
      </c>
      <c r="D94" s="16">
        <v>958303</v>
      </c>
      <c r="E94" s="16">
        <v>10263</v>
      </c>
      <c r="F94" s="18" t="s">
        <v>34</v>
      </c>
      <c r="G94" s="16" t="s">
        <v>16</v>
      </c>
      <c r="H94" s="16" t="s">
        <v>46</v>
      </c>
      <c r="I94" s="16" t="s">
        <v>51</v>
      </c>
    </row>
    <row r="95" spans="2:9" x14ac:dyDescent="0.25">
      <c r="B95" s="16" t="s">
        <v>33</v>
      </c>
      <c r="C95" s="17">
        <v>45048</v>
      </c>
      <c r="D95" s="16">
        <v>958304</v>
      </c>
      <c r="E95" s="16">
        <v>10263</v>
      </c>
      <c r="F95" s="18" t="s">
        <v>34</v>
      </c>
      <c r="G95" s="16" t="s">
        <v>16</v>
      </c>
      <c r="H95" s="16" t="s">
        <v>46</v>
      </c>
      <c r="I95" s="16" t="s">
        <v>51</v>
      </c>
    </row>
    <row r="96" spans="2:9" x14ac:dyDescent="0.25">
      <c r="B96" s="16" t="s">
        <v>33</v>
      </c>
      <c r="C96" s="17">
        <v>45048</v>
      </c>
      <c r="D96" s="16">
        <v>958305</v>
      </c>
      <c r="E96" s="16">
        <v>10263</v>
      </c>
      <c r="F96" s="18" t="s">
        <v>34</v>
      </c>
      <c r="G96" s="16" t="s">
        <v>16</v>
      </c>
      <c r="H96" s="16" t="s">
        <v>46</v>
      </c>
      <c r="I96" s="16" t="s">
        <v>51</v>
      </c>
    </row>
    <row r="97" spans="2:9" x14ac:dyDescent="0.25">
      <c r="B97" s="16" t="s">
        <v>33</v>
      </c>
      <c r="C97" s="17">
        <v>45048</v>
      </c>
      <c r="D97" s="16">
        <v>958306</v>
      </c>
      <c r="E97" s="16">
        <v>10263</v>
      </c>
      <c r="F97" s="18" t="s">
        <v>34</v>
      </c>
      <c r="G97" s="16" t="s">
        <v>16</v>
      </c>
      <c r="H97" s="16" t="s">
        <v>46</v>
      </c>
      <c r="I97" s="16" t="s">
        <v>51</v>
      </c>
    </row>
    <row r="98" spans="2:9" x14ac:dyDescent="0.25">
      <c r="B98" s="16" t="s">
        <v>33</v>
      </c>
      <c r="C98" s="17">
        <v>45048</v>
      </c>
      <c r="D98" s="16">
        <v>958307</v>
      </c>
      <c r="E98" s="16">
        <v>10263</v>
      </c>
      <c r="F98" s="18" t="s">
        <v>34</v>
      </c>
      <c r="G98" s="16" t="s">
        <v>16</v>
      </c>
      <c r="H98" s="16" t="s">
        <v>46</v>
      </c>
      <c r="I98" s="16" t="s">
        <v>51</v>
      </c>
    </row>
    <row r="99" spans="2:9" x14ac:dyDescent="0.25">
      <c r="B99" s="16" t="s">
        <v>33</v>
      </c>
      <c r="C99" s="17">
        <v>45048</v>
      </c>
      <c r="D99" s="16">
        <v>958308</v>
      </c>
      <c r="E99" s="16">
        <v>10263</v>
      </c>
      <c r="F99" s="18" t="s">
        <v>34</v>
      </c>
      <c r="G99" s="16" t="s">
        <v>16</v>
      </c>
      <c r="H99" s="16" t="s">
        <v>46</v>
      </c>
      <c r="I99" s="16" t="s">
        <v>51</v>
      </c>
    </row>
    <row r="100" spans="2:9" x14ac:dyDescent="0.25">
      <c r="B100" s="16" t="s">
        <v>33</v>
      </c>
      <c r="C100" s="17">
        <v>45048</v>
      </c>
      <c r="D100" s="16">
        <v>958309</v>
      </c>
      <c r="E100" s="16">
        <v>10263</v>
      </c>
      <c r="F100" s="18" t="s">
        <v>34</v>
      </c>
      <c r="G100" s="16" t="s">
        <v>16</v>
      </c>
      <c r="H100" s="16" t="s">
        <v>46</v>
      </c>
      <c r="I100" s="16" t="s">
        <v>51</v>
      </c>
    </row>
    <row r="101" spans="2:9" x14ac:dyDescent="0.25">
      <c r="B101" s="16" t="s">
        <v>33</v>
      </c>
      <c r="C101" s="17">
        <v>45048</v>
      </c>
      <c r="D101" s="16">
        <v>958310</v>
      </c>
      <c r="E101" s="16">
        <v>10263</v>
      </c>
      <c r="F101" s="18" t="s">
        <v>34</v>
      </c>
      <c r="G101" s="16" t="s">
        <v>16</v>
      </c>
      <c r="H101" s="16" t="s">
        <v>46</v>
      </c>
      <c r="I101" s="16" t="s">
        <v>51</v>
      </c>
    </row>
    <row r="102" spans="2:9" x14ac:dyDescent="0.25">
      <c r="B102" s="16" t="s">
        <v>40</v>
      </c>
      <c r="C102" s="17">
        <v>45048</v>
      </c>
      <c r="D102" s="16">
        <v>44962</v>
      </c>
      <c r="E102" s="16">
        <v>10440</v>
      </c>
      <c r="F102" s="18" t="s">
        <v>37</v>
      </c>
      <c r="G102" s="16" t="s">
        <v>4</v>
      </c>
      <c r="H102" s="16" t="s">
        <v>41</v>
      </c>
      <c r="I102" s="16" t="s">
        <v>42</v>
      </c>
    </row>
    <row r="103" spans="2:9" x14ac:dyDescent="0.25">
      <c r="B103" s="16" t="s">
        <v>2</v>
      </c>
      <c r="C103" s="17">
        <v>45048</v>
      </c>
      <c r="D103" s="16">
        <v>616888</v>
      </c>
      <c r="E103" s="16">
        <v>3610</v>
      </c>
      <c r="F103" s="18" t="s">
        <v>8</v>
      </c>
      <c r="G103" s="16" t="s">
        <v>54</v>
      </c>
      <c r="H103" s="16" t="s">
        <v>21</v>
      </c>
      <c r="I103" s="16" t="s">
        <v>17</v>
      </c>
    </row>
    <row r="104" spans="2:9" x14ac:dyDescent="0.25">
      <c r="B104" s="16" t="s">
        <v>26</v>
      </c>
      <c r="C104" s="17">
        <v>45048</v>
      </c>
      <c r="D104" s="16">
        <v>958404</v>
      </c>
      <c r="E104" s="16">
        <v>10263</v>
      </c>
      <c r="F104" s="18" t="s">
        <v>34</v>
      </c>
      <c r="G104" s="16" t="s">
        <v>16</v>
      </c>
      <c r="H104" s="16" t="s">
        <v>39</v>
      </c>
      <c r="I104" s="16" t="s">
        <v>17</v>
      </c>
    </row>
    <row r="105" spans="2:9" x14ac:dyDescent="0.25">
      <c r="B105" s="16" t="s">
        <v>26</v>
      </c>
      <c r="C105" s="17">
        <v>45048</v>
      </c>
      <c r="D105" s="16">
        <v>958360</v>
      </c>
      <c r="E105" s="16">
        <v>10263</v>
      </c>
      <c r="F105" s="18" t="s">
        <v>34</v>
      </c>
      <c r="G105" s="16" t="s">
        <v>16</v>
      </c>
      <c r="H105" s="16" t="s">
        <v>39</v>
      </c>
      <c r="I105" s="16" t="s">
        <v>17</v>
      </c>
    </row>
    <row r="106" spans="2:9" x14ac:dyDescent="0.25">
      <c r="B106" s="16" t="s">
        <v>26</v>
      </c>
      <c r="C106" s="17">
        <v>45048</v>
      </c>
      <c r="D106" s="16">
        <v>958385</v>
      </c>
      <c r="E106" s="16">
        <v>10263</v>
      </c>
      <c r="F106" s="18" t="s">
        <v>34</v>
      </c>
      <c r="G106" s="16" t="s">
        <v>16</v>
      </c>
      <c r="H106" s="16" t="s">
        <v>39</v>
      </c>
      <c r="I106" s="16" t="s">
        <v>17</v>
      </c>
    </row>
    <row r="107" spans="2:9" x14ac:dyDescent="0.25">
      <c r="B107" s="16" t="s">
        <v>22</v>
      </c>
      <c r="C107" s="17">
        <v>45048</v>
      </c>
      <c r="D107" s="16">
        <v>968563</v>
      </c>
      <c r="E107" s="16">
        <v>9434</v>
      </c>
      <c r="F107" s="18" t="s">
        <v>23</v>
      </c>
      <c r="G107" s="16" t="s">
        <v>1</v>
      </c>
      <c r="H107" s="16" t="s">
        <v>24</v>
      </c>
      <c r="I107" s="16" t="s">
        <v>25</v>
      </c>
    </row>
    <row r="108" spans="2:9" x14ac:dyDescent="0.25">
      <c r="B108" s="16" t="s">
        <v>26</v>
      </c>
      <c r="C108" s="17">
        <v>45048</v>
      </c>
      <c r="D108" s="16">
        <v>968607</v>
      </c>
      <c r="E108" s="16">
        <v>9434</v>
      </c>
      <c r="F108" s="18" t="s">
        <v>23</v>
      </c>
      <c r="G108" s="16" t="s">
        <v>1</v>
      </c>
      <c r="H108" s="16" t="s">
        <v>24</v>
      </c>
      <c r="I108" s="16" t="s">
        <v>25</v>
      </c>
    </row>
    <row r="109" spans="2:9" x14ac:dyDescent="0.25">
      <c r="B109" s="16" t="s">
        <v>22</v>
      </c>
      <c r="C109" s="17">
        <v>45048</v>
      </c>
      <c r="D109" s="16">
        <v>958473</v>
      </c>
      <c r="E109" s="16">
        <v>10263</v>
      </c>
      <c r="F109" s="18" t="s">
        <v>34</v>
      </c>
      <c r="G109" s="16" t="s">
        <v>16</v>
      </c>
      <c r="H109" s="16" t="s">
        <v>24</v>
      </c>
      <c r="I109" s="16" t="s">
        <v>35</v>
      </c>
    </row>
    <row r="110" spans="2:9" x14ac:dyDescent="0.25">
      <c r="B110" s="16" t="s">
        <v>22</v>
      </c>
      <c r="C110" s="17">
        <v>45048</v>
      </c>
      <c r="D110" s="16">
        <v>958496</v>
      </c>
      <c r="E110" s="16">
        <v>10263</v>
      </c>
      <c r="F110" s="18" t="s">
        <v>34</v>
      </c>
      <c r="G110" s="16" t="s">
        <v>16</v>
      </c>
      <c r="H110" s="16" t="s">
        <v>24</v>
      </c>
      <c r="I110" s="16" t="s">
        <v>35</v>
      </c>
    </row>
    <row r="111" spans="2:9" x14ac:dyDescent="0.25">
      <c r="B111" s="16" t="s">
        <v>26</v>
      </c>
      <c r="C111" s="17">
        <v>45048</v>
      </c>
      <c r="D111" s="16">
        <v>958433</v>
      </c>
      <c r="E111" s="16">
        <v>10263</v>
      </c>
      <c r="F111" s="18" t="s">
        <v>34</v>
      </c>
      <c r="G111" s="16" t="s">
        <v>16</v>
      </c>
      <c r="H111" s="16" t="s">
        <v>24</v>
      </c>
      <c r="I111" s="16" t="s">
        <v>35</v>
      </c>
    </row>
    <row r="112" spans="2:9" x14ac:dyDescent="0.25">
      <c r="B112" s="16" t="s">
        <v>40</v>
      </c>
      <c r="C112" s="17">
        <v>45048</v>
      </c>
      <c r="D112" s="16">
        <v>1052514</v>
      </c>
      <c r="E112" s="16">
        <v>9378</v>
      </c>
      <c r="F112" s="18" t="s">
        <v>30</v>
      </c>
      <c r="G112" s="16" t="s">
        <v>3</v>
      </c>
      <c r="H112" s="16" t="s">
        <v>24</v>
      </c>
      <c r="I112" s="16" t="s">
        <v>35</v>
      </c>
    </row>
    <row r="113" spans="2:9" x14ac:dyDescent="0.25">
      <c r="B113" s="16" t="s">
        <v>40</v>
      </c>
      <c r="C113" s="17">
        <v>45048</v>
      </c>
      <c r="D113" s="16">
        <v>958584</v>
      </c>
      <c r="E113" s="16">
        <v>10263</v>
      </c>
      <c r="F113" s="18" t="s">
        <v>34</v>
      </c>
      <c r="G113" s="16" t="s">
        <v>16</v>
      </c>
      <c r="H113" s="16" t="s">
        <v>24</v>
      </c>
      <c r="I113" s="16" t="s">
        <v>35</v>
      </c>
    </row>
    <row r="114" spans="2:9" x14ac:dyDescent="0.25">
      <c r="B114" s="16" t="s">
        <v>33</v>
      </c>
      <c r="C114" s="17">
        <v>45048</v>
      </c>
      <c r="D114" s="16">
        <v>169361</v>
      </c>
      <c r="E114" s="16">
        <v>9599</v>
      </c>
      <c r="F114" s="18" t="s">
        <v>43</v>
      </c>
      <c r="G114" s="16" t="s">
        <v>1</v>
      </c>
      <c r="H114" s="16" t="s">
        <v>24</v>
      </c>
      <c r="I114" s="16" t="s">
        <v>35</v>
      </c>
    </row>
    <row r="115" spans="2:9" x14ac:dyDescent="0.25">
      <c r="B115" s="16" t="s">
        <v>40</v>
      </c>
      <c r="C115" s="17">
        <v>45048</v>
      </c>
      <c r="D115" s="16">
        <v>915914</v>
      </c>
      <c r="E115" s="16">
        <v>15116</v>
      </c>
      <c r="F115" s="18" t="s">
        <v>50</v>
      </c>
      <c r="G115" s="16" t="s">
        <v>1</v>
      </c>
      <c r="H115" s="16" t="s">
        <v>24</v>
      </c>
      <c r="I115" s="16" t="s">
        <v>35</v>
      </c>
    </row>
    <row r="116" spans="2:9" x14ac:dyDescent="0.25">
      <c r="B116" s="16" t="s">
        <v>26</v>
      </c>
      <c r="C116" s="17">
        <v>45048</v>
      </c>
      <c r="D116" s="16">
        <v>139299</v>
      </c>
      <c r="E116" s="16">
        <v>10440</v>
      </c>
      <c r="F116" s="18" t="s">
        <v>37</v>
      </c>
      <c r="G116" s="16" t="s">
        <v>6</v>
      </c>
      <c r="H116" s="16" t="s">
        <v>38</v>
      </c>
      <c r="I116" s="16" t="s">
        <v>17</v>
      </c>
    </row>
    <row r="117" spans="2:9" x14ac:dyDescent="0.25">
      <c r="B117" s="16" t="s">
        <v>33</v>
      </c>
      <c r="C117" s="17">
        <v>45048</v>
      </c>
      <c r="D117" s="16">
        <v>402270</v>
      </c>
      <c r="E117" s="16">
        <v>1216</v>
      </c>
      <c r="F117" s="18" t="s">
        <v>47</v>
      </c>
      <c r="G117" s="16" t="s">
        <v>6</v>
      </c>
      <c r="H117" s="16" t="s">
        <v>38</v>
      </c>
      <c r="I117" s="16" t="s">
        <v>17</v>
      </c>
    </row>
    <row r="118" spans="2:9" x14ac:dyDescent="0.25">
      <c r="B118" s="16" t="s">
        <v>40</v>
      </c>
      <c r="C118" s="17">
        <v>45049</v>
      </c>
      <c r="D118" s="16">
        <v>1746696</v>
      </c>
      <c r="E118" s="16">
        <v>9307</v>
      </c>
      <c r="F118" s="18" t="s">
        <v>68</v>
      </c>
      <c r="G118" s="16" t="s">
        <v>1</v>
      </c>
      <c r="H118" s="16" t="s">
        <v>71</v>
      </c>
      <c r="I118" s="16" t="s">
        <v>51</v>
      </c>
    </row>
    <row r="119" spans="2:9" x14ac:dyDescent="0.25">
      <c r="B119" s="16" t="s">
        <v>40</v>
      </c>
      <c r="C119" s="17">
        <v>45049</v>
      </c>
      <c r="D119" s="16">
        <v>1746698</v>
      </c>
      <c r="E119" s="16">
        <v>9307</v>
      </c>
      <c r="F119" s="18" t="s">
        <v>68</v>
      </c>
      <c r="G119" s="16" t="s">
        <v>1</v>
      </c>
      <c r="H119" s="16" t="s">
        <v>71</v>
      </c>
      <c r="I119" s="16" t="s">
        <v>51</v>
      </c>
    </row>
    <row r="120" spans="2:9" x14ac:dyDescent="0.25">
      <c r="B120" s="16" t="s">
        <v>40</v>
      </c>
      <c r="C120" s="17">
        <v>45049</v>
      </c>
      <c r="D120" s="16">
        <v>1746697</v>
      </c>
      <c r="E120" s="16">
        <v>9307</v>
      </c>
      <c r="F120" s="18" t="s">
        <v>68</v>
      </c>
      <c r="G120" s="16" t="s">
        <v>1</v>
      </c>
      <c r="H120" s="16" t="s">
        <v>71</v>
      </c>
      <c r="I120" s="16" t="s">
        <v>51</v>
      </c>
    </row>
    <row r="121" spans="2:9" x14ac:dyDescent="0.25">
      <c r="B121" s="16" t="s">
        <v>33</v>
      </c>
      <c r="C121" s="17">
        <v>45049</v>
      </c>
      <c r="D121" s="16">
        <v>1106412</v>
      </c>
      <c r="E121" s="16">
        <v>1139</v>
      </c>
      <c r="F121" s="18" t="s">
        <v>66</v>
      </c>
      <c r="G121" s="16" t="s">
        <v>1</v>
      </c>
      <c r="H121" s="16" t="s">
        <v>71</v>
      </c>
      <c r="I121" s="16" t="s">
        <v>17</v>
      </c>
    </row>
    <row r="122" spans="2:9" x14ac:dyDescent="0.25">
      <c r="B122" s="16" t="s">
        <v>33</v>
      </c>
      <c r="C122" s="17">
        <v>45049</v>
      </c>
      <c r="D122" s="16">
        <v>892470</v>
      </c>
      <c r="E122" s="16">
        <v>9398</v>
      </c>
      <c r="F122" s="18" t="s">
        <v>65</v>
      </c>
      <c r="G122" s="16" t="s">
        <v>16</v>
      </c>
      <c r="H122" s="16" t="s">
        <v>36</v>
      </c>
      <c r="I122" s="16" t="s">
        <v>61</v>
      </c>
    </row>
    <row r="123" spans="2:9" x14ac:dyDescent="0.25">
      <c r="B123" s="16" t="s">
        <v>40</v>
      </c>
      <c r="C123" s="17">
        <v>45049</v>
      </c>
      <c r="D123" s="16">
        <v>575728</v>
      </c>
      <c r="E123" s="16">
        <v>6172</v>
      </c>
      <c r="F123" s="18" t="s">
        <v>64</v>
      </c>
      <c r="G123" s="16" t="s">
        <v>4</v>
      </c>
      <c r="H123" s="16" t="s">
        <v>49</v>
      </c>
      <c r="I123" s="16" t="s">
        <v>42</v>
      </c>
    </row>
    <row r="124" spans="2:9" x14ac:dyDescent="0.25">
      <c r="B124" s="16" t="s">
        <v>2</v>
      </c>
      <c r="C124" s="17">
        <v>45049</v>
      </c>
      <c r="D124" s="16">
        <v>36136</v>
      </c>
      <c r="E124" s="16">
        <v>7341</v>
      </c>
      <c r="F124" s="18" t="s">
        <v>56</v>
      </c>
      <c r="G124" s="16" t="s">
        <v>5</v>
      </c>
      <c r="H124" s="16" t="s">
        <v>28</v>
      </c>
      <c r="I124" s="16" t="s">
        <v>57</v>
      </c>
    </row>
    <row r="125" spans="2:9" x14ac:dyDescent="0.25">
      <c r="B125" s="16" t="s">
        <v>2</v>
      </c>
      <c r="C125" s="17">
        <v>45049</v>
      </c>
      <c r="D125" s="16">
        <v>36169</v>
      </c>
      <c r="E125" s="16">
        <v>7341</v>
      </c>
      <c r="F125" s="18" t="s">
        <v>56</v>
      </c>
      <c r="G125" s="16" t="s">
        <v>5</v>
      </c>
      <c r="H125" s="16" t="s">
        <v>28</v>
      </c>
      <c r="I125" s="16" t="s">
        <v>57</v>
      </c>
    </row>
    <row r="126" spans="2:9" x14ac:dyDescent="0.25">
      <c r="B126" s="16" t="s">
        <v>22</v>
      </c>
      <c r="C126" s="17">
        <v>45049</v>
      </c>
      <c r="D126" s="16">
        <v>1106484</v>
      </c>
      <c r="E126" s="16">
        <v>1139</v>
      </c>
      <c r="F126" s="18" t="s">
        <v>66</v>
      </c>
      <c r="G126" s="16" t="s">
        <v>1</v>
      </c>
      <c r="H126" s="16" t="s">
        <v>46</v>
      </c>
      <c r="I126" s="16" t="s">
        <v>25</v>
      </c>
    </row>
    <row r="127" spans="2:9" x14ac:dyDescent="0.25">
      <c r="B127" s="16" t="s">
        <v>2</v>
      </c>
      <c r="C127" s="17">
        <v>45049</v>
      </c>
      <c r="D127" s="16">
        <v>609491</v>
      </c>
      <c r="E127" s="16">
        <v>9653</v>
      </c>
      <c r="F127" s="18" t="s">
        <v>67</v>
      </c>
      <c r="G127" s="16" t="s">
        <v>0</v>
      </c>
      <c r="H127" s="16" t="s">
        <v>46</v>
      </c>
      <c r="I127" s="16" t="s">
        <v>17</v>
      </c>
    </row>
    <row r="128" spans="2:9" x14ac:dyDescent="0.25">
      <c r="B128" s="16" t="s">
        <v>2</v>
      </c>
      <c r="C128" s="17">
        <v>45049</v>
      </c>
      <c r="D128" s="16">
        <v>1746886</v>
      </c>
      <c r="E128" s="16">
        <v>9307</v>
      </c>
      <c r="F128" s="18" t="s">
        <v>68</v>
      </c>
      <c r="G128" s="16" t="s">
        <v>1</v>
      </c>
      <c r="H128" s="16" t="s">
        <v>46</v>
      </c>
      <c r="I128" s="16" t="s">
        <v>17</v>
      </c>
    </row>
    <row r="129" spans="2:9" x14ac:dyDescent="0.25">
      <c r="B129" s="16" t="s">
        <v>2</v>
      </c>
      <c r="C129" s="17">
        <v>45049</v>
      </c>
      <c r="D129" s="16">
        <v>1746885</v>
      </c>
      <c r="E129" s="16">
        <v>9307</v>
      </c>
      <c r="F129" s="18" t="s">
        <v>68</v>
      </c>
      <c r="G129" s="16" t="s">
        <v>1</v>
      </c>
      <c r="H129" s="16" t="s">
        <v>46</v>
      </c>
      <c r="I129" s="16" t="s">
        <v>17</v>
      </c>
    </row>
    <row r="130" spans="2:9" x14ac:dyDescent="0.25">
      <c r="B130" s="16" t="s">
        <v>2</v>
      </c>
      <c r="C130" s="17">
        <v>45049</v>
      </c>
      <c r="D130" s="16">
        <v>1746884</v>
      </c>
      <c r="E130" s="16">
        <v>9307</v>
      </c>
      <c r="F130" s="18" t="s">
        <v>68</v>
      </c>
      <c r="G130" s="16" t="s">
        <v>1</v>
      </c>
      <c r="H130" s="16" t="s">
        <v>46</v>
      </c>
      <c r="I130" s="16" t="s">
        <v>17</v>
      </c>
    </row>
    <row r="131" spans="2:9" x14ac:dyDescent="0.25">
      <c r="B131" s="16" t="s">
        <v>2</v>
      </c>
      <c r="C131" s="17">
        <v>45049</v>
      </c>
      <c r="D131" s="16">
        <v>101564</v>
      </c>
      <c r="E131" s="16">
        <v>1233</v>
      </c>
      <c r="F131" s="18" t="s">
        <v>69</v>
      </c>
      <c r="G131" s="16" t="s">
        <v>5</v>
      </c>
      <c r="H131" s="16" t="s">
        <v>46</v>
      </c>
      <c r="I131" s="16" t="s">
        <v>51</v>
      </c>
    </row>
    <row r="132" spans="2:9" x14ac:dyDescent="0.25">
      <c r="B132" s="16" t="s">
        <v>2</v>
      </c>
      <c r="C132" s="17">
        <v>45049</v>
      </c>
      <c r="D132" s="16">
        <v>101732</v>
      </c>
      <c r="E132" s="16">
        <v>11233</v>
      </c>
      <c r="F132" s="18" t="s">
        <v>70</v>
      </c>
      <c r="G132" s="16" t="s">
        <v>5</v>
      </c>
      <c r="H132" s="16" t="s">
        <v>46</v>
      </c>
      <c r="I132" s="16" t="s">
        <v>51</v>
      </c>
    </row>
    <row r="133" spans="2:9" x14ac:dyDescent="0.25">
      <c r="B133" s="16" t="s">
        <v>22</v>
      </c>
      <c r="C133" s="17">
        <v>45049</v>
      </c>
      <c r="D133" s="16">
        <v>31443</v>
      </c>
      <c r="E133" s="16">
        <v>68693</v>
      </c>
      <c r="F133" s="18" t="s">
        <v>72</v>
      </c>
      <c r="G133" s="16" t="s">
        <v>5</v>
      </c>
      <c r="H133" s="16" t="s">
        <v>46</v>
      </c>
      <c r="I133" s="16" t="s">
        <v>17</v>
      </c>
    </row>
    <row r="134" spans="2:9" x14ac:dyDescent="0.25">
      <c r="B134" s="16" t="s">
        <v>22</v>
      </c>
      <c r="C134" s="17">
        <v>45049</v>
      </c>
      <c r="D134" s="16">
        <v>467365</v>
      </c>
      <c r="E134" s="16">
        <v>68693</v>
      </c>
      <c r="F134" s="18" t="s">
        <v>72</v>
      </c>
      <c r="G134" s="16" t="s">
        <v>5</v>
      </c>
      <c r="H134" s="16" t="s">
        <v>46</v>
      </c>
      <c r="I134" s="16" t="s">
        <v>17</v>
      </c>
    </row>
    <row r="135" spans="2:9" x14ac:dyDescent="0.25">
      <c r="B135" s="16" t="s">
        <v>22</v>
      </c>
      <c r="C135" s="17">
        <v>45049</v>
      </c>
      <c r="D135" s="16">
        <v>466894</v>
      </c>
      <c r="E135" s="16">
        <v>68693</v>
      </c>
      <c r="F135" s="18" t="s">
        <v>72</v>
      </c>
      <c r="G135" s="16" t="s">
        <v>5</v>
      </c>
      <c r="H135" s="16" t="s">
        <v>46</v>
      </c>
      <c r="I135" s="16" t="s">
        <v>17</v>
      </c>
    </row>
    <row r="136" spans="2:9" x14ac:dyDescent="0.25">
      <c r="B136" s="16" t="s">
        <v>2</v>
      </c>
      <c r="C136" s="17">
        <v>45049</v>
      </c>
      <c r="D136" s="16">
        <v>958843</v>
      </c>
      <c r="E136" s="16">
        <v>10263</v>
      </c>
      <c r="F136" s="18" t="s">
        <v>34</v>
      </c>
      <c r="G136" s="16" t="s">
        <v>16</v>
      </c>
      <c r="H136" s="16" t="s">
        <v>21</v>
      </c>
      <c r="I136" s="16" t="s">
        <v>17</v>
      </c>
    </row>
    <row r="137" spans="2:9" x14ac:dyDescent="0.25">
      <c r="B137" s="16" t="s">
        <v>2</v>
      </c>
      <c r="C137" s="17">
        <v>45049</v>
      </c>
      <c r="D137" s="16">
        <v>892378</v>
      </c>
      <c r="E137" s="16">
        <v>9398</v>
      </c>
      <c r="F137" s="18" t="s">
        <v>65</v>
      </c>
      <c r="G137" s="16" t="s">
        <v>16</v>
      </c>
      <c r="H137" s="16" t="s">
        <v>21</v>
      </c>
      <c r="I137" s="16" t="s">
        <v>17</v>
      </c>
    </row>
    <row r="138" spans="2:9" x14ac:dyDescent="0.25">
      <c r="B138" s="16" t="s">
        <v>2</v>
      </c>
      <c r="C138" s="17">
        <v>45049</v>
      </c>
      <c r="D138" s="16">
        <v>220453</v>
      </c>
      <c r="E138" s="16">
        <v>9637</v>
      </c>
      <c r="F138" s="18" t="s">
        <v>58</v>
      </c>
      <c r="G138" s="16" t="s">
        <v>16</v>
      </c>
      <c r="H138" s="16" t="s">
        <v>24</v>
      </c>
      <c r="I138" s="16" t="s">
        <v>59</v>
      </c>
    </row>
    <row r="139" spans="2:9" x14ac:dyDescent="0.25">
      <c r="B139" s="16" t="s">
        <v>22</v>
      </c>
      <c r="C139" s="17">
        <v>45049</v>
      </c>
      <c r="D139" s="16">
        <v>943345</v>
      </c>
      <c r="E139" s="16">
        <v>9675</v>
      </c>
      <c r="F139" s="18" t="s">
        <v>60</v>
      </c>
      <c r="G139" s="16" t="s">
        <v>1</v>
      </c>
      <c r="H139" s="16" t="s">
        <v>24</v>
      </c>
      <c r="I139" s="16" t="s">
        <v>61</v>
      </c>
    </row>
    <row r="140" spans="2:9" x14ac:dyDescent="0.25">
      <c r="B140" s="16" t="s">
        <v>22</v>
      </c>
      <c r="C140" s="17">
        <v>45049</v>
      </c>
      <c r="D140" s="16">
        <v>943347</v>
      </c>
      <c r="E140" s="16">
        <v>9675</v>
      </c>
      <c r="F140" s="18" t="s">
        <v>60</v>
      </c>
      <c r="G140" s="16" t="s">
        <v>1</v>
      </c>
      <c r="H140" s="16" t="s">
        <v>24</v>
      </c>
      <c r="I140" s="16" t="s">
        <v>61</v>
      </c>
    </row>
    <row r="141" spans="2:9" x14ac:dyDescent="0.25">
      <c r="B141" s="16" t="s">
        <v>40</v>
      </c>
      <c r="C141" s="17">
        <v>45049</v>
      </c>
      <c r="D141" s="16">
        <v>149159</v>
      </c>
      <c r="E141" s="16">
        <v>63007</v>
      </c>
      <c r="F141" s="18" t="s">
        <v>62</v>
      </c>
      <c r="G141" s="16" t="s">
        <v>5</v>
      </c>
      <c r="H141" s="16" t="s">
        <v>24</v>
      </c>
      <c r="I141" s="16" t="s">
        <v>61</v>
      </c>
    </row>
    <row r="142" spans="2:9" x14ac:dyDescent="0.25">
      <c r="B142" s="16" t="s">
        <v>40</v>
      </c>
      <c r="C142" s="17">
        <v>45049</v>
      </c>
      <c r="D142" s="16">
        <v>575728</v>
      </c>
      <c r="E142" s="16">
        <v>6172</v>
      </c>
      <c r="F142" s="18" t="s">
        <v>64</v>
      </c>
      <c r="G142" s="16" t="s">
        <v>4</v>
      </c>
      <c r="H142" s="16" t="s">
        <v>24</v>
      </c>
      <c r="I142" s="16" t="s">
        <v>42</v>
      </c>
    </row>
    <row r="143" spans="2:9" x14ac:dyDescent="0.25">
      <c r="B143" s="16" t="s">
        <v>33</v>
      </c>
      <c r="C143" s="17">
        <v>45049</v>
      </c>
      <c r="D143" s="16">
        <v>169361</v>
      </c>
      <c r="E143" s="16">
        <v>9599</v>
      </c>
      <c r="F143" s="18" t="s">
        <v>43</v>
      </c>
      <c r="G143" s="16" t="s">
        <v>1</v>
      </c>
      <c r="H143" s="16" t="s">
        <v>24</v>
      </c>
      <c r="I143" s="16" t="s">
        <v>61</v>
      </c>
    </row>
    <row r="144" spans="2:9" x14ac:dyDescent="0.25">
      <c r="B144" s="16" t="s">
        <v>26</v>
      </c>
      <c r="C144" s="17">
        <v>45049</v>
      </c>
      <c r="D144" s="16">
        <v>892131</v>
      </c>
      <c r="E144" s="16">
        <v>9398</v>
      </c>
      <c r="F144" s="18" t="s">
        <v>65</v>
      </c>
      <c r="G144" s="16" t="s">
        <v>16</v>
      </c>
      <c r="H144" s="16" t="s">
        <v>24</v>
      </c>
      <c r="I144" s="16" t="s">
        <v>59</v>
      </c>
    </row>
    <row r="145" spans="2:9" x14ac:dyDescent="0.25">
      <c r="B145" s="16" t="s">
        <v>2</v>
      </c>
      <c r="C145" s="17">
        <v>45049</v>
      </c>
      <c r="D145" s="16">
        <v>958747</v>
      </c>
      <c r="E145" s="16">
        <v>10263</v>
      </c>
      <c r="F145" s="18" t="s">
        <v>34</v>
      </c>
      <c r="G145" s="16" t="s">
        <v>16</v>
      </c>
      <c r="H145" s="16" t="s">
        <v>24</v>
      </c>
      <c r="I145" s="16" t="s">
        <v>17</v>
      </c>
    </row>
    <row r="146" spans="2:9" x14ac:dyDescent="0.25">
      <c r="B146" s="16" t="s">
        <v>2</v>
      </c>
      <c r="C146" s="17">
        <v>45049</v>
      </c>
      <c r="D146" s="16">
        <v>958773</v>
      </c>
      <c r="E146" s="16">
        <v>10263</v>
      </c>
      <c r="F146" s="18" t="s">
        <v>34</v>
      </c>
      <c r="G146" s="16" t="s">
        <v>16</v>
      </c>
      <c r="H146" s="16" t="s">
        <v>24</v>
      </c>
      <c r="I146" s="16" t="s">
        <v>17</v>
      </c>
    </row>
    <row r="147" spans="2:9" x14ac:dyDescent="0.25">
      <c r="B147" s="16" t="s">
        <v>2</v>
      </c>
      <c r="C147" s="17">
        <v>45049</v>
      </c>
      <c r="D147" s="16">
        <v>892365</v>
      </c>
      <c r="E147" s="16">
        <v>9398</v>
      </c>
      <c r="F147" s="18" t="s">
        <v>65</v>
      </c>
      <c r="G147" s="16" t="s">
        <v>16</v>
      </c>
      <c r="H147" s="16" t="s">
        <v>24</v>
      </c>
      <c r="I147" s="16" t="s">
        <v>61</v>
      </c>
    </row>
    <row r="148" spans="2:9" x14ac:dyDescent="0.25">
      <c r="B148" s="16" t="s">
        <v>40</v>
      </c>
      <c r="C148" s="17">
        <v>45049</v>
      </c>
      <c r="D148" s="16">
        <v>117510</v>
      </c>
      <c r="E148" s="16">
        <v>11604</v>
      </c>
      <c r="F148" s="18" t="s">
        <v>63</v>
      </c>
      <c r="G148" s="16" t="s">
        <v>6</v>
      </c>
      <c r="H148" s="16" t="s">
        <v>38</v>
      </c>
      <c r="I148" s="16" t="s">
        <v>17</v>
      </c>
    </row>
    <row r="149" spans="2:9" x14ac:dyDescent="0.25">
      <c r="B149" s="16" t="s">
        <v>33</v>
      </c>
      <c r="C149" s="17">
        <v>45049</v>
      </c>
      <c r="D149" s="16">
        <v>117511</v>
      </c>
      <c r="E149" s="16">
        <v>11604</v>
      </c>
      <c r="F149" s="18" t="s">
        <v>63</v>
      </c>
      <c r="G149" s="16" t="s">
        <v>6</v>
      </c>
      <c r="H149" s="16" t="s">
        <v>38</v>
      </c>
      <c r="I149" s="16" t="s">
        <v>17</v>
      </c>
    </row>
    <row r="150" spans="2:9" x14ac:dyDescent="0.25">
      <c r="B150" s="16" t="s">
        <v>26</v>
      </c>
      <c r="C150" s="17">
        <v>45050</v>
      </c>
      <c r="D150" s="16">
        <v>3797972</v>
      </c>
      <c r="E150" s="16">
        <v>3506</v>
      </c>
      <c r="F150" s="18" t="s">
        <v>77</v>
      </c>
      <c r="G150" s="16" t="s">
        <v>4</v>
      </c>
      <c r="H150" s="16" t="s">
        <v>71</v>
      </c>
      <c r="I150" s="16" t="s">
        <v>17</v>
      </c>
    </row>
    <row r="151" spans="2:9" x14ac:dyDescent="0.25">
      <c r="B151" s="16" t="s">
        <v>33</v>
      </c>
      <c r="C151" s="17">
        <v>45050</v>
      </c>
      <c r="D151" s="16">
        <v>20081</v>
      </c>
      <c r="E151" s="16">
        <v>14818</v>
      </c>
      <c r="F151" s="18" t="s">
        <v>90</v>
      </c>
      <c r="G151" s="16" t="s">
        <v>6</v>
      </c>
      <c r="H151" s="16" t="s">
        <v>71</v>
      </c>
      <c r="I151" s="16" t="s">
        <v>17</v>
      </c>
    </row>
    <row r="152" spans="2:9" x14ac:dyDescent="0.25">
      <c r="B152" s="16" t="s">
        <v>26</v>
      </c>
      <c r="C152" s="17">
        <v>45050</v>
      </c>
      <c r="D152" s="16">
        <v>20082</v>
      </c>
      <c r="E152" s="16">
        <v>14818</v>
      </c>
      <c r="F152" s="18" t="s">
        <v>90</v>
      </c>
      <c r="G152" s="16" t="s">
        <v>6</v>
      </c>
      <c r="H152" s="16" t="s">
        <v>71</v>
      </c>
      <c r="I152" s="16" t="s">
        <v>17</v>
      </c>
    </row>
    <row r="153" spans="2:9" x14ac:dyDescent="0.25">
      <c r="B153" s="16" t="s">
        <v>2</v>
      </c>
      <c r="C153" s="17">
        <v>45050</v>
      </c>
      <c r="D153" s="16">
        <v>80244</v>
      </c>
      <c r="E153" s="16">
        <v>64319</v>
      </c>
      <c r="F153" s="18" t="s">
        <v>78</v>
      </c>
      <c r="G153" s="16" t="s">
        <v>3</v>
      </c>
      <c r="H153" s="16" t="s">
        <v>36</v>
      </c>
      <c r="I153" s="16" t="s">
        <v>61</v>
      </c>
    </row>
    <row r="154" spans="2:9" x14ac:dyDescent="0.25">
      <c r="B154" s="16" t="s">
        <v>2</v>
      </c>
      <c r="C154" s="17">
        <v>45050</v>
      </c>
      <c r="D154" s="16">
        <v>80245</v>
      </c>
      <c r="E154" s="16">
        <v>64319</v>
      </c>
      <c r="F154" s="18" t="s">
        <v>78</v>
      </c>
      <c r="G154" s="16" t="s">
        <v>3</v>
      </c>
      <c r="H154" s="16" t="s">
        <v>36</v>
      </c>
      <c r="I154" s="16" t="s">
        <v>61</v>
      </c>
    </row>
    <row r="155" spans="2:9" x14ac:dyDescent="0.25">
      <c r="B155" s="16" t="s">
        <v>2</v>
      </c>
      <c r="C155" s="17">
        <v>45050</v>
      </c>
      <c r="D155" s="16">
        <v>80246</v>
      </c>
      <c r="E155" s="16">
        <v>64319</v>
      </c>
      <c r="F155" s="18" t="s">
        <v>78</v>
      </c>
      <c r="G155" s="16" t="s">
        <v>3</v>
      </c>
      <c r="H155" s="16" t="s">
        <v>36</v>
      </c>
      <c r="I155" s="16" t="s">
        <v>61</v>
      </c>
    </row>
    <row r="156" spans="2:9" x14ac:dyDescent="0.25">
      <c r="B156" s="16" t="s">
        <v>22</v>
      </c>
      <c r="C156" s="17">
        <v>45050</v>
      </c>
      <c r="D156" s="16">
        <v>220432</v>
      </c>
      <c r="E156" s="16">
        <v>9637</v>
      </c>
      <c r="F156" s="18" t="s">
        <v>58</v>
      </c>
      <c r="G156" s="16" t="s">
        <v>16</v>
      </c>
      <c r="H156" s="16" t="s">
        <v>36</v>
      </c>
      <c r="I156" s="16" t="s">
        <v>61</v>
      </c>
    </row>
    <row r="157" spans="2:9" x14ac:dyDescent="0.25">
      <c r="B157" s="16" t="s">
        <v>33</v>
      </c>
      <c r="C157" s="17">
        <v>45050</v>
      </c>
      <c r="D157" s="16">
        <v>960425</v>
      </c>
      <c r="E157" s="16">
        <v>10263</v>
      </c>
      <c r="F157" s="18" t="s">
        <v>34</v>
      </c>
      <c r="G157" s="16" t="s">
        <v>16</v>
      </c>
      <c r="H157" s="16" t="s">
        <v>36</v>
      </c>
      <c r="I157" s="16" t="s">
        <v>61</v>
      </c>
    </row>
    <row r="158" spans="2:9" x14ac:dyDescent="0.25">
      <c r="B158" s="16" t="s">
        <v>33</v>
      </c>
      <c r="C158" s="17">
        <v>45050</v>
      </c>
      <c r="D158" s="16">
        <v>117558</v>
      </c>
      <c r="E158" s="16">
        <v>11604</v>
      </c>
      <c r="F158" s="18" t="s">
        <v>63</v>
      </c>
      <c r="G158" s="16" t="s">
        <v>6</v>
      </c>
      <c r="H158" s="16" t="s">
        <v>49</v>
      </c>
      <c r="I158" s="16" t="s">
        <v>17</v>
      </c>
    </row>
    <row r="159" spans="2:9" x14ac:dyDescent="0.25">
      <c r="B159" s="16" t="s">
        <v>33</v>
      </c>
      <c r="C159" s="17">
        <v>45050</v>
      </c>
      <c r="D159" s="16">
        <v>12398</v>
      </c>
      <c r="E159" s="16">
        <v>63651</v>
      </c>
      <c r="F159" s="18" t="s">
        <v>27</v>
      </c>
      <c r="G159" s="16" t="s">
        <v>52</v>
      </c>
      <c r="H159" s="16" t="s">
        <v>28</v>
      </c>
      <c r="I159" s="16" t="s">
        <v>61</v>
      </c>
    </row>
    <row r="160" spans="2:9" x14ac:dyDescent="0.25">
      <c r="B160" s="16" t="s">
        <v>33</v>
      </c>
      <c r="C160" s="17">
        <v>45050</v>
      </c>
      <c r="D160" s="16">
        <v>12681</v>
      </c>
      <c r="E160" s="16">
        <v>63651</v>
      </c>
      <c r="F160" s="18" t="s">
        <v>27</v>
      </c>
      <c r="G160" s="16" t="s">
        <v>52</v>
      </c>
      <c r="H160" s="16" t="s">
        <v>28</v>
      </c>
      <c r="I160" s="16" t="s">
        <v>61</v>
      </c>
    </row>
    <row r="161" spans="2:9" x14ac:dyDescent="0.25">
      <c r="B161" s="16" t="s">
        <v>26</v>
      </c>
      <c r="C161" s="17">
        <v>45050</v>
      </c>
      <c r="D161" s="16">
        <v>12399</v>
      </c>
      <c r="E161" s="16">
        <v>63651</v>
      </c>
      <c r="F161" s="18" t="s">
        <v>27</v>
      </c>
      <c r="G161" s="16" t="s">
        <v>16</v>
      </c>
      <c r="H161" s="16" t="s">
        <v>28</v>
      </c>
      <c r="I161" s="16" t="s">
        <v>73</v>
      </c>
    </row>
    <row r="162" spans="2:9" x14ac:dyDescent="0.25">
      <c r="B162" s="16" t="s">
        <v>22</v>
      </c>
      <c r="C162" s="17">
        <v>45050</v>
      </c>
      <c r="D162" s="16">
        <v>629394</v>
      </c>
      <c r="E162" s="16">
        <v>7182</v>
      </c>
      <c r="F162" s="18" t="s">
        <v>80</v>
      </c>
      <c r="G162" s="16" t="s">
        <v>52</v>
      </c>
      <c r="H162" s="16" t="s">
        <v>28</v>
      </c>
      <c r="I162" s="16" t="s">
        <v>61</v>
      </c>
    </row>
    <row r="163" spans="2:9" x14ac:dyDescent="0.25">
      <c r="B163" s="16" t="s">
        <v>22</v>
      </c>
      <c r="C163" s="17">
        <v>45050</v>
      </c>
      <c r="D163" s="16">
        <v>629393</v>
      </c>
      <c r="E163" s="16">
        <v>7182</v>
      </c>
      <c r="F163" s="18" t="s">
        <v>80</v>
      </c>
      <c r="G163" s="16" t="s">
        <v>52</v>
      </c>
      <c r="H163" s="16" t="s">
        <v>28</v>
      </c>
      <c r="I163" s="16" t="s">
        <v>61</v>
      </c>
    </row>
    <row r="164" spans="2:9" x14ac:dyDescent="0.25">
      <c r="B164" s="16" t="s">
        <v>2</v>
      </c>
      <c r="C164" s="17">
        <v>45050</v>
      </c>
      <c r="D164" s="16">
        <v>43532</v>
      </c>
      <c r="E164" s="16">
        <v>11716</v>
      </c>
      <c r="F164" s="18" t="s">
        <v>83</v>
      </c>
      <c r="G164" s="16" t="s">
        <v>93</v>
      </c>
      <c r="H164" s="16" t="s">
        <v>28</v>
      </c>
      <c r="I164" s="16" t="s">
        <v>84</v>
      </c>
    </row>
    <row r="165" spans="2:9" x14ac:dyDescent="0.25">
      <c r="B165" s="16" t="s">
        <v>40</v>
      </c>
      <c r="C165" s="17">
        <v>45050</v>
      </c>
      <c r="D165" s="16">
        <v>246782</v>
      </c>
      <c r="E165" s="16">
        <v>12435</v>
      </c>
      <c r="F165" s="18" t="s">
        <v>85</v>
      </c>
      <c r="G165" s="16" t="s">
        <v>52</v>
      </c>
      <c r="H165" s="16" t="s">
        <v>28</v>
      </c>
      <c r="I165" s="16" t="s">
        <v>61</v>
      </c>
    </row>
    <row r="166" spans="2:9" x14ac:dyDescent="0.25">
      <c r="B166" s="16" t="s">
        <v>22</v>
      </c>
      <c r="C166" s="17">
        <v>45050</v>
      </c>
      <c r="D166" s="16">
        <v>56201</v>
      </c>
      <c r="E166" s="16">
        <v>68474</v>
      </c>
      <c r="F166" s="18" t="s">
        <v>91</v>
      </c>
      <c r="G166" s="16" t="s">
        <v>4</v>
      </c>
      <c r="H166" s="16" t="s">
        <v>46</v>
      </c>
      <c r="I166" s="16" t="s">
        <v>92</v>
      </c>
    </row>
    <row r="167" spans="2:9" x14ac:dyDescent="0.25">
      <c r="B167" s="16" t="s">
        <v>2</v>
      </c>
      <c r="C167" s="17">
        <v>45050</v>
      </c>
      <c r="D167" s="16">
        <v>271686</v>
      </c>
      <c r="E167" s="16">
        <v>11564</v>
      </c>
      <c r="F167" s="18" t="s">
        <v>82</v>
      </c>
      <c r="G167" s="16" t="s">
        <v>7</v>
      </c>
      <c r="H167" s="16" t="s">
        <v>41</v>
      </c>
      <c r="I167" s="16" t="s">
        <v>17</v>
      </c>
    </row>
    <row r="168" spans="2:9" x14ac:dyDescent="0.25">
      <c r="B168" s="16" t="s">
        <v>22</v>
      </c>
      <c r="C168" s="17">
        <v>45050</v>
      </c>
      <c r="D168" s="16">
        <v>502896</v>
      </c>
      <c r="E168" s="16">
        <v>1207</v>
      </c>
      <c r="F168" s="18" t="s">
        <v>88</v>
      </c>
      <c r="G168" s="16" t="s">
        <v>52</v>
      </c>
      <c r="H168" s="16" t="s">
        <v>89</v>
      </c>
      <c r="I168" s="16" t="s">
        <v>29</v>
      </c>
    </row>
    <row r="169" spans="2:9" x14ac:dyDescent="0.25">
      <c r="B169" s="16" t="s">
        <v>26</v>
      </c>
      <c r="C169" s="17">
        <v>45050</v>
      </c>
      <c r="D169" s="16">
        <v>530318</v>
      </c>
      <c r="E169" s="16">
        <v>1008</v>
      </c>
      <c r="F169" s="18" t="s">
        <v>74</v>
      </c>
      <c r="G169" s="16" t="s">
        <v>1</v>
      </c>
      <c r="H169" s="16" t="s">
        <v>75</v>
      </c>
      <c r="I169" s="16" t="s">
        <v>61</v>
      </c>
    </row>
    <row r="170" spans="2:9" x14ac:dyDescent="0.25">
      <c r="B170" s="16" t="s">
        <v>2</v>
      </c>
      <c r="C170" s="17">
        <v>45050</v>
      </c>
      <c r="D170" s="16">
        <v>530320</v>
      </c>
      <c r="E170" s="16">
        <v>1008</v>
      </c>
      <c r="F170" s="18" t="s">
        <v>74</v>
      </c>
      <c r="G170" s="16" t="s">
        <v>1</v>
      </c>
      <c r="H170" s="16" t="s">
        <v>24</v>
      </c>
      <c r="I170" s="16" t="s">
        <v>61</v>
      </c>
    </row>
    <row r="171" spans="2:9" x14ac:dyDescent="0.25">
      <c r="B171" s="16" t="s">
        <v>2</v>
      </c>
      <c r="C171" s="17">
        <v>45050</v>
      </c>
      <c r="D171" s="16">
        <v>530322</v>
      </c>
      <c r="E171" s="16">
        <v>1008</v>
      </c>
      <c r="F171" s="18" t="s">
        <v>74</v>
      </c>
      <c r="G171" s="16" t="s">
        <v>1</v>
      </c>
      <c r="H171" s="16" t="s">
        <v>24</v>
      </c>
      <c r="I171" s="16" t="s">
        <v>61</v>
      </c>
    </row>
    <row r="172" spans="2:9" x14ac:dyDescent="0.25">
      <c r="B172" s="16" t="s">
        <v>2</v>
      </c>
      <c r="C172" s="17">
        <v>45050</v>
      </c>
      <c r="D172" s="16">
        <v>80249</v>
      </c>
      <c r="E172" s="16">
        <v>64319</v>
      </c>
      <c r="F172" s="18" t="s">
        <v>78</v>
      </c>
      <c r="G172" s="16" t="s">
        <v>3</v>
      </c>
      <c r="H172" s="16" t="s">
        <v>24</v>
      </c>
      <c r="I172" s="16" t="s">
        <v>61</v>
      </c>
    </row>
    <row r="173" spans="2:9" x14ac:dyDescent="0.25">
      <c r="B173" s="16" t="s">
        <v>22</v>
      </c>
      <c r="C173" s="17">
        <v>45050</v>
      </c>
      <c r="D173" s="16">
        <v>1660297</v>
      </c>
      <c r="E173" s="16">
        <v>9526</v>
      </c>
      <c r="F173" s="18" t="s">
        <v>79</v>
      </c>
      <c r="G173" s="16" t="s">
        <v>5</v>
      </c>
      <c r="H173" s="16" t="s">
        <v>24</v>
      </c>
      <c r="I173" s="16" t="s">
        <v>61</v>
      </c>
    </row>
    <row r="174" spans="2:9" x14ac:dyDescent="0.25">
      <c r="B174" s="16" t="s">
        <v>40</v>
      </c>
      <c r="C174" s="17">
        <v>45050</v>
      </c>
      <c r="D174" s="16">
        <v>892215</v>
      </c>
      <c r="E174" s="16">
        <v>9398</v>
      </c>
      <c r="F174" s="18" t="s">
        <v>65</v>
      </c>
      <c r="G174" s="16" t="s">
        <v>16</v>
      </c>
      <c r="H174" s="16" t="s">
        <v>24</v>
      </c>
      <c r="I174" s="16" t="s">
        <v>73</v>
      </c>
    </row>
    <row r="175" spans="2:9" x14ac:dyDescent="0.25">
      <c r="B175" s="16" t="s">
        <v>33</v>
      </c>
      <c r="C175" s="17">
        <v>45050</v>
      </c>
      <c r="D175" s="16">
        <v>960480</v>
      </c>
      <c r="E175" s="16">
        <v>10263</v>
      </c>
      <c r="F175" s="18" t="s">
        <v>34</v>
      </c>
      <c r="G175" s="16" t="s">
        <v>16</v>
      </c>
      <c r="H175" s="16" t="s">
        <v>24</v>
      </c>
      <c r="I175" s="16" t="s">
        <v>61</v>
      </c>
    </row>
    <row r="176" spans="2:9" x14ac:dyDescent="0.25">
      <c r="B176" s="16" t="s">
        <v>22</v>
      </c>
      <c r="C176" s="17">
        <v>45050</v>
      </c>
      <c r="D176" s="16">
        <v>209269</v>
      </c>
      <c r="E176" s="16">
        <v>9813</v>
      </c>
      <c r="F176" s="18" t="s">
        <v>86</v>
      </c>
      <c r="G176" s="16" t="s">
        <v>4</v>
      </c>
      <c r="H176" s="16" t="s">
        <v>24</v>
      </c>
      <c r="I176" s="16" t="s">
        <v>61</v>
      </c>
    </row>
    <row r="177" spans="2:9" x14ac:dyDescent="0.25">
      <c r="B177" s="16" t="s">
        <v>22</v>
      </c>
      <c r="C177" s="17">
        <v>45050</v>
      </c>
      <c r="D177" s="16">
        <v>1019</v>
      </c>
      <c r="E177" s="16">
        <v>69924</v>
      </c>
      <c r="F177" s="18" t="s">
        <v>87</v>
      </c>
      <c r="G177" s="16" t="s">
        <v>6</v>
      </c>
      <c r="H177" s="16" t="s">
        <v>24</v>
      </c>
      <c r="I177" s="16" t="s">
        <v>61</v>
      </c>
    </row>
    <row r="178" spans="2:9" x14ac:dyDescent="0.25">
      <c r="B178" s="16" t="s">
        <v>33</v>
      </c>
      <c r="C178" s="17">
        <v>45050</v>
      </c>
      <c r="D178" s="16">
        <v>960484</v>
      </c>
      <c r="E178" s="16">
        <v>10263</v>
      </c>
      <c r="F178" s="18" t="s">
        <v>34</v>
      </c>
      <c r="G178" s="16" t="s">
        <v>4</v>
      </c>
      <c r="H178" s="16" t="s">
        <v>24</v>
      </c>
      <c r="I178" s="16" t="s">
        <v>17</v>
      </c>
    </row>
    <row r="179" spans="2:9" x14ac:dyDescent="0.25">
      <c r="B179" s="16" t="s">
        <v>33</v>
      </c>
      <c r="C179" s="17">
        <v>45050</v>
      </c>
      <c r="D179" s="16">
        <v>617942</v>
      </c>
      <c r="E179" s="16">
        <v>3610</v>
      </c>
      <c r="F179" s="18" t="s">
        <v>8</v>
      </c>
      <c r="G179" s="16" t="s">
        <v>6</v>
      </c>
      <c r="H179" s="16" t="s">
        <v>38</v>
      </c>
      <c r="I179" s="16" t="s">
        <v>17</v>
      </c>
    </row>
    <row r="180" spans="2:9" x14ac:dyDescent="0.25">
      <c r="B180" s="16" t="s">
        <v>26</v>
      </c>
      <c r="C180" s="17">
        <v>45050</v>
      </c>
      <c r="D180" s="16">
        <v>47270</v>
      </c>
      <c r="E180" s="16">
        <v>10348</v>
      </c>
      <c r="F180" s="18" t="s">
        <v>76</v>
      </c>
      <c r="G180" s="16" t="s">
        <v>7</v>
      </c>
      <c r="H180" s="16" t="s">
        <v>38</v>
      </c>
      <c r="I180" s="16" t="s">
        <v>17</v>
      </c>
    </row>
    <row r="181" spans="2:9" x14ac:dyDescent="0.25">
      <c r="B181" s="16" t="s">
        <v>33</v>
      </c>
      <c r="C181" s="17">
        <v>45050</v>
      </c>
      <c r="D181" s="16">
        <v>234394</v>
      </c>
      <c r="E181" s="16">
        <v>1175</v>
      </c>
      <c r="F181" s="18" t="s">
        <v>81</v>
      </c>
      <c r="G181" s="16" t="s">
        <v>7</v>
      </c>
      <c r="H181" s="16" t="s">
        <v>38</v>
      </c>
      <c r="I181" s="16" t="s">
        <v>17</v>
      </c>
    </row>
    <row r="182" spans="2:9" x14ac:dyDescent="0.25">
      <c r="B182" s="16" t="s">
        <v>40</v>
      </c>
      <c r="C182" s="17">
        <v>45050</v>
      </c>
      <c r="D182" s="16">
        <v>117557</v>
      </c>
      <c r="E182" s="16">
        <v>11604</v>
      </c>
      <c r="F182" s="18" t="s">
        <v>63</v>
      </c>
      <c r="G182" s="16" t="s">
        <v>6</v>
      </c>
      <c r="H182" s="16" t="s">
        <v>38</v>
      </c>
      <c r="I182" s="16" t="s">
        <v>17</v>
      </c>
    </row>
    <row r="183" spans="2:9" x14ac:dyDescent="0.25">
      <c r="B183" s="16" t="s">
        <v>40</v>
      </c>
      <c r="C183" s="17">
        <v>45052</v>
      </c>
      <c r="D183" s="16">
        <v>4307924</v>
      </c>
      <c r="E183" s="16">
        <v>1174</v>
      </c>
      <c r="F183" s="18" t="s">
        <v>100</v>
      </c>
      <c r="G183" s="16" t="s">
        <v>3</v>
      </c>
      <c r="H183" s="16" t="s">
        <v>24</v>
      </c>
      <c r="I183" s="16" t="s">
        <v>42</v>
      </c>
    </row>
    <row r="184" spans="2:9" x14ac:dyDescent="0.25">
      <c r="B184" s="16" t="s">
        <v>33</v>
      </c>
      <c r="C184" s="17">
        <v>45052</v>
      </c>
      <c r="D184" s="16">
        <v>618871</v>
      </c>
      <c r="E184" s="16">
        <v>3610</v>
      </c>
      <c r="F184" s="18" t="s">
        <v>8</v>
      </c>
      <c r="G184" s="16" t="s">
        <v>6</v>
      </c>
      <c r="H184" s="16" t="s">
        <v>38</v>
      </c>
      <c r="I184" s="16" t="s">
        <v>17</v>
      </c>
    </row>
    <row r="185" spans="2:9" x14ac:dyDescent="0.25">
      <c r="B185" s="16" t="s">
        <v>22</v>
      </c>
      <c r="C185" s="17">
        <v>45054</v>
      </c>
      <c r="D185" s="16">
        <v>43479</v>
      </c>
      <c r="E185" s="16">
        <v>70827</v>
      </c>
      <c r="F185" s="18" t="s">
        <v>106</v>
      </c>
      <c r="G185" s="16" t="s">
        <v>3</v>
      </c>
      <c r="H185" s="16" t="s">
        <v>45</v>
      </c>
      <c r="I185" s="16" t="s">
        <v>92</v>
      </c>
    </row>
    <row r="186" spans="2:9" x14ac:dyDescent="0.25">
      <c r="B186" s="16" t="s">
        <v>22</v>
      </c>
      <c r="C186" s="17">
        <v>45054</v>
      </c>
      <c r="D186" s="16">
        <v>43480</v>
      </c>
      <c r="E186" s="16">
        <v>70827</v>
      </c>
      <c r="F186" s="18" t="s">
        <v>106</v>
      </c>
      <c r="G186" s="16" t="s">
        <v>3</v>
      </c>
      <c r="H186" s="16" t="s">
        <v>45</v>
      </c>
      <c r="I186" s="16" t="s">
        <v>92</v>
      </c>
    </row>
    <row r="187" spans="2:9" x14ac:dyDescent="0.25">
      <c r="B187" s="16" t="s">
        <v>33</v>
      </c>
      <c r="C187" s="17">
        <v>45054</v>
      </c>
      <c r="D187" s="16">
        <v>43471</v>
      </c>
      <c r="E187" s="16">
        <v>70827</v>
      </c>
      <c r="F187" s="18" t="s">
        <v>106</v>
      </c>
      <c r="G187" s="16" t="s">
        <v>3</v>
      </c>
      <c r="H187" s="16" t="s">
        <v>45</v>
      </c>
      <c r="I187" s="16" t="s">
        <v>92</v>
      </c>
    </row>
    <row r="188" spans="2:9" x14ac:dyDescent="0.25">
      <c r="B188" s="16" t="s">
        <v>33</v>
      </c>
      <c r="C188" s="17">
        <v>45054</v>
      </c>
      <c r="D188" s="16">
        <v>43472</v>
      </c>
      <c r="E188" s="16">
        <v>70827</v>
      </c>
      <c r="F188" s="18" t="s">
        <v>106</v>
      </c>
      <c r="G188" s="16" t="s">
        <v>3</v>
      </c>
      <c r="H188" s="16" t="s">
        <v>45</v>
      </c>
      <c r="I188" s="16" t="s">
        <v>92</v>
      </c>
    </row>
    <row r="189" spans="2:9" x14ac:dyDescent="0.25">
      <c r="B189" s="16" t="s">
        <v>33</v>
      </c>
      <c r="C189" s="17">
        <v>45054</v>
      </c>
      <c r="D189" s="16">
        <v>43452</v>
      </c>
      <c r="E189" s="16">
        <v>70827</v>
      </c>
      <c r="F189" s="18" t="s">
        <v>106</v>
      </c>
      <c r="G189" s="16" t="s">
        <v>3</v>
      </c>
      <c r="H189" s="16" t="s">
        <v>45</v>
      </c>
      <c r="I189" s="16" t="s">
        <v>92</v>
      </c>
    </row>
    <row r="190" spans="2:9" x14ac:dyDescent="0.25">
      <c r="B190" s="16" t="s">
        <v>40</v>
      </c>
      <c r="C190" s="17">
        <v>45054</v>
      </c>
      <c r="D190" s="16">
        <v>43476</v>
      </c>
      <c r="E190" s="16">
        <v>70827</v>
      </c>
      <c r="F190" s="18" t="s">
        <v>106</v>
      </c>
      <c r="G190" s="16" t="s">
        <v>3</v>
      </c>
      <c r="H190" s="16" t="s">
        <v>45</v>
      </c>
      <c r="I190" s="16" t="s">
        <v>61</v>
      </c>
    </row>
    <row r="191" spans="2:9" x14ac:dyDescent="0.25">
      <c r="B191" s="16" t="s">
        <v>40</v>
      </c>
      <c r="C191" s="17">
        <v>45054</v>
      </c>
      <c r="D191" s="16">
        <v>1115010</v>
      </c>
      <c r="E191" s="16">
        <v>9516</v>
      </c>
      <c r="F191" s="18" t="s">
        <v>110</v>
      </c>
      <c r="G191" s="16" t="s">
        <v>1</v>
      </c>
      <c r="H191" s="16" t="s">
        <v>45</v>
      </c>
      <c r="I191" s="16" t="s">
        <v>17</v>
      </c>
    </row>
    <row r="192" spans="2:9" x14ac:dyDescent="0.25">
      <c r="B192" s="16" t="s">
        <v>33</v>
      </c>
      <c r="C192" s="17">
        <v>45054</v>
      </c>
      <c r="D192" s="16">
        <v>2222614</v>
      </c>
      <c r="E192" s="16">
        <v>9456</v>
      </c>
      <c r="F192" s="18" t="s">
        <v>113</v>
      </c>
      <c r="G192" s="16" t="s">
        <v>0</v>
      </c>
      <c r="H192" s="16" t="s">
        <v>71</v>
      </c>
      <c r="I192" s="16" t="s">
        <v>17</v>
      </c>
    </row>
    <row r="193" spans="2:9" x14ac:dyDescent="0.25">
      <c r="B193" s="16" t="s">
        <v>40</v>
      </c>
      <c r="C193" s="17">
        <v>45054</v>
      </c>
      <c r="D193" s="16">
        <v>970212</v>
      </c>
      <c r="E193" s="16">
        <v>9434</v>
      </c>
      <c r="F193" s="18" t="s">
        <v>23</v>
      </c>
      <c r="G193" s="16" t="s">
        <v>1</v>
      </c>
      <c r="H193" s="16" t="s">
        <v>71</v>
      </c>
      <c r="I193" s="16" t="s">
        <v>115</v>
      </c>
    </row>
    <row r="194" spans="2:9" x14ac:dyDescent="0.25">
      <c r="B194" s="16" t="s">
        <v>40</v>
      </c>
      <c r="C194" s="17">
        <v>45054</v>
      </c>
      <c r="D194" s="16">
        <v>970211</v>
      </c>
      <c r="E194" s="16">
        <v>9434</v>
      </c>
      <c r="F194" s="18" t="s">
        <v>23</v>
      </c>
      <c r="G194" s="16" t="s">
        <v>1</v>
      </c>
      <c r="H194" s="16" t="s">
        <v>71</v>
      </c>
      <c r="I194" s="16" t="s">
        <v>115</v>
      </c>
    </row>
    <row r="195" spans="2:9" x14ac:dyDescent="0.25">
      <c r="B195" s="16" t="s">
        <v>40</v>
      </c>
      <c r="C195" s="17">
        <v>45054</v>
      </c>
      <c r="D195" s="16">
        <v>970210</v>
      </c>
      <c r="E195" s="16">
        <v>9434</v>
      </c>
      <c r="F195" s="18" t="s">
        <v>23</v>
      </c>
      <c r="G195" s="16" t="s">
        <v>1</v>
      </c>
      <c r="H195" s="16" t="s">
        <v>71</v>
      </c>
      <c r="I195" s="16" t="s">
        <v>115</v>
      </c>
    </row>
    <row r="196" spans="2:9" x14ac:dyDescent="0.25">
      <c r="B196" s="16" t="s">
        <v>40</v>
      </c>
      <c r="C196" s="17">
        <v>45054</v>
      </c>
      <c r="D196" s="16">
        <v>970213</v>
      </c>
      <c r="E196" s="16">
        <v>9434</v>
      </c>
      <c r="F196" s="18" t="s">
        <v>23</v>
      </c>
      <c r="G196" s="16" t="s">
        <v>1</v>
      </c>
      <c r="H196" s="16" t="s">
        <v>71</v>
      </c>
      <c r="I196" s="16" t="s">
        <v>115</v>
      </c>
    </row>
    <row r="197" spans="2:9" x14ac:dyDescent="0.25">
      <c r="B197" s="16" t="s">
        <v>40</v>
      </c>
      <c r="C197" s="17">
        <v>45054</v>
      </c>
      <c r="D197" s="16">
        <v>970214</v>
      </c>
      <c r="E197" s="16">
        <v>9434</v>
      </c>
      <c r="F197" s="18" t="s">
        <v>23</v>
      </c>
      <c r="G197" s="16" t="s">
        <v>1</v>
      </c>
      <c r="H197" s="16" t="s">
        <v>71</v>
      </c>
      <c r="I197" s="16" t="s">
        <v>115</v>
      </c>
    </row>
    <row r="198" spans="2:9" x14ac:dyDescent="0.25">
      <c r="B198" s="16" t="s">
        <v>40</v>
      </c>
      <c r="C198" s="17">
        <v>45054</v>
      </c>
      <c r="D198" s="16">
        <v>970215</v>
      </c>
      <c r="E198" s="16">
        <v>9434</v>
      </c>
      <c r="F198" s="18" t="s">
        <v>23</v>
      </c>
      <c r="G198" s="16" t="s">
        <v>1</v>
      </c>
      <c r="H198" s="16" t="s">
        <v>71</v>
      </c>
      <c r="I198" s="16" t="s">
        <v>115</v>
      </c>
    </row>
    <row r="199" spans="2:9" x14ac:dyDescent="0.25">
      <c r="B199" s="16" t="s">
        <v>40</v>
      </c>
      <c r="C199" s="17">
        <v>45054</v>
      </c>
      <c r="D199" s="16">
        <v>970209</v>
      </c>
      <c r="E199" s="16">
        <v>9434</v>
      </c>
      <c r="F199" s="18" t="s">
        <v>23</v>
      </c>
      <c r="G199" s="16" t="s">
        <v>1</v>
      </c>
      <c r="H199" s="16" t="s">
        <v>71</v>
      </c>
      <c r="I199" s="16" t="s">
        <v>115</v>
      </c>
    </row>
    <row r="200" spans="2:9" x14ac:dyDescent="0.25">
      <c r="B200" s="16" t="s">
        <v>2</v>
      </c>
      <c r="C200" s="17">
        <v>45054</v>
      </c>
      <c r="D200" s="16">
        <v>945515</v>
      </c>
      <c r="E200" s="16">
        <v>9675</v>
      </c>
      <c r="F200" s="18" t="s">
        <v>60</v>
      </c>
      <c r="G200" s="16" t="s">
        <v>1</v>
      </c>
      <c r="H200" s="16" t="s">
        <v>36</v>
      </c>
      <c r="I200" s="16" t="s">
        <v>61</v>
      </c>
    </row>
    <row r="201" spans="2:9" x14ac:dyDescent="0.25">
      <c r="B201" s="16" t="s">
        <v>40</v>
      </c>
      <c r="C201" s="17">
        <v>45054</v>
      </c>
      <c r="D201" s="16">
        <v>945506</v>
      </c>
      <c r="E201" s="16">
        <v>9675</v>
      </c>
      <c r="F201" s="18" t="s">
        <v>60</v>
      </c>
      <c r="G201" s="16" t="s">
        <v>1</v>
      </c>
      <c r="H201" s="16" t="s">
        <v>36</v>
      </c>
      <c r="I201" s="16" t="s">
        <v>25</v>
      </c>
    </row>
    <row r="202" spans="2:9" x14ac:dyDescent="0.25">
      <c r="B202" s="16" t="s">
        <v>26</v>
      </c>
      <c r="C202" s="17">
        <v>45054</v>
      </c>
      <c r="D202" s="16">
        <v>14486</v>
      </c>
      <c r="E202" s="16">
        <v>70485</v>
      </c>
      <c r="F202" s="18" t="s">
        <v>101</v>
      </c>
      <c r="G202" s="16" t="s">
        <v>16</v>
      </c>
      <c r="H202" s="16" t="s">
        <v>49</v>
      </c>
      <c r="I202" s="16" t="s">
        <v>17</v>
      </c>
    </row>
    <row r="203" spans="2:9" x14ac:dyDescent="0.25">
      <c r="B203" s="16" t="s">
        <v>2</v>
      </c>
      <c r="C203" s="17">
        <v>45054</v>
      </c>
      <c r="D203" s="16">
        <v>153698</v>
      </c>
      <c r="E203" s="16">
        <v>2493</v>
      </c>
      <c r="F203" s="18" t="s">
        <v>108</v>
      </c>
      <c r="G203" s="16" t="s">
        <v>7</v>
      </c>
      <c r="H203" s="16" t="s">
        <v>49</v>
      </c>
      <c r="I203" s="16" t="s">
        <v>17</v>
      </c>
    </row>
    <row r="204" spans="2:9" x14ac:dyDescent="0.25">
      <c r="B204" s="16" t="s">
        <v>22</v>
      </c>
      <c r="C204" s="17">
        <v>45054</v>
      </c>
      <c r="D204" s="16">
        <v>1114906</v>
      </c>
      <c r="E204" s="16">
        <v>9516</v>
      </c>
      <c r="F204" s="18" t="s">
        <v>110</v>
      </c>
      <c r="G204" s="16" t="s">
        <v>1</v>
      </c>
      <c r="H204" s="16" t="s">
        <v>49</v>
      </c>
      <c r="I204" s="16" t="s">
        <v>25</v>
      </c>
    </row>
    <row r="205" spans="2:9" x14ac:dyDescent="0.25">
      <c r="B205" s="16" t="s">
        <v>26</v>
      </c>
      <c r="C205" s="17">
        <v>45054</v>
      </c>
      <c r="D205" s="16">
        <v>551311</v>
      </c>
      <c r="E205" s="16">
        <v>9500</v>
      </c>
      <c r="F205" s="18" t="s">
        <v>112</v>
      </c>
      <c r="G205" s="16" t="s">
        <v>16</v>
      </c>
      <c r="H205" s="16" t="s">
        <v>49</v>
      </c>
      <c r="I205" s="16" t="s">
        <v>17</v>
      </c>
    </row>
    <row r="206" spans="2:9" x14ac:dyDescent="0.25">
      <c r="B206" s="16" t="s">
        <v>22</v>
      </c>
      <c r="C206" s="17">
        <v>45054</v>
      </c>
      <c r="D206" s="16">
        <v>551318</v>
      </c>
      <c r="E206" s="16">
        <v>9500</v>
      </c>
      <c r="F206" s="18" t="s">
        <v>112</v>
      </c>
      <c r="G206" s="16" t="s">
        <v>16</v>
      </c>
      <c r="H206" s="16" t="s">
        <v>49</v>
      </c>
      <c r="I206" s="16" t="s">
        <v>17</v>
      </c>
    </row>
    <row r="207" spans="2:9" x14ac:dyDescent="0.25">
      <c r="B207" s="16" t="s">
        <v>33</v>
      </c>
      <c r="C207" s="17">
        <v>45054</v>
      </c>
      <c r="D207" s="16">
        <v>80250</v>
      </c>
      <c r="E207" s="16">
        <v>64319</v>
      </c>
      <c r="F207" s="18" t="s">
        <v>78</v>
      </c>
      <c r="G207" s="16" t="s">
        <v>52</v>
      </c>
      <c r="H207" s="16" t="s">
        <v>28</v>
      </c>
      <c r="I207" s="16" t="s">
        <v>29</v>
      </c>
    </row>
    <row r="208" spans="2:9" x14ac:dyDescent="0.25">
      <c r="B208" s="16" t="s">
        <v>33</v>
      </c>
      <c r="C208" s="17">
        <v>45054</v>
      </c>
      <c r="D208" s="16">
        <v>80251</v>
      </c>
      <c r="E208" s="16">
        <v>64319</v>
      </c>
      <c r="F208" s="18" t="s">
        <v>78</v>
      </c>
      <c r="G208" s="16" t="s">
        <v>52</v>
      </c>
      <c r="H208" s="16" t="s">
        <v>28</v>
      </c>
      <c r="I208" s="16" t="s">
        <v>29</v>
      </c>
    </row>
    <row r="209" spans="2:9" x14ac:dyDescent="0.25">
      <c r="B209" s="16" t="s">
        <v>33</v>
      </c>
      <c r="C209" s="17">
        <v>45054</v>
      </c>
      <c r="D209" s="16">
        <v>80252</v>
      </c>
      <c r="E209" s="16">
        <v>64319</v>
      </c>
      <c r="F209" s="18" t="s">
        <v>78</v>
      </c>
      <c r="G209" s="16" t="s">
        <v>52</v>
      </c>
      <c r="H209" s="16" t="s">
        <v>28</v>
      </c>
      <c r="I209" s="16" t="s">
        <v>29</v>
      </c>
    </row>
    <row r="210" spans="2:9" x14ac:dyDescent="0.25">
      <c r="B210" s="16" t="s">
        <v>33</v>
      </c>
      <c r="C210" s="17">
        <v>45054</v>
      </c>
      <c r="D210" s="16">
        <v>80253</v>
      </c>
      <c r="E210" s="16">
        <v>64319</v>
      </c>
      <c r="F210" s="18" t="s">
        <v>78</v>
      </c>
      <c r="G210" s="16" t="s">
        <v>52</v>
      </c>
      <c r="H210" s="16" t="s">
        <v>28</v>
      </c>
      <c r="I210" s="16" t="s">
        <v>29</v>
      </c>
    </row>
    <row r="211" spans="2:9" x14ac:dyDescent="0.25">
      <c r="B211" s="16" t="s">
        <v>33</v>
      </c>
      <c r="C211" s="17">
        <v>45054</v>
      </c>
      <c r="D211" s="16">
        <v>80254</v>
      </c>
      <c r="E211" s="16">
        <v>64319</v>
      </c>
      <c r="F211" s="18" t="s">
        <v>78</v>
      </c>
      <c r="G211" s="16" t="s">
        <v>52</v>
      </c>
      <c r="H211" s="16" t="s">
        <v>28</v>
      </c>
      <c r="I211" s="16" t="s">
        <v>29</v>
      </c>
    </row>
    <row r="212" spans="2:9" x14ac:dyDescent="0.25">
      <c r="B212" s="16" t="s">
        <v>26</v>
      </c>
      <c r="C212" s="17">
        <v>45054</v>
      </c>
      <c r="D212" s="16">
        <v>80238</v>
      </c>
      <c r="E212" s="16">
        <v>64319</v>
      </c>
      <c r="F212" s="18" t="s">
        <v>78</v>
      </c>
      <c r="G212" s="16" t="s">
        <v>3</v>
      </c>
      <c r="H212" s="16" t="s">
        <v>28</v>
      </c>
      <c r="I212" s="16" t="s">
        <v>61</v>
      </c>
    </row>
    <row r="213" spans="2:9" x14ac:dyDescent="0.25">
      <c r="B213" s="16" t="s">
        <v>26</v>
      </c>
      <c r="C213" s="17">
        <v>45054</v>
      </c>
      <c r="D213" s="16">
        <v>80239</v>
      </c>
      <c r="E213" s="16">
        <v>64319</v>
      </c>
      <c r="F213" s="18" t="s">
        <v>78</v>
      </c>
      <c r="G213" s="16" t="s">
        <v>3</v>
      </c>
      <c r="H213" s="16" t="s">
        <v>28</v>
      </c>
      <c r="I213" s="16" t="s">
        <v>61</v>
      </c>
    </row>
    <row r="214" spans="2:9" x14ac:dyDescent="0.25">
      <c r="B214" s="16" t="s">
        <v>26</v>
      </c>
      <c r="C214" s="17">
        <v>45054</v>
      </c>
      <c r="D214" s="16">
        <v>80240</v>
      </c>
      <c r="E214" s="16">
        <v>64319</v>
      </c>
      <c r="F214" s="18" t="s">
        <v>78</v>
      </c>
      <c r="G214" s="16" t="s">
        <v>3</v>
      </c>
      <c r="H214" s="16" t="s">
        <v>28</v>
      </c>
      <c r="I214" s="16" t="s">
        <v>61</v>
      </c>
    </row>
    <row r="215" spans="2:9" x14ac:dyDescent="0.25">
      <c r="B215" s="16" t="s">
        <v>26</v>
      </c>
      <c r="C215" s="17">
        <v>45054</v>
      </c>
      <c r="D215" s="16">
        <v>80241</v>
      </c>
      <c r="E215" s="16">
        <v>64319</v>
      </c>
      <c r="F215" s="18" t="s">
        <v>78</v>
      </c>
      <c r="G215" s="16" t="s">
        <v>3</v>
      </c>
      <c r="H215" s="16" t="s">
        <v>28</v>
      </c>
      <c r="I215" s="16" t="s">
        <v>61</v>
      </c>
    </row>
    <row r="216" spans="2:9" x14ac:dyDescent="0.25">
      <c r="B216" s="16" t="s">
        <v>26</v>
      </c>
      <c r="C216" s="17">
        <v>45054</v>
      </c>
      <c r="D216" s="16">
        <v>80242</v>
      </c>
      <c r="E216" s="16">
        <v>64319</v>
      </c>
      <c r="F216" s="18" t="s">
        <v>78</v>
      </c>
      <c r="G216" s="16" t="s">
        <v>3</v>
      </c>
      <c r="H216" s="16" t="s">
        <v>28</v>
      </c>
      <c r="I216" s="16" t="s">
        <v>61</v>
      </c>
    </row>
    <row r="217" spans="2:9" x14ac:dyDescent="0.25">
      <c r="B217" s="16" t="s">
        <v>26</v>
      </c>
      <c r="C217" s="17">
        <v>45054</v>
      </c>
      <c r="D217" s="16">
        <v>80243</v>
      </c>
      <c r="E217" s="16">
        <v>64319</v>
      </c>
      <c r="F217" s="18" t="s">
        <v>78</v>
      </c>
      <c r="G217" s="16" t="s">
        <v>3</v>
      </c>
      <c r="H217" s="16" t="s">
        <v>28</v>
      </c>
      <c r="I217" s="16" t="s">
        <v>61</v>
      </c>
    </row>
    <row r="218" spans="2:9" x14ac:dyDescent="0.25">
      <c r="B218" s="16" t="s">
        <v>22</v>
      </c>
      <c r="C218" s="17">
        <v>45054</v>
      </c>
      <c r="D218" s="16">
        <v>117318</v>
      </c>
      <c r="E218" s="16">
        <v>9616</v>
      </c>
      <c r="F218" s="18" t="s">
        <v>104</v>
      </c>
      <c r="G218" s="16" t="s">
        <v>3</v>
      </c>
      <c r="H218" s="16" t="s">
        <v>46</v>
      </c>
      <c r="I218" s="16" t="s">
        <v>17</v>
      </c>
    </row>
    <row r="219" spans="2:9" x14ac:dyDescent="0.25">
      <c r="B219" s="16" t="s">
        <v>26</v>
      </c>
      <c r="C219" s="17">
        <v>45054</v>
      </c>
      <c r="D219" s="16">
        <v>295856</v>
      </c>
      <c r="E219" s="16">
        <v>68353</v>
      </c>
      <c r="F219" s="18" t="s">
        <v>116</v>
      </c>
      <c r="G219" s="16" t="s">
        <v>16</v>
      </c>
      <c r="H219" s="16" t="s">
        <v>46</v>
      </c>
      <c r="I219" s="16" t="s">
        <v>17</v>
      </c>
    </row>
    <row r="220" spans="2:9" x14ac:dyDescent="0.25">
      <c r="B220" s="16" t="s">
        <v>26</v>
      </c>
      <c r="C220" s="17">
        <v>45054</v>
      </c>
      <c r="D220" s="16">
        <v>970278</v>
      </c>
      <c r="E220" s="16">
        <v>9434</v>
      </c>
      <c r="F220" s="18" t="s">
        <v>23</v>
      </c>
      <c r="G220" s="16" t="s">
        <v>1</v>
      </c>
      <c r="H220" s="16" t="s">
        <v>75</v>
      </c>
      <c r="I220" s="16" t="s">
        <v>25</v>
      </c>
    </row>
    <row r="221" spans="2:9" x14ac:dyDescent="0.25">
      <c r="B221" s="16" t="s">
        <v>2</v>
      </c>
      <c r="C221" s="17">
        <v>45054</v>
      </c>
      <c r="D221" s="16">
        <v>2096626</v>
      </c>
      <c r="E221" s="16">
        <v>9459</v>
      </c>
      <c r="F221" s="18" t="s">
        <v>105</v>
      </c>
      <c r="G221" s="16" t="s">
        <v>5</v>
      </c>
      <c r="H221" s="16" t="s">
        <v>24</v>
      </c>
      <c r="I221" s="16" t="s">
        <v>61</v>
      </c>
    </row>
    <row r="222" spans="2:9" x14ac:dyDescent="0.25">
      <c r="B222" s="16" t="s">
        <v>33</v>
      </c>
      <c r="C222" s="17">
        <v>45054</v>
      </c>
      <c r="D222" s="16">
        <v>105373</v>
      </c>
      <c r="E222" s="16">
        <v>63190</v>
      </c>
      <c r="F222" s="18" t="s">
        <v>109</v>
      </c>
      <c r="G222" s="16" t="s">
        <v>3</v>
      </c>
      <c r="H222" s="16" t="s">
        <v>24</v>
      </c>
      <c r="I222" s="16" t="s">
        <v>61</v>
      </c>
    </row>
    <row r="223" spans="2:9" x14ac:dyDescent="0.25">
      <c r="B223" s="16" t="s">
        <v>26</v>
      </c>
      <c r="C223" s="17">
        <v>45054</v>
      </c>
      <c r="D223" s="16">
        <v>13112</v>
      </c>
      <c r="E223" s="16">
        <v>63651</v>
      </c>
      <c r="F223" s="18" t="s">
        <v>27</v>
      </c>
      <c r="G223" s="16" t="s">
        <v>52</v>
      </c>
      <c r="H223" s="16" t="s">
        <v>102</v>
      </c>
      <c r="I223" s="16" t="s">
        <v>103</v>
      </c>
    </row>
    <row r="224" spans="2:9" x14ac:dyDescent="0.25">
      <c r="B224" s="16" t="s">
        <v>26</v>
      </c>
      <c r="C224" s="17">
        <v>45054</v>
      </c>
      <c r="D224" s="16">
        <v>117319</v>
      </c>
      <c r="E224" s="16">
        <v>9616</v>
      </c>
      <c r="F224" s="18" t="s">
        <v>104</v>
      </c>
      <c r="G224" s="16" t="s">
        <v>3</v>
      </c>
      <c r="H224" s="16" t="s">
        <v>102</v>
      </c>
      <c r="I224" s="16" t="s">
        <v>17</v>
      </c>
    </row>
    <row r="225" spans="2:9" x14ac:dyDescent="0.25">
      <c r="B225" s="16" t="s">
        <v>2</v>
      </c>
      <c r="C225" s="17">
        <v>45054</v>
      </c>
      <c r="D225" s="16">
        <v>43482</v>
      </c>
      <c r="E225" s="16">
        <v>70827</v>
      </c>
      <c r="F225" s="18" t="s">
        <v>106</v>
      </c>
      <c r="G225" s="16" t="s">
        <v>0</v>
      </c>
      <c r="H225" s="16" t="s">
        <v>102</v>
      </c>
      <c r="I225" s="16" t="s">
        <v>107</v>
      </c>
    </row>
    <row r="226" spans="2:9" x14ac:dyDescent="0.25">
      <c r="B226" s="16" t="s">
        <v>2</v>
      </c>
      <c r="C226" s="17">
        <v>45054</v>
      </c>
      <c r="D226" s="16">
        <v>43483</v>
      </c>
      <c r="E226" s="16">
        <v>70827</v>
      </c>
      <c r="F226" s="18" t="s">
        <v>106</v>
      </c>
      <c r="G226" s="16" t="s">
        <v>0</v>
      </c>
      <c r="H226" s="16" t="s">
        <v>102</v>
      </c>
      <c r="I226" s="16" t="s">
        <v>107</v>
      </c>
    </row>
    <row r="227" spans="2:9" x14ac:dyDescent="0.25">
      <c r="B227" s="16" t="s">
        <v>2</v>
      </c>
      <c r="C227" s="17">
        <v>45054</v>
      </c>
      <c r="D227" s="16">
        <v>43484</v>
      </c>
      <c r="E227" s="16">
        <v>70827</v>
      </c>
      <c r="F227" s="18" t="s">
        <v>106</v>
      </c>
      <c r="G227" s="16" t="s">
        <v>0</v>
      </c>
      <c r="H227" s="16" t="s">
        <v>102</v>
      </c>
      <c r="I227" s="16" t="s">
        <v>107</v>
      </c>
    </row>
    <row r="228" spans="2:9" x14ac:dyDescent="0.25">
      <c r="B228" s="16" t="s">
        <v>40</v>
      </c>
      <c r="C228" s="17">
        <v>45054</v>
      </c>
      <c r="D228" s="16">
        <v>117700</v>
      </c>
      <c r="E228" s="16">
        <v>11604</v>
      </c>
      <c r="F228" s="18" t="s">
        <v>63</v>
      </c>
      <c r="G228" s="16" t="s">
        <v>6</v>
      </c>
      <c r="H228" s="16" t="s">
        <v>114</v>
      </c>
      <c r="I228" s="16" t="s">
        <v>17</v>
      </c>
    </row>
    <row r="229" spans="2:9" x14ac:dyDescent="0.25">
      <c r="B229" s="16" t="s">
        <v>33</v>
      </c>
      <c r="C229" s="17">
        <v>45054</v>
      </c>
      <c r="D229" s="16">
        <v>619372</v>
      </c>
      <c r="E229" s="16">
        <v>3610</v>
      </c>
      <c r="F229" s="18" t="s">
        <v>8</v>
      </c>
      <c r="G229" s="16" t="s">
        <v>6</v>
      </c>
      <c r="H229" s="16" t="s">
        <v>38</v>
      </c>
      <c r="I229" s="16" t="s">
        <v>17</v>
      </c>
    </row>
    <row r="230" spans="2:9" x14ac:dyDescent="0.25">
      <c r="B230" s="16" t="s">
        <v>26</v>
      </c>
      <c r="C230" s="17">
        <v>45054</v>
      </c>
      <c r="D230" s="16">
        <v>179578</v>
      </c>
      <c r="E230" s="16">
        <v>9016</v>
      </c>
      <c r="F230" s="18" t="s">
        <v>111</v>
      </c>
      <c r="G230" s="16" t="s">
        <v>7</v>
      </c>
      <c r="H230" s="16" t="s">
        <v>38</v>
      </c>
      <c r="I230" s="16" t="s">
        <v>17</v>
      </c>
    </row>
    <row r="231" spans="2:9" x14ac:dyDescent="0.25">
      <c r="B231" s="16" t="s">
        <v>2</v>
      </c>
      <c r="C231" s="17">
        <v>45055</v>
      </c>
      <c r="D231" s="16">
        <v>19195</v>
      </c>
      <c r="E231" s="16">
        <v>9510</v>
      </c>
      <c r="F231" s="18" t="s">
        <v>48</v>
      </c>
      <c r="G231" s="16" t="s">
        <v>3</v>
      </c>
      <c r="H231" s="16" t="s">
        <v>97</v>
      </c>
      <c r="I231" s="16" t="s">
        <v>17</v>
      </c>
    </row>
    <row r="232" spans="2:9" x14ac:dyDescent="0.25">
      <c r="B232" s="16" t="s">
        <v>2</v>
      </c>
      <c r="C232" s="17">
        <v>45055</v>
      </c>
      <c r="D232" s="16">
        <v>19193</v>
      </c>
      <c r="E232" s="16">
        <v>9510</v>
      </c>
      <c r="F232" s="18" t="s">
        <v>48</v>
      </c>
      <c r="G232" s="16" t="s">
        <v>3</v>
      </c>
      <c r="H232" s="16" t="s">
        <v>97</v>
      </c>
      <c r="I232" s="16" t="s">
        <v>17</v>
      </c>
    </row>
    <row r="233" spans="2:9" x14ac:dyDescent="0.25">
      <c r="B233" s="16" t="s">
        <v>26</v>
      </c>
      <c r="C233" s="17">
        <v>45055</v>
      </c>
      <c r="D233" s="16">
        <v>144655</v>
      </c>
      <c r="E233" s="16">
        <v>10440</v>
      </c>
      <c r="F233" s="18" t="s">
        <v>37</v>
      </c>
      <c r="G233" s="16" t="s">
        <v>1</v>
      </c>
      <c r="H233" s="16" t="s">
        <v>71</v>
      </c>
      <c r="I233" s="16" t="s">
        <v>17</v>
      </c>
    </row>
    <row r="234" spans="2:9" x14ac:dyDescent="0.25">
      <c r="B234" s="16" t="s">
        <v>40</v>
      </c>
      <c r="C234" s="17">
        <v>45055</v>
      </c>
      <c r="D234" s="16">
        <v>918464</v>
      </c>
      <c r="E234" s="16">
        <v>15116</v>
      </c>
      <c r="F234" s="18" t="s">
        <v>50</v>
      </c>
      <c r="G234" s="16" t="s">
        <v>1</v>
      </c>
      <c r="H234" s="16" t="s">
        <v>71</v>
      </c>
      <c r="I234" s="16" t="s">
        <v>17</v>
      </c>
    </row>
    <row r="235" spans="2:9" x14ac:dyDescent="0.25">
      <c r="B235" s="16" t="s">
        <v>40</v>
      </c>
      <c r="C235" s="17">
        <v>45055</v>
      </c>
      <c r="D235" s="16">
        <v>841292</v>
      </c>
      <c r="E235" s="16">
        <v>9394</v>
      </c>
      <c r="F235" s="18" t="s">
        <v>126</v>
      </c>
      <c r="G235" s="16" t="s">
        <v>3</v>
      </c>
      <c r="H235" s="16" t="s">
        <v>71</v>
      </c>
      <c r="I235" s="16" t="s">
        <v>17</v>
      </c>
    </row>
    <row r="236" spans="2:9" x14ac:dyDescent="0.25">
      <c r="B236" s="16" t="s">
        <v>40</v>
      </c>
      <c r="C236" s="17">
        <v>45055</v>
      </c>
      <c r="D236" s="16">
        <v>841291</v>
      </c>
      <c r="E236" s="16">
        <v>9394</v>
      </c>
      <c r="F236" s="18" t="s">
        <v>126</v>
      </c>
      <c r="G236" s="16" t="s">
        <v>3</v>
      </c>
      <c r="H236" s="16" t="s">
        <v>71</v>
      </c>
      <c r="I236" s="16" t="s">
        <v>17</v>
      </c>
    </row>
    <row r="237" spans="2:9" x14ac:dyDescent="0.25">
      <c r="B237" s="16" t="s">
        <v>33</v>
      </c>
      <c r="C237" s="17">
        <v>45055</v>
      </c>
      <c r="D237" s="16">
        <v>468155</v>
      </c>
      <c r="E237" s="16">
        <v>9417</v>
      </c>
      <c r="F237" s="18" t="s">
        <v>72</v>
      </c>
      <c r="G237" s="16" t="s">
        <v>5</v>
      </c>
      <c r="H237" s="16" t="s">
        <v>71</v>
      </c>
      <c r="I237" s="16" t="s">
        <v>17</v>
      </c>
    </row>
    <row r="238" spans="2:9" x14ac:dyDescent="0.25">
      <c r="B238" s="16" t="s">
        <v>33</v>
      </c>
      <c r="C238" s="17">
        <v>45055</v>
      </c>
      <c r="D238" s="16">
        <v>3982</v>
      </c>
      <c r="E238" s="16">
        <v>14641</v>
      </c>
      <c r="F238" s="18" t="s">
        <v>128</v>
      </c>
      <c r="G238" s="16" t="s">
        <v>3</v>
      </c>
      <c r="H238" s="16" t="s">
        <v>71</v>
      </c>
      <c r="I238" s="16" t="s">
        <v>17</v>
      </c>
    </row>
    <row r="239" spans="2:9" x14ac:dyDescent="0.25">
      <c r="B239" s="16" t="s">
        <v>2</v>
      </c>
      <c r="C239" s="17">
        <v>45055</v>
      </c>
      <c r="D239" s="16">
        <v>906621</v>
      </c>
      <c r="E239" s="16">
        <v>9398</v>
      </c>
      <c r="F239" s="18" t="s">
        <v>65</v>
      </c>
      <c r="G239" s="16" t="s">
        <v>16</v>
      </c>
      <c r="H239" s="16" t="s">
        <v>36</v>
      </c>
      <c r="I239" s="16" t="s">
        <v>61</v>
      </c>
    </row>
    <row r="240" spans="2:9" x14ac:dyDescent="0.25">
      <c r="B240" s="16" t="s">
        <v>2</v>
      </c>
      <c r="C240" s="17">
        <v>45055</v>
      </c>
      <c r="D240" s="16">
        <v>559453</v>
      </c>
      <c r="E240" s="16">
        <v>2039</v>
      </c>
      <c r="F240" s="18" t="s">
        <v>122</v>
      </c>
      <c r="G240" s="16" t="s">
        <v>7</v>
      </c>
      <c r="H240" s="16" t="s">
        <v>36</v>
      </c>
      <c r="I240" s="16" t="s">
        <v>123</v>
      </c>
    </row>
    <row r="241" spans="2:9" x14ac:dyDescent="0.25">
      <c r="B241" s="16" t="s">
        <v>33</v>
      </c>
      <c r="C241" s="17">
        <v>45055</v>
      </c>
      <c r="D241" s="16">
        <v>962378</v>
      </c>
      <c r="E241" s="16">
        <v>10263</v>
      </c>
      <c r="F241" s="18" t="s">
        <v>34</v>
      </c>
      <c r="G241" s="16" t="s">
        <v>16</v>
      </c>
      <c r="H241" s="16" t="s">
        <v>36</v>
      </c>
      <c r="I241" s="16" t="s">
        <v>61</v>
      </c>
    </row>
    <row r="242" spans="2:9" x14ac:dyDescent="0.25">
      <c r="B242" s="16" t="s">
        <v>22</v>
      </c>
      <c r="C242" s="17">
        <v>45055</v>
      </c>
      <c r="D242" s="16">
        <v>8995</v>
      </c>
      <c r="E242" s="16">
        <v>66224</v>
      </c>
      <c r="F242" s="18" t="s">
        <v>121</v>
      </c>
      <c r="G242" s="16" t="s">
        <v>1</v>
      </c>
      <c r="H242" s="16" t="s">
        <v>31</v>
      </c>
      <c r="I242" s="16" t="s">
        <v>32</v>
      </c>
    </row>
    <row r="243" spans="2:9" x14ac:dyDescent="0.25">
      <c r="B243" s="16" t="s">
        <v>40</v>
      </c>
      <c r="C243" s="17">
        <v>45055</v>
      </c>
      <c r="D243" s="16">
        <v>12080</v>
      </c>
      <c r="E243" s="16">
        <v>71066</v>
      </c>
      <c r="F243" s="18" t="s">
        <v>127</v>
      </c>
      <c r="G243" s="16" t="s">
        <v>4</v>
      </c>
      <c r="H243" s="16" t="s">
        <v>31</v>
      </c>
      <c r="I243" s="16" t="s">
        <v>32</v>
      </c>
    </row>
    <row r="244" spans="2:9" x14ac:dyDescent="0.25">
      <c r="B244" s="16" t="s">
        <v>2</v>
      </c>
      <c r="C244" s="17">
        <v>45055</v>
      </c>
      <c r="D244" s="16">
        <v>609491</v>
      </c>
      <c r="E244" s="16">
        <v>9653</v>
      </c>
      <c r="F244" s="18" t="s">
        <v>67</v>
      </c>
      <c r="G244" s="16" t="s">
        <v>3</v>
      </c>
      <c r="H244" s="16" t="s">
        <v>49</v>
      </c>
      <c r="I244" s="16" t="s">
        <v>120</v>
      </c>
    </row>
    <row r="245" spans="2:9" x14ac:dyDescent="0.25">
      <c r="B245" s="16" t="s">
        <v>40</v>
      </c>
      <c r="C245" s="17">
        <v>45055</v>
      </c>
      <c r="D245" s="16">
        <v>4307913</v>
      </c>
      <c r="E245" s="16">
        <v>1174</v>
      </c>
      <c r="F245" s="18" t="s">
        <v>100</v>
      </c>
      <c r="G245" s="16" t="s">
        <v>4</v>
      </c>
      <c r="H245" s="16" t="s">
        <v>49</v>
      </c>
      <c r="I245" s="16" t="s">
        <v>17</v>
      </c>
    </row>
    <row r="246" spans="2:9" x14ac:dyDescent="0.25">
      <c r="B246" s="16" t="s">
        <v>40</v>
      </c>
      <c r="C246" s="17">
        <v>45055</v>
      </c>
      <c r="D246" s="16">
        <v>578340</v>
      </c>
      <c r="E246" s="16">
        <v>6172</v>
      </c>
      <c r="F246" s="18" t="s">
        <v>64</v>
      </c>
      <c r="G246" s="16" t="s">
        <v>4</v>
      </c>
      <c r="H246" s="16" t="s">
        <v>49</v>
      </c>
      <c r="I246" s="16" t="s">
        <v>17</v>
      </c>
    </row>
    <row r="247" spans="2:9" x14ac:dyDescent="0.25">
      <c r="B247" s="16" t="s">
        <v>26</v>
      </c>
      <c r="C247" s="17">
        <v>45055</v>
      </c>
      <c r="D247" s="16">
        <v>8359178</v>
      </c>
      <c r="E247" s="16">
        <v>9389</v>
      </c>
      <c r="F247" s="18" t="s">
        <v>119</v>
      </c>
      <c r="G247" s="16" t="s">
        <v>52</v>
      </c>
      <c r="H247" s="16" t="s">
        <v>49</v>
      </c>
      <c r="I247" s="16" t="s">
        <v>17</v>
      </c>
    </row>
    <row r="248" spans="2:9" x14ac:dyDescent="0.25">
      <c r="B248" s="16" t="s">
        <v>26</v>
      </c>
      <c r="C248" s="17">
        <v>45055</v>
      </c>
      <c r="D248" s="16">
        <v>15157</v>
      </c>
      <c r="E248" s="16">
        <v>70485</v>
      </c>
      <c r="F248" s="18" t="s">
        <v>101</v>
      </c>
      <c r="G248" s="16" t="s">
        <v>52</v>
      </c>
      <c r="H248" s="16" t="s">
        <v>49</v>
      </c>
      <c r="I248" s="16" t="s">
        <v>17</v>
      </c>
    </row>
    <row r="249" spans="2:9" x14ac:dyDescent="0.25">
      <c r="B249" s="16" t="s">
        <v>33</v>
      </c>
      <c r="C249" s="17">
        <v>45055</v>
      </c>
      <c r="D249" s="16">
        <v>962331</v>
      </c>
      <c r="E249" s="16">
        <v>10263</v>
      </c>
      <c r="F249" s="18" t="s">
        <v>34</v>
      </c>
      <c r="G249" s="16" t="s">
        <v>16</v>
      </c>
      <c r="H249" s="16" t="s">
        <v>49</v>
      </c>
      <c r="I249" s="16" t="s">
        <v>17</v>
      </c>
    </row>
    <row r="250" spans="2:9" x14ac:dyDescent="0.25">
      <c r="B250" s="16" t="s">
        <v>40</v>
      </c>
      <c r="C250" s="17">
        <v>45055</v>
      </c>
      <c r="D250" s="16">
        <v>962238</v>
      </c>
      <c r="E250" s="16">
        <v>10263</v>
      </c>
      <c r="F250" s="18" t="s">
        <v>34</v>
      </c>
      <c r="G250" s="16" t="s">
        <v>16</v>
      </c>
      <c r="H250" s="16" t="s">
        <v>49</v>
      </c>
      <c r="I250" s="16" t="s">
        <v>17</v>
      </c>
    </row>
    <row r="251" spans="2:9" x14ac:dyDescent="0.25">
      <c r="B251" s="16" t="s">
        <v>40</v>
      </c>
      <c r="C251" s="17">
        <v>45055</v>
      </c>
      <c r="D251" s="16">
        <v>962278</v>
      </c>
      <c r="E251" s="16">
        <v>10263</v>
      </c>
      <c r="F251" s="18" t="s">
        <v>34</v>
      </c>
      <c r="G251" s="16" t="s">
        <v>16</v>
      </c>
      <c r="H251" s="16" t="s">
        <v>49</v>
      </c>
      <c r="I251" s="16" t="s">
        <v>17</v>
      </c>
    </row>
    <row r="252" spans="2:9" x14ac:dyDescent="0.25">
      <c r="B252" s="16" t="s">
        <v>40</v>
      </c>
      <c r="C252" s="17">
        <v>45055</v>
      </c>
      <c r="D252" s="16">
        <v>962308</v>
      </c>
      <c r="E252" s="16">
        <v>10263</v>
      </c>
      <c r="F252" s="18" t="s">
        <v>34</v>
      </c>
      <c r="G252" s="16" t="s">
        <v>16</v>
      </c>
      <c r="H252" s="16" t="s">
        <v>49</v>
      </c>
      <c r="I252" s="16" t="s">
        <v>17</v>
      </c>
    </row>
    <row r="253" spans="2:9" x14ac:dyDescent="0.25">
      <c r="B253" s="16" t="s">
        <v>26</v>
      </c>
      <c r="C253" s="17">
        <v>45055</v>
      </c>
      <c r="D253" s="16">
        <v>277766</v>
      </c>
      <c r="E253" s="16">
        <v>9519</v>
      </c>
      <c r="F253" s="18" t="s">
        <v>95</v>
      </c>
      <c r="G253" s="16" t="s">
        <v>5</v>
      </c>
      <c r="H253" s="16" t="s">
        <v>28</v>
      </c>
      <c r="I253" s="16" t="s">
        <v>117</v>
      </c>
    </row>
    <row r="254" spans="2:9" x14ac:dyDescent="0.25">
      <c r="B254" s="16" t="s">
        <v>26</v>
      </c>
      <c r="C254" s="17">
        <v>45055</v>
      </c>
      <c r="D254" s="16">
        <v>144618</v>
      </c>
      <c r="E254" s="16">
        <v>10440</v>
      </c>
      <c r="F254" s="18" t="s">
        <v>37</v>
      </c>
      <c r="G254" s="16" t="s">
        <v>1</v>
      </c>
      <c r="H254" s="16" t="s">
        <v>28</v>
      </c>
      <c r="I254" s="16" t="s">
        <v>25</v>
      </c>
    </row>
    <row r="255" spans="2:9" x14ac:dyDescent="0.25">
      <c r="B255" s="16" t="s">
        <v>33</v>
      </c>
      <c r="C255" s="17">
        <v>45055</v>
      </c>
      <c r="D255" s="16">
        <v>1404499</v>
      </c>
      <c r="E255" s="16">
        <v>10440</v>
      </c>
      <c r="F255" s="18" t="s">
        <v>37</v>
      </c>
      <c r="G255" s="16" t="s">
        <v>1</v>
      </c>
      <c r="H255" s="16" t="s">
        <v>28</v>
      </c>
      <c r="I255" s="16" t="s">
        <v>25</v>
      </c>
    </row>
    <row r="256" spans="2:9" x14ac:dyDescent="0.25">
      <c r="B256" s="16" t="s">
        <v>33</v>
      </c>
      <c r="C256" s="17">
        <v>45055</v>
      </c>
      <c r="D256" s="16">
        <v>144654</v>
      </c>
      <c r="E256" s="16">
        <v>10440</v>
      </c>
      <c r="F256" s="18" t="s">
        <v>37</v>
      </c>
      <c r="G256" s="16" t="s">
        <v>1</v>
      </c>
      <c r="H256" s="16" t="s">
        <v>28</v>
      </c>
      <c r="I256" s="16" t="s">
        <v>25</v>
      </c>
    </row>
    <row r="257" spans="2:9" x14ac:dyDescent="0.25">
      <c r="B257" s="16" t="s">
        <v>33</v>
      </c>
      <c r="C257" s="17">
        <v>45055</v>
      </c>
      <c r="D257" s="16">
        <v>25575</v>
      </c>
      <c r="E257" s="16">
        <v>11840</v>
      </c>
      <c r="F257" s="18" t="s">
        <v>129</v>
      </c>
      <c r="G257" s="16" t="s">
        <v>93</v>
      </c>
      <c r="H257" s="16" t="s">
        <v>28</v>
      </c>
      <c r="I257" s="16" t="s">
        <v>84</v>
      </c>
    </row>
    <row r="258" spans="2:9" x14ac:dyDescent="0.25">
      <c r="B258" s="16" t="s">
        <v>2</v>
      </c>
      <c r="C258" s="17">
        <v>45055</v>
      </c>
      <c r="D258" s="16" t="s">
        <v>125</v>
      </c>
      <c r="E258" s="16">
        <v>10263</v>
      </c>
      <c r="F258" s="18" t="s">
        <v>34</v>
      </c>
      <c r="G258" s="16" t="s">
        <v>16</v>
      </c>
      <c r="H258" s="16" t="s">
        <v>46</v>
      </c>
      <c r="I258" s="16" t="s">
        <v>92</v>
      </c>
    </row>
    <row r="259" spans="2:9" x14ac:dyDescent="0.25">
      <c r="B259" s="16" t="s">
        <v>33</v>
      </c>
      <c r="C259" s="17">
        <v>45055</v>
      </c>
      <c r="D259" s="16">
        <v>841294</v>
      </c>
      <c r="E259" s="16">
        <v>9394</v>
      </c>
      <c r="F259" s="18" t="s">
        <v>126</v>
      </c>
      <c r="G259" s="16" t="s">
        <v>3</v>
      </c>
      <c r="H259" s="16" t="s">
        <v>46</v>
      </c>
      <c r="I259" s="16" t="s">
        <v>17</v>
      </c>
    </row>
    <row r="260" spans="2:9" x14ac:dyDescent="0.25">
      <c r="B260" s="16" t="s">
        <v>33</v>
      </c>
      <c r="C260" s="17">
        <v>45055</v>
      </c>
      <c r="D260" s="16">
        <v>14995</v>
      </c>
      <c r="E260" s="16">
        <v>70485</v>
      </c>
      <c r="F260" s="18" t="s">
        <v>101</v>
      </c>
      <c r="G260" s="16" t="s">
        <v>3</v>
      </c>
      <c r="H260" s="16" t="s">
        <v>46</v>
      </c>
      <c r="I260" s="16" t="s">
        <v>17</v>
      </c>
    </row>
    <row r="261" spans="2:9" x14ac:dyDescent="0.25">
      <c r="B261" s="16" t="s">
        <v>33</v>
      </c>
      <c r="C261" s="17">
        <v>45055</v>
      </c>
      <c r="D261" s="16">
        <v>552089</v>
      </c>
      <c r="E261" s="16">
        <v>9500</v>
      </c>
      <c r="F261" s="18" t="s">
        <v>112</v>
      </c>
      <c r="G261" s="16" t="s">
        <v>16</v>
      </c>
      <c r="H261" s="16" t="s">
        <v>41</v>
      </c>
      <c r="I261" s="16" t="s">
        <v>17</v>
      </c>
    </row>
    <row r="262" spans="2:9" x14ac:dyDescent="0.25">
      <c r="B262" s="16" t="s">
        <v>40</v>
      </c>
      <c r="C262" s="17">
        <v>45055</v>
      </c>
      <c r="D262" s="16">
        <v>1751934</v>
      </c>
      <c r="E262" s="16">
        <v>9307</v>
      </c>
      <c r="F262" s="18" t="s">
        <v>68</v>
      </c>
      <c r="G262" s="16" t="s">
        <v>1</v>
      </c>
      <c r="H262" s="16" t="s">
        <v>75</v>
      </c>
      <c r="I262" s="16" t="s">
        <v>25</v>
      </c>
    </row>
    <row r="263" spans="2:9" x14ac:dyDescent="0.25">
      <c r="B263" s="16" t="s">
        <v>22</v>
      </c>
      <c r="C263" s="17">
        <v>45055</v>
      </c>
      <c r="D263" s="16">
        <v>1352342</v>
      </c>
      <c r="E263" s="16">
        <v>13235</v>
      </c>
      <c r="F263" s="18" t="s">
        <v>99</v>
      </c>
      <c r="G263" s="16" t="s">
        <v>3</v>
      </c>
      <c r="H263" s="16" t="s">
        <v>39</v>
      </c>
      <c r="I263" s="16" t="s">
        <v>61</v>
      </c>
    </row>
    <row r="264" spans="2:9" x14ac:dyDescent="0.25">
      <c r="B264" s="16" t="s">
        <v>2</v>
      </c>
      <c r="C264" s="17">
        <v>45055</v>
      </c>
      <c r="D264" s="16">
        <v>906614</v>
      </c>
      <c r="E264" s="16">
        <v>9398</v>
      </c>
      <c r="F264" s="18" t="s">
        <v>65</v>
      </c>
      <c r="G264" s="16" t="s">
        <v>16</v>
      </c>
      <c r="H264" s="16" t="s">
        <v>96</v>
      </c>
      <c r="I264" s="16" t="s">
        <v>61</v>
      </c>
    </row>
    <row r="265" spans="2:9" x14ac:dyDescent="0.25">
      <c r="B265" s="16" t="s">
        <v>26</v>
      </c>
      <c r="C265" s="17">
        <v>45055</v>
      </c>
      <c r="D265" s="16">
        <v>961979</v>
      </c>
      <c r="E265" s="16">
        <v>10263</v>
      </c>
      <c r="F265" s="18" t="s">
        <v>34</v>
      </c>
      <c r="G265" s="16" t="s">
        <v>16</v>
      </c>
      <c r="H265" s="16" t="s">
        <v>24</v>
      </c>
      <c r="I265" s="16" t="s">
        <v>61</v>
      </c>
    </row>
    <row r="266" spans="2:9" x14ac:dyDescent="0.25">
      <c r="B266" s="16" t="s">
        <v>26</v>
      </c>
      <c r="C266" s="17">
        <v>45055</v>
      </c>
      <c r="D266" s="16">
        <v>8359176</v>
      </c>
      <c r="E266" s="16">
        <v>9389</v>
      </c>
      <c r="F266" s="18" t="s">
        <v>119</v>
      </c>
      <c r="G266" s="16" t="s">
        <v>52</v>
      </c>
      <c r="H266" s="16" t="s">
        <v>24</v>
      </c>
      <c r="I266" s="16" t="s">
        <v>17</v>
      </c>
    </row>
    <row r="267" spans="2:9" x14ac:dyDescent="0.25">
      <c r="B267" s="16" t="s">
        <v>33</v>
      </c>
      <c r="C267" s="17">
        <v>45055</v>
      </c>
      <c r="D267" s="16">
        <v>4307924</v>
      </c>
      <c r="E267" s="16">
        <v>1174</v>
      </c>
      <c r="F267" s="18" t="s">
        <v>100</v>
      </c>
      <c r="G267" s="16" t="s">
        <v>3</v>
      </c>
      <c r="H267" s="16" t="s">
        <v>24</v>
      </c>
      <c r="I267" s="16" t="s">
        <v>120</v>
      </c>
    </row>
    <row r="268" spans="2:9" x14ac:dyDescent="0.25">
      <c r="B268" s="16" t="s">
        <v>22</v>
      </c>
      <c r="C268" s="17">
        <v>45055</v>
      </c>
      <c r="D268" s="16">
        <v>906661</v>
      </c>
      <c r="E268" s="16">
        <v>9398</v>
      </c>
      <c r="F268" s="18" t="s">
        <v>65</v>
      </c>
      <c r="G268" s="16" t="s">
        <v>16</v>
      </c>
      <c r="H268" s="16" t="s">
        <v>24</v>
      </c>
      <c r="I268" s="16" t="s">
        <v>61</v>
      </c>
    </row>
    <row r="269" spans="2:9" x14ac:dyDescent="0.25">
      <c r="B269" s="16" t="s">
        <v>22</v>
      </c>
      <c r="C269" s="17">
        <v>45055</v>
      </c>
      <c r="D269" s="16">
        <v>906675</v>
      </c>
      <c r="E269" s="16">
        <v>9398</v>
      </c>
      <c r="F269" s="18" t="s">
        <v>65</v>
      </c>
      <c r="G269" s="16" t="s">
        <v>16</v>
      </c>
      <c r="H269" s="16" t="s">
        <v>24</v>
      </c>
      <c r="I269" s="16" t="s">
        <v>61</v>
      </c>
    </row>
    <row r="270" spans="2:9" x14ac:dyDescent="0.25">
      <c r="B270" s="16" t="s">
        <v>33</v>
      </c>
      <c r="C270" s="17">
        <v>45055</v>
      </c>
      <c r="D270" s="16">
        <v>962375</v>
      </c>
      <c r="E270" s="16">
        <v>10263</v>
      </c>
      <c r="F270" s="18" t="s">
        <v>34</v>
      </c>
      <c r="G270" s="16" t="s">
        <v>16</v>
      </c>
      <c r="H270" s="16" t="s">
        <v>24</v>
      </c>
      <c r="I270" s="16" t="s">
        <v>61</v>
      </c>
    </row>
    <row r="271" spans="2:9" x14ac:dyDescent="0.25">
      <c r="B271" s="16" t="s">
        <v>40</v>
      </c>
      <c r="C271" s="17">
        <v>45055</v>
      </c>
      <c r="D271" s="16">
        <v>1055251</v>
      </c>
      <c r="E271" s="16">
        <v>9378</v>
      </c>
      <c r="F271" s="18" t="s">
        <v>30</v>
      </c>
      <c r="G271" s="16" t="s">
        <v>3</v>
      </c>
      <c r="H271" s="16" t="s">
        <v>24</v>
      </c>
      <c r="I271" s="16" t="s">
        <v>61</v>
      </c>
    </row>
    <row r="272" spans="2:9" x14ac:dyDescent="0.25">
      <c r="B272" s="16" t="s">
        <v>26</v>
      </c>
      <c r="C272" s="17">
        <v>45055</v>
      </c>
      <c r="D272" s="16">
        <v>14962</v>
      </c>
      <c r="E272" s="16">
        <v>12622</v>
      </c>
      <c r="F272" s="18" t="s">
        <v>118</v>
      </c>
      <c r="G272" s="16" t="s">
        <v>93</v>
      </c>
      <c r="H272" s="16" t="s">
        <v>38</v>
      </c>
      <c r="I272" s="16" t="s">
        <v>84</v>
      </c>
    </row>
    <row r="273" spans="2:9" x14ac:dyDescent="0.25">
      <c r="B273" s="16" t="s">
        <v>33</v>
      </c>
      <c r="C273" s="17">
        <v>45055</v>
      </c>
      <c r="D273" s="16">
        <v>117741</v>
      </c>
      <c r="E273" s="16">
        <v>11604</v>
      </c>
      <c r="F273" s="18" t="s">
        <v>63</v>
      </c>
      <c r="G273" s="16" t="s">
        <v>6</v>
      </c>
      <c r="H273" s="16" t="s">
        <v>38</v>
      </c>
      <c r="I273" s="16" t="s">
        <v>17</v>
      </c>
    </row>
    <row r="274" spans="2:9" x14ac:dyDescent="0.25">
      <c r="B274" s="16" t="s">
        <v>2</v>
      </c>
      <c r="C274" s="17">
        <v>45055</v>
      </c>
      <c r="D274" s="16">
        <v>26926</v>
      </c>
      <c r="E274" s="16">
        <v>12841</v>
      </c>
      <c r="F274" s="18" t="s">
        <v>124</v>
      </c>
      <c r="G274" s="16" t="s">
        <v>7</v>
      </c>
      <c r="H274" s="16" t="s">
        <v>38</v>
      </c>
      <c r="I274" s="16" t="s">
        <v>17</v>
      </c>
    </row>
    <row r="275" spans="2:9" x14ac:dyDescent="0.25">
      <c r="B275" s="16" t="s">
        <v>26</v>
      </c>
      <c r="C275" s="17">
        <v>45055</v>
      </c>
      <c r="D275" s="16">
        <v>26923</v>
      </c>
      <c r="E275" s="16">
        <v>12841</v>
      </c>
      <c r="F275" s="18" t="s">
        <v>124</v>
      </c>
      <c r="G275" s="16" t="s">
        <v>7</v>
      </c>
      <c r="H275" s="16" t="s">
        <v>38</v>
      </c>
      <c r="I275" s="16" t="s">
        <v>17</v>
      </c>
    </row>
    <row r="276" spans="2:9" x14ac:dyDescent="0.25">
      <c r="B276" s="16" t="s">
        <v>40</v>
      </c>
      <c r="C276" s="17">
        <v>45055</v>
      </c>
      <c r="D276" s="16">
        <v>619781</v>
      </c>
      <c r="E276" s="16">
        <v>3610</v>
      </c>
      <c r="F276" s="18" t="s">
        <v>8</v>
      </c>
      <c r="G276" s="16" t="s">
        <v>6</v>
      </c>
      <c r="H276" s="16" t="s">
        <v>38</v>
      </c>
      <c r="I276" s="16" t="s">
        <v>17</v>
      </c>
    </row>
    <row r="277" spans="2:9" x14ac:dyDescent="0.25">
      <c r="B277" s="16" t="s">
        <v>22</v>
      </c>
      <c r="C277" s="17">
        <v>45056</v>
      </c>
      <c r="D277" s="16">
        <v>140490</v>
      </c>
      <c r="E277" s="16">
        <v>10440</v>
      </c>
      <c r="F277" s="18" t="s">
        <v>37</v>
      </c>
      <c r="G277" s="16" t="s">
        <v>1</v>
      </c>
      <c r="H277" s="16" t="s">
        <v>97</v>
      </c>
      <c r="I277" s="16" t="s">
        <v>25</v>
      </c>
    </row>
    <row r="278" spans="2:9" x14ac:dyDescent="0.25">
      <c r="B278" s="16" t="s">
        <v>26</v>
      </c>
      <c r="C278" s="17">
        <v>45056</v>
      </c>
      <c r="D278" s="16">
        <v>1776565</v>
      </c>
      <c r="E278" s="16">
        <v>1015</v>
      </c>
      <c r="F278" s="18" t="s">
        <v>134</v>
      </c>
      <c r="G278" s="16" t="s">
        <v>4</v>
      </c>
      <c r="H278" s="16" t="s">
        <v>71</v>
      </c>
      <c r="I278" s="16" t="s">
        <v>17</v>
      </c>
    </row>
    <row r="279" spans="2:9" x14ac:dyDescent="0.25">
      <c r="B279" s="16" t="s">
        <v>26</v>
      </c>
      <c r="C279" s="17">
        <v>45056</v>
      </c>
      <c r="D279" s="16">
        <v>1776564</v>
      </c>
      <c r="E279" s="16">
        <v>1015</v>
      </c>
      <c r="F279" s="18" t="s">
        <v>134</v>
      </c>
      <c r="G279" s="16" t="s">
        <v>4</v>
      </c>
      <c r="H279" s="16" t="s">
        <v>71</v>
      </c>
      <c r="I279" s="16" t="s">
        <v>17</v>
      </c>
    </row>
    <row r="280" spans="2:9" x14ac:dyDescent="0.25">
      <c r="B280" s="16" t="s">
        <v>2</v>
      </c>
      <c r="C280" s="17">
        <v>45056</v>
      </c>
      <c r="D280" s="16" t="s">
        <v>125</v>
      </c>
      <c r="E280" s="16">
        <v>10263</v>
      </c>
      <c r="F280" s="18" t="s">
        <v>34</v>
      </c>
      <c r="G280" s="16" t="s">
        <v>16</v>
      </c>
      <c r="H280" s="16" t="s">
        <v>71</v>
      </c>
      <c r="I280" s="16" t="s">
        <v>17</v>
      </c>
    </row>
    <row r="281" spans="2:9" x14ac:dyDescent="0.25">
      <c r="B281" s="16" t="s">
        <v>22</v>
      </c>
      <c r="C281" s="17">
        <v>45056</v>
      </c>
      <c r="D281" s="16">
        <v>144664</v>
      </c>
      <c r="E281" s="16">
        <v>10440</v>
      </c>
      <c r="F281" s="18" t="s">
        <v>37</v>
      </c>
      <c r="G281" s="16" t="s">
        <v>1</v>
      </c>
      <c r="H281" s="16" t="s">
        <v>36</v>
      </c>
      <c r="I281" s="16" t="s">
        <v>25</v>
      </c>
    </row>
    <row r="282" spans="2:9" x14ac:dyDescent="0.25">
      <c r="B282" s="16" t="s">
        <v>2</v>
      </c>
      <c r="C282" s="17">
        <v>45056</v>
      </c>
      <c r="D282" s="16">
        <v>970899</v>
      </c>
      <c r="E282" s="16">
        <v>9434</v>
      </c>
      <c r="F282" s="18" t="s">
        <v>23</v>
      </c>
      <c r="G282" s="16" t="s">
        <v>1</v>
      </c>
      <c r="H282" s="16" t="s">
        <v>36</v>
      </c>
      <c r="I282" s="16" t="s">
        <v>61</v>
      </c>
    </row>
    <row r="283" spans="2:9" x14ac:dyDescent="0.25">
      <c r="B283" s="16" t="s">
        <v>22</v>
      </c>
      <c r="C283" s="17">
        <v>45056</v>
      </c>
      <c r="D283" s="16">
        <v>1222140</v>
      </c>
      <c r="E283" s="16">
        <v>9797</v>
      </c>
      <c r="F283" s="18" t="s">
        <v>136</v>
      </c>
      <c r="G283" s="16" t="s">
        <v>5</v>
      </c>
      <c r="H283" s="16" t="s">
        <v>36</v>
      </c>
      <c r="I283" s="16" t="s">
        <v>61</v>
      </c>
    </row>
    <row r="284" spans="2:9" x14ac:dyDescent="0.25">
      <c r="B284" s="16" t="s">
        <v>33</v>
      </c>
      <c r="C284" s="17">
        <v>45056</v>
      </c>
      <c r="D284" s="16">
        <v>15477</v>
      </c>
      <c r="E284" s="16">
        <v>70485</v>
      </c>
      <c r="F284" s="18" t="s">
        <v>101</v>
      </c>
      <c r="G284" s="16" t="s">
        <v>52</v>
      </c>
      <c r="H284" s="16" t="s">
        <v>31</v>
      </c>
      <c r="I284" s="16" t="s">
        <v>130</v>
      </c>
    </row>
    <row r="285" spans="2:9" x14ac:dyDescent="0.25">
      <c r="B285" s="16" t="s">
        <v>2</v>
      </c>
      <c r="C285" s="17">
        <v>45056</v>
      </c>
      <c r="D285" s="16">
        <v>15396</v>
      </c>
      <c r="E285" s="16">
        <v>70485</v>
      </c>
      <c r="F285" s="18" t="s">
        <v>101</v>
      </c>
      <c r="G285" s="16" t="s">
        <v>4</v>
      </c>
      <c r="H285" s="16" t="s">
        <v>31</v>
      </c>
      <c r="I285" s="16" t="s">
        <v>132</v>
      </c>
    </row>
    <row r="286" spans="2:9" x14ac:dyDescent="0.25">
      <c r="B286" s="16" t="s">
        <v>22</v>
      </c>
      <c r="C286" s="17">
        <v>45056</v>
      </c>
      <c r="D286" s="16">
        <v>15505</v>
      </c>
      <c r="E286" s="16">
        <v>70485</v>
      </c>
      <c r="F286" s="18" t="s">
        <v>101</v>
      </c>
      <c r="G286" s="16" t="s">
        <v>4</v>
      </c>
      <c r="H286" s="16" t="s">
        <v>31</v>
      </c>
      <c r="I286" s="16" t="s">
        <v>132</v>
      </c>
    </row>
    <row r="287" spans="2:9" x14ac:dyDescent="0.25">
      <c r="B287" s="16" t="s">
        <v>22</v>
      </c>
      <c r="C287" s="17">
        <v>45056</v>
      </c>
      <c r="D287" s="16">
        <v>1222139</v>
      </c>
      <c r="E287" s="16">
        <v>9797</v>
      </c>
      <c r="F287" s="18" t="s">
        <v>136</v>
      </c>
      <c r="G287" s="16" t="s">
        <v>5</v>
      </c>
      <c r="H287" s="16" t="s">
        <v>31</v>
      </c>
      <c r="I287" s="16" t="s">
        <v>132</v>
      </c>
    </row>
    <row r="288" spans="2:9" x14ac:dyDescent="0.25">
      <c r="B288" s="16" t="s">
        <v>40</v>
      </c>
      <c r="C288" s="17">
        <v>45056</v>
      </c>
      <c r="D288" s="16">
        <v>15447</v>
      </c>
      <c r="E288" s="16">
        <v>70485</v>
      </c>
      <c r="F288" s="18" t="s">
        <v>101</v>
      </c>
      <c r="G288" s="16" t="s">
        <v>3</v>
      </c>
      <c r="H288" s="16" t="s">
        <v>31</v>
      </c>
      <c r="I288" s="16" t="s">
        <v>132</v>
      </c>
    </row>
    <row r="289" spans="2:9" x14ac:dyDescent="0.25">
      <c r="B289" s="16" t="s">
        <v>2</v>
      </c>
      <c r="C289" s="17">
        <v>45056</v>
      </c>
      <c r="D289" s="16">
        <v>402438</v>
      </c>
      <c r="E289" s="16">
        <v>1216</v>
      </c>
      <c r="F289" s="18" t="s">
        <v>47</v>
      </c>
      <c r="G289" s="16" t="s">
        <v>5</v>
      </c>
      <c r="H289" s="16" t="s">
        <v>28</v>
      </c>
      <c r="I289" s="16" t="s">
        <v>61</v>
      </c>
    </row>
    <row r="290" spans="2:9" x14ac:dyDescent="0.25">
      <c r="B290" s="16" t="s">
        <v>26</v>
      </c>
      <c r="C290" s="17">
        <v>45056</v>
      </c>
      <c r="D290" s="16">
        <v>408905</v>
      </c>
      <c r="E290" s="16">
        <v>9397</v>
      </c>
      <c r="F290" s="18" t="s">
        <v>133</v>
      </c>
      <c r="G290" s="16" t="s">
        <v>93</v>
      </c>
      <c r="H290" s="16" t="s">
        <v>28</v>
      </c>
      <c r="I290" s="16" t="s">
        <v>84</v>
      </c>
    </row>
    <row r="291" spans="2:9" x14ac:dyDescent="0.25">
      <c r="B291" s="16" t="s">
        <v>26</v>
      </c>
      <c r="C291" s="17">
        <v>45056</v>
      </c>
      <c r="D291" s="16">
        <v>25599</v>
      </c>
      <c r="E291" s="16">
        <v>11840</v>
      </c>
      <c r="F291" s="18" t="s">
        <v>129</v>
      </c>
      <c r="G291" s="16" t="s">
        <v>93</v>
      </c>
      <c r="H291" s="16" t="s">
        <v>28</v>
      </c>
      <c r="I291" s="16" t="s">
        <v>84</v>
      </c>
    </row>
    <row r="292" spans="2:9" x14ac:dyDescent="0.25">
      <c r="B292" s="16" t="s">
        <v>33</v>
      </c>
      <c r="C292" s="17">
        <v>45056</v>
      </c>
      <c r="D292" s="16">
        <v>74259</v>
      </c>
      <c r="E292" s="16">
        <v>13876</v>
      </c>
      <c r="F292" s="18" t="s">
        <v>135</v>
      </c>
      <c r="G292" s="16" t="s">
        <v>3</v>
      </c>
      <c r="H292" s="16" t="s">
        <v>46</v>
      </c>
      <c r="I292" s="16" t="s">
        <v>92</v>
      </c>
    </row>
    <row r="293" spans="2:9" x14ac:dyDescent="0.25">
      <c r="B293" s="16" t="s">
        <v>22</v>
      </c>
      <c r="C293" s="17">
        <v>45056</v>
      </c>
      <c r="D293" s="16"/>
      <c r="E293" s="16">
        <v>10348</v>
      </c>
      <c r="F293" s="18" t="s">
        <v>76</v>
      </c>
      <c r="G293" s="16" t="s">
        <v>7</v>
      </c>
      <c r="H293" s="16" t="s">
        <v>41</v>
      </c>
      <c r="I293" s="16" t="s">
        <v>17</v>
      </c>
    </row>
    <row r="294" spans="2:9" x14ac:dyDescent="0.25">
      <c r="B294" s="16" t="s">
        <v>22</v>
      </c>
      <c r="C294" s="17">
        <v>45056</v>
      </c>
      <c r="D294" s="16">
        <v>15503</v>
      </c>
      <c r="E294" s="16">
        <v>70485</v>
      </c>
      <c r="F294" s="18" t="s">
        <v>101</v>
      </c>
      <c r="G294" s="16" t="s">
        <v>4</v>
      </c>
      <c r="H294" s="16" t="s">
        <v>89</v>
      </c>
      <c r="I294" s="16" t="s">
        <v>17</v>
      </c>
    </row>
    <row r="295" spans="2:9" x14ac:dyDescent="0.25">
      <c r="B295" s="16" t="s">
        <v>40</v>
      </c>
      <c r="C295" s="17">
        <v>45056</v>
      </c>
      <c r="D295" s="16">
        <v>933520</v>
      </c>
      <c r="E295" s="16">
        <v>9421</v>
      </c>
      <c r="F295" s="18" t="s">
        <v>94</v>
      </c>
      <c r="G295" s="16" t="s">
        <v>5</v>
      </c>
      <c r="H295" s="16" t="s">
        <v>75</v>
      </c>
      <c r="I295" s="16" t="s">
        <v>73</v>
      </c>
    </row>
    <row r="296" spans="2:9" x14ac:dyDescent="0.25">
      <c r="B296" s="16" t="s">
        <v>22</v>
      </c>
      <c r="C296" s="17">
        <v>45056</v>
      </c>
      <c r="D296" s="16">
        <v>962001</v>
      </c>
      <c r="E296" s="16">
        <v>10263</v>
      </c>
      <c r="F296" s="18" t="s">
        <v>34</v>
      </c>
      <c r="G296" s="16" t="s">
        <v>16</v>
      </c>
      <c r="H296" s="16" t="s">
        <v>21</v>
      </c>
      <c r="I296" s="16" t="s">
        <v>17</v>
      </c>
    </row>
    <row r="297" spans="2:9" x14ac:dyDescent="0.25">
      <c r="B297" s="16" t="s">
        <v>2</v>
      </c>
      <c r="C297" s="17">
        <v>45056</v>
      </c>
      <c r="D297" s="16">
        <v>1107773</v>
      </c>
      <c r="E297" s="16">
        <v>1139</v>
      </c>
      <c r="F297" s="18" t="s">
        <v>66</v>
      </c>
      <c r="G297" s="16" t="s">
        <v>1</v>
      </c>
      <c r="H297" s="16" t="s">
        <v>137</v>
      </c>
      <c r="I297" s="16" t="s">
        <v>17</v>
      </c>
    </row>
    <row r="298" spans="2:9" x14ac:dyDescent="0.25">
      <c r="B298" s="16" t="s">
        <v>2</v>
      </c>
      <c r="C298" s="17">
        <v>45056</v>
      </c>
      <c r="D298" s="16">
        <v>962142</v>
      </c>
      <c r="E298" s="16">
        <v>10263</v>
      </c>
      <c r="F298" s="18" t="s">
        <v>34</v>
      </c>
      <c r="G298" s="16" t="s">
        <v>16</v>
      </c>
      <c r="H298" s="16" t="s">
        <v>24</v>
      </c>
      <c r="I298" s="16" t="s">
        <v>73</v>
      </c>
    </row>
    <row r="299" spans="2:9" x14ac:dyDescent="0.25">
      <c r="B299" s="16" t="s">
        <v>2</v>
      </c>
      <c r="C299" s="17">
        <v>45056</v>
      </c>
      <c r="D299" s="16">
        <v>933533</v>
      </c>
      <c r="E299" s="16">
        <v>9421</v>
      </c>
      <c r="F299" s="18" t="s">
        <v>94</v>
      </c>
      <c r="G299" s="16" t="s">
        <v>5</v>
      </c>
      <c r="H299" s="16" t="s">
        <v>24</v>
      </c>
      <c r="I299" s="16" t="s">
        <v>73</v>
      </c>
    </row>
    <row r="300" spans="2:9" x14ac:dyDescent="0.25">
      <c r="B300" s="16" t="s">
        <v>22</v>
      </c>
      <c r="C300" s="17">
        <v>45056</v>
      </c>
      <c r="D300" s="16">
        <v>970857</v>
      </c>
      <c r="E300" s="16">
        <v>9434</v>
      </c>
      <c r="F300" s="18" t="s">
        <v>23</v>
      </c>
      <c r="G300" s="16" t="s">
        <v>1</v>
      </c>
      <c r="H300" s="16" t="s">
        <v>24</v>
      </c>
      <c r="I300" s="16" t="s">
        <v>25</v>
      </c>
    </row>
    <row r="301" spans="2:9" x14ac:dyDescent="0.25">
      <c r="B301" s="16" t="s">
        <v>22</v>
      </c>
      <c r="C301" s="17">
        <v>45056</v>
      </c>
      <c r="D301" s="16">
        <v>970856</v>
      </c>
      <c r="E301" s="16">
        <v>9434</v>
      </c>
      <c r="F301" s="18" t="s">
        <v>23</v>
      </c>
      <c r="G301" s="16" t="s">
        <v>1</v>
      </c>
      <c r="H301" s="16" t="s">
        <v>24</v>
      </c>
      <c r="I301" s="16" t="s">
        <v>25</v>
      </c>
    </row>
    <row r="302" spans="2:9" x14ac:dyDescent="0.25">
      <c r="B302" s="16" t="s">
        <v>22</v>
      </c>
      <c r="C302" s="17">
        <v>45056</v>
      </c>
      <c r="D302" s="16">
        <v>962045</v>
      </c>
      <c r="E302" s="16">
        <v>10263</v>
      </c>
      <c r="F302" s="18" t="s">
        <v>34</v>
      </c>
      <c r="G302" s="16" t="s">
        <v>16</v>
      </c>
      <c r="H302" s="16" t="s">
        <v>24</v>
      </c>
      <c r="I302" s="16" t="s">
        <v>73</v>
      </c>
    </row>
    <row r="303" spans="2:9" x14ac:dyDescent="0.25">
      <c r="B303" s="16" t="s">
        <v>40</v>
      </c>
      <c r="C303" s="17">
        <v>45056</v>
      </c>
      <c r="D303" s="16">
        <v>899728</v>
      </c>
      <c r="E303" s="16">
        <v>9398</v>
      </c>
      <c r="F303" s="18" t="s">
        <v>65</v>
      </c>
      <c r="G303" s="16" t="s">
        <v>16</v>
      </c>
      <c r="H303" s="16" t="s">
        <v>24</v>
      </c>
      <c r="I303" s="16" t="s">
        <v>59</v>
      </c>
    </row>
    <row r="304" spans="2:9" x14ac:dyDescent="0.25">
      <c r="B304" s="16" t="s">
        <v>26</v>
      </c>
      <c r="C304" s="17">
        <v>45056</v>
      </c>
      <c r="D304" s="16">
        <v>144655</v>
      </c>
      <c r="E304" s="16">
        <v>10440</v>
      </c>
      <c r="F304" s="18" t="s">
        <v>37</v>
      </c>
      <c r="G304" s="16" t="s">
        <v>1</v>
      </c>
      <c r="H304" s="16" t="s">
        <v>114</v>
      </c>
      <c r="I304" s="16" t="s">
        <v>25</v>
      </c>
    </row>
    <row r="305" spans="2:9" x14ac:dyDescent="0.25">
      <c r="B305" s="16" t="s">
        <v>2</v>
      </c>
      <c r="C305" s="17">
        <v>45056</v>
      </c>
      <c r="D305" s="16">
        <v>1741</v>
      </c>
      <c r="E305" s="16">
        <v>66540</v>
      </c>
      <c r="F305" s="18" t="s">
        <v>131</v>
      </c>
      <c r="G305" s="16" t="s">
        <v>93</v>
      </c>
      <c r="H305" s="16" t="s">
        <v>114</v>
      </c>
      <c r="I305" s="16" t="s">
        <v>98</v>
      </c>
    </row>
    <row r="306" spans="2:9" x14ac:dyDescent="0.25">
      <c r="B306" s="16" t="s">
        <v>26</v>
      </c>
      <c r="C306" s="17">
        <v>45056</v>
      </c>
      <c r="D306" s="16">
        <v>1740</v>
      </c>
      <c r="E306" s="16">
        <v>66540</v>
      </c>
      <c r="F306" s="18" t="s">
        <v>131</v>
      </c>
      <c r="G306" s="16" t="s">
        <v>93</v>
      </c>
      <c r="H306" s="16" t="s">
        <v>38</v>
      </c>
      <c r="I306" s="16" t="s">
        <v>17</v>
      </c>
    </row>
    <row r="307" spans="2:9" x14ac:dyDescent="0.25">
      <c r="B307" s="16" t="s">
        <v>26</v>
      </c>
      <c r="C307" s="17">
        <v>45056</v>
      </c>
      <c r="D307" s="16">
        <v>1738</v>
      </c>
      <c r="E307" s="16">
        <v>66540</v>
      </c>
      <c r="F307" s="18" t="s">
        <v>131</v>
      </c>
      <c r="G307" s="16" t="s">
        <v>93</v>
      </c>
      <c r="H307" s="16" t="s">
        <v>38</v>
      </c>
      <c r="I307" s="16" t="s">
        <v>17</v>
      </c>
    </row>
    <row r="308" spans="2:9" x14ac:dyDescent="0.25">
      <c r="B308" s="16" t="s">
        <v>33</v>
      </c>
      <c r="C308" s="17">
        <v>45056</v>
      </c>
      <c r="D308" s="16">
        <v>140499</v>
      </c>
      <c r="E308" s="16">
        <v>10440</v>
      </c>
      <c r="F308" s="18" t="s">
        <v>37</v>
      </c>
      <c r="G308" s="16" t="s">
        <v>1</v>
      </c>
      <c r="H308" s="16" t="s">
        <v>38</v>
      </c>
      <c r="I308" s="16" t="s">
        <v>92</v>
      </c>
    </row>
    <row r="309" spans="2:9" x14ac:dyDescent="0.25">
      <c r="B309" s="16" t="s">
        <v>22</v>
      </c>
      <c r="C309" s="17">
        <v>45057</v>
      </c>
      <c r="D309" s="16">
        <v>80260</v>
      </c>
      <c r="E309" s="16">
        <v>64319</v>
      </c>
      <c r="F309" s="18" t="s">
        <v>78</v>
      </c>
      <c r="G309" s="16" t="s">
        <v>3</v>
      </c>
      <c r="H309" s="16" t="s">
        <v>45</v>
      </c>
      <c r="I309" s="16" t="s">
        <v>61</v>
      </c>
    </row>
    <row r="310" spans="2:9" x14ac:dyDescent="0.25">
      <c r="B310" s="16" t="s">
        <v>26</v>
      </c>
      <c r="C310" s="17">
        <v>45057</v>
      </c>
      <c r="D310" s="16">
        <v>130188</v>
      </c>
      <c r="E310" s="16">
        <v>6678</v>
      </c>
      <c r="F310" s="18" t="s">
        <v>142</v>
      </c>
      <c r="G310" s="16" t="s">
        <v>3</v>
      </c>
      <c r="H310" s="16" t="s">
        <v>97</v>
      </c>
      <c r="I310" s="16" t="s">
        <v>17</v>
      </c>
    </row>
    <row r="311" spans="2:9" x14ac:dyDescent="0.25">
      <c r="B311" s="16" t="s">
        <v>26</v>
      </c>
      <c r="C311" s="17">
        <v>45057</v>
      </c>
      <c r="D311" s="16">
        <v>80238</v>
      </c>
      <c r="E311" s="16">
        <v>64319</v>
      </c>
      <c r="F311" s="18" t="s">
        <v>78</v>
      </c>
      <c r="G311" s="16" t="s">
        <v>3</v>
      </c>
      <c r="H311" s="16" t="s">
        <v>97</v>
      </c>
      <c r="I311" s="16" t="s">
        <v>17</v>
      </c>
    </row>
    <row r="312" spans="2:9" x14ac:dyDescent="0.25">
      <c r="B312" s="16" t="s">
        <v>26</v>
      </c>
      <c r="C312" s="17">
        <v>45057</v>
      </c>
      <c r="D312" s="16">
        <v>80239</v>
      </c>
      <c r="E312" s="16">
        <v>64319</v>
      </c>
      <c r="F312" s="18" t="s">
        <v>78</v>
      </c>
      <c r="G312" s="16" t="s">
        <v>3</v>
      </c>
      <c r="H312" s="16" t="s">
        <v>97</v>
      </c>
      <c r="I312" s="16" t="s">
        <v>17</v>
      </c>
    </row>
    <row r="313" spans="2:9" x14ac:dyDescent="0.25">
      <c r="B313" s="16" t="s">
        <v>26</v>
      </c>
      <c r="C313" s="17">
        <v>45057</v>
      </c>
      <c r="D313" s="16">
        <v>80240</v>
      </c>
      <c r="E313" s="16">
        <v>64319</v>
      </c>
      <c r="F313" s="18" t="s">
        <v>78</v>
      </c>
      <c r="G313" s="16" t="s">
        <v>3</v>
      </c>
      <c r="H313" s="16" t="s">
        <v>97</v>
      </c>
      <c r="I313" s="16" t="s">
        <v>17</v>
      </c>
    </row>
    <row r="314" spans="2:9" x14ac:dyDescent="0.25">
      <c r="B314" s="16" t="s">
        <v>26</v>
      </c>
      <c r="C314" s="17">
        <v>45057</v>
      </c>
      <c r="D314" s="16">
        <v>80241</v>
      </c>
      <c r="E314" s="16">
        <v>64319</v>
      </c>
      <c r="F314" s="18" t="s">
        <v>78</v>
      </c>
      <c r="G314" s="16" t="s">
        <v>3</v>
      </c>
      <c r="H314" s="16" t="s">
        <v>97</v>
      </c>
      <c r="I314" s="16" t="s">
        <v>17</v>
      </c>
    </row>
    <row r="315" spans="2:9" x14ac:dyDescent="0.25">
      <c r="B315" s="16" t="s">
        <v>26</v>
      </c>
      <c r="C315" s="17">
        <v>45057</v>
      </c>
      <c r="D315" s="16">
        <v>80242</v>
      </c>
      <c r="E315" s="16">
        <v>64319</v>
      </c>
      <c r="F315" s="18" t="s">
        <v>78</v>
      </c>
      <c r="G315" s="16" t="s">
        <v>3</v>
      </c>
      <c r="H315" s="16" t="s">
        <v>97</v>
      </c>
      <c r="I315" s="16" t="s">
        <v>17</v>
      </c>
    </row>
    <row r="316" spans="2:9" x14ac:dyDescent="0.25">
      <c r="B316" s="16" t="s">
        <v>26</v>
      </c>
      <c r="C316" s="17">
        <v>45057</v>
      </c>
      <c r="D316" s="16">
        <v>80243</v>
      </c>
      <c r="E316" s="16">
        <v>64319</v>
      </c>
      <c r="F316" s="18" t="s">
        <v>78</v>
      </c>
      <c r="G316" s="16" t="s">
        <v>3</v>
      </c>
      <c r="H316" s="16" t="s">
        <v>97</v>
      </c>
      <c r="I316" s="16" t="s">
        <v>17</v>
      </c>
    </row>
    <row r="317" spans="2:9" x14ac:dyDescent="0.25">
      <c r="B317" s="16" t="s">
        <v>26</v>
      </c>
      <c r="C317" s="17">
        <v>45057</v>
      </c>
      <c r="D317" s="16">
        <v>74266</v>
      </c>
      <c r="E317" s="16">
        <v>13876</v>
      </c>
      <c r="F317" s="18" t="s">
        <v>135</v>
      </c>
      <c r="G317" s="16" t="s">
        <v>3</v>
      </c>
      <c r="H317" s="16" t="s">
        <v>97</v>
      </c>
      <c r="I317" s="16" t="s">
        <v>32</v>
      </c>
    </row>
    <row r="318" spans="2:9" x14ac:dyDescent="0.25">
      <c r="B318" s="16" t="s">
        <v>26</v>
      </c>
      <c r="C318" s="17">
        <v>45057</v>
      </c>
      <c r="D318" s="16">
        <v>74265</v>
      </c>
      <c r="E318" s="16">
        <v>13876</v>
      </c>
      <c r="F318" s="18" t="s">
        <v>135</v>
      </c>
      <c r="G318" s="16" t="s">
        <v>3</v>
      </c>
      <c r="H318" s="16" t="s">
        <v>97</v>
      </c>
      <c r="I318" s="16" t="s">
        <v>32</v>
      </c>
    </row>
    <row r="319" spans="2:9" x14ac:dyDescent="0.25">
      <c r="B319" s="16" t="s">
        <v>26</v>
      </c>
      <c r="C319" s="17">
        <v>45057</v>
      </c>
      <c r="D319" s="16">
        <v>25222</v>
      </c>
      <c r="E319" s="16">
        <v>63875</v>
      </c>
      <c r="F319" s="18" t="s">
        <v>146</v>
      </c>
      <c r="G319" s="16" t="s">
        <v>5</v>
      </c>
      <c r="H319" s="16" t="s">
        <v>97</v>
      </c>
      <c r="I319" s="16" t="s">
        <v>17</v>
      </c>
    </row>
    <row r="320" spans="2:9" x14ac:dyDescent="0.25">
      <c r="B320" s="16" t="s">
        <v>26</v>
      </c>
      <c r="C320" s="17">
        <v>45057</v>
      </c>
      <c r="D320" s="16">
        <v>2094925</v>
      </c>
      <c r="E320" s="16">
        <v>9459</v>
      </c>
      <c r="F320" s="18" t="s">
        <v>105</v>
      </c>
      <c r="G320" s="16" t="s">
        <v>5</v>
      </c>
      <c r="H320" s="16" t="s">
        <v>97</v>
      </c>
      <c r="I320" s="16" t="s">
        <v>17</v>
      </c>
    </row>
    <row r="321" spans="2:9" x14ac:dyDescent="0.25">
      <c r="B321" s="16" t="s">
        <v>26</v>
      </c>
      <c r="C321" s="17">
        <v>45057</v>
      </c>
      <c r="D321" s="16">
        <v>2094924</v>
      </c>
      <c r="E321" s="16">
        <v>9459</v>
      </c>
      <c r="F321" s="18" t="s">
        <v>105</v>
      </c>
      <c r="G321" s="16" t="s">
        <v>5</v>
      </c>
      <c r="H321" s="16" t="s">
        <v>97</v>
      </c>
      <c r="I321" s="16" t="s">
        <v>17</v>
      </c>
    </row>
    <row r="322" spans="2:9" x14ac:dyDescent="0.25">
      <c r="B322" s="16" t="s">
        <v>26</v>
      </c>
      <c r="C322" s="17">
        <v>45057</v>
      </c>
      <c r="D322" s="16">
        <v>2094919</v>
      </c>
      <c r="E322" s="16">
        <v>9459</v>
      </c>
      <c r="F322" s="18" t="s">
        <v>105</v>
      </c>
      <c r="G322" s="16" t="s">
        <v>5</v>
      </c>
      <c r="H322" s="16" t="s">
        <v>97</v>
      </c>
      <c r="I322" s="16" t="s">
        <v>17</v>
      </c>
    </row>
    <row r="323" spans="2:9" x14ac:dyDescent="0.25">
      <c r="B323" s="16" t="s">
        <v>26</v>
      </c>
      <c r="C323" s="17">
        <v>45057</v>
      </c>
      <c r="D323" s="16">
        <v>2094913</v>
      </c>
      <c r="E323" s="16">
        <v>9459</v>
      </c>
      <c r="F323" s="18" t="s">
        <v>105</v>
      </c>
      <c r="G323" s="16" t="s">
        <v>5</v>
      </c>
      <c r="H323" s="16" t="s">
        <v>97</v>
      </c>
      <c r="I323" s="16" t="s">
        <v>17</v>
      </c>
    </row>
    <row r="324" spans="2:9" x14ac:dyDescent="0.25">
      <c r="B324" s="16" t="s">
        <v>26</v>
      </c>
      <c r="C324" s="17">
        <v>45057</v>
      </c>
      <c r="D324" s="16">
        <v>2094914</v>
      </c>
      <c r="E324" s="16">
        <v>9459</v>
      </c>
      <c r="F324" s="18" t="s">
        <v>105</v>
      </c>
      <c r="G324" s="16" t="s">
        <v>5</v>
      </c>
      <c r="H324" s="16" t="s">
        <v>97</v>
      </c>
      <c r="I324" s="16" t="s">
        <v>17</v>
      </c>
    </row>
    <row r="325" spans="2:9" x14ac:dyDescent="0.25">
      <c r="B325" s="16" t="s">
        <v>26</v>
      </c>
      <c r="C325" s="17">
        <v>45057</v>
      </c>
      <c r="D325" s="16">
        <v>948256</v>
      </c>
      <c r="E325" s="16">
        <v>9535</v>
      </c>
      <c r="F325" s="18" t="s">
        <v>148</v>
      </c>
      <c r="G325" s="16" t="s">
        <v>3</v>
      </c>
      <c r="H325" s="16" t="s">
        <v>71</v>
      </c>
      <c r="I325" s="16" t="s">
        <v>17</v>
      </c>
    </row>
    <row r="326" spans="2:9" x14ac:dyDescent="0.25">
      <c r="B326" s="16" t="s">
        <v>40</v>
      </c>
      <c r="C326" s="17">
        <v>45057</v>
      </c>
      <c r="D326" s="16">
        <v>80237</v>
      </c>
      <c r="E326" s="16">
        <v>64319</v>
      </c>
      <c r="F326" s="18" t="s">
        <v>78</v>
      </c>
      <c r="G326" s="16" t="s">
        <v>3</v>
      </c>
      <c r="H326" s="16" t="s">
        <v>71</v>
      </c>
      <c r="I326" s="16" t="s">
        <v>17</v>
      </c>
    </row>
    <row r="327" spans="2:9" x14ac:dyDescent="0.25">
      <c r="B327" s="16" t="s">
        <v>40</v>
      </c>
      <c r="C327" s="17">
        <v>45057</v>
      </c>
      <c r="D327" s="16">
        <v>80236</v>
      </c>
      <c r="E327" s="16">
        <v>64319</v>
      </c>
      <c r="F327" s="18" t="s">
        <v>78</v>
      </c>
      <c r="G327" s="16" t="s">
        <v>3</v>
      </c>
      <c r="H327" s="16" t="s">
        <v>71</v>
      </c>
      <c r="I327" s="16" t="s">
        <v>17</v>
      </c>
    </row>
    <row r="328" spans="2:9" x14ac:dyDescent="0.25">
      <c r="B328" s="16" t="s">
        <v>40</v>
      </c>
      <c r="C328" s="17">
        <v>45057</v>
      </c>
      <c r="D328" s="16">
        <v>150427</v>
      </c>
      <c r="E328" s="16">
        <v>63007</v>
      </c>
      <c r="F328" s="18" t="s">
        <v>62</v>
      </c>
      <c r="G328" s="16" t="s">
        <v>5</v>
      </c>
      <c r="H328" s="16" t="s">
        <v>71</v>
      </c>
      <c r="I328" s="16" t="s">
        <v>17</v>
      </c>
    </row>
    <row r="329" spans="2:9" x14ac:dyDescent="0.25">
      <c r="B329" s="16" t="s">
        <v>40</v>
      </c>
      <c r="C329" s="17">
        <v>45057</v>
      </c>
      <c r="D329" s="16">
        <v>3804991</v>
      </c>
      <c r="E329" s="16">
        <v>3506</v>
      </c>
      <c r="F329" s="18" t="s">
        <v>77</v>
      </c>
      <c r="G329" s="16" t="s">
        <v>4</v>
      </c>
      <c r="H329" s="16" t="s">
        <v>71</v>
      </c>
      <c r="I329" s="16" t="s">
        <v>17</v>
      </c>
    </row>
    <row r="330" spans="2:9" x14ac:dyDescent="0.25">
      <c r="B330" s="16" t="s">
        <v>33</v>
      </c>
      <c r="C330" s="17">
        <v>45057</v>
      </c>
      <c r="D330" s="16">
        <v>122143</v>
      </c>
      <c r="E330" s="16">
        <v>9797</v>
      </c>
      <c r="F330" s="18" t="s">
        <v>136</v>
      </c>
      <c r="G330" s="16" t="s">
        <v>5</v>
      </c>
      <c r="H330" s="16" t="s">
        <v>36</v>
      </c>
      <c r="I330" s="16" t="s">
        <v>32</v>
      </c>
    </row>
    <row r="331" spans="2:9" x14ac:dyDescent="0.25">
      <c r="B331" s="16" t="s">
        <v>33</v>
      </c>
      <c r="C331" s="17">
        <v>45057</v>
      </c>
      <c r="D331" s="16">
        <v>80252</v>
      </c>
      <c r="E331" s="16">
        <v>64319</v>
      </c>
      <c r="F331" s="18" t="s">
        <v>78</v>
      </c>
      <c r="G331" s="16" t="s">
        <v>3</v>
      </c>
      <c r="H331" s="16" t="s">
        <v>36</v>
      </c>
      <c r="I331" s="16" t="s">
        <v>61</v>
      </c>
    </row>
    <row r="332" spans="2:9" x14ac:dyDescent="0.25">
      <c r="B332" s="16" t="s">
        <v>33</v>
      </c>
      <c r="C332" s="17">
        <v>45057</v>
      </c>
      <c r="D332" s="16">
        <v>80250</v>
      </c>
      <c r="E332" s="16">
        <v>64319</v>
      </c>
      <c r="F332" s="18" t="s">
        <v>78</v>
      </c>
      <c r="G332" s="16" t="s">
        <v>3</v>
      </c>
      <c r="H332" s="16" t="s">
        <v>36</v>
      </c>
      <c r="I332" s="16" t="s">
        <v>61</v>
      </c>
    </row>
    <row r="333" spans="2:9" x14ac:dyDescent="0.25">
      <c r="B333" s="16" t="s">
        <v>33</v>
      </c>
      <c r="C333" s="17">
        <v>45057</v>
      </c>
      <c r="D333" s="16">
        <v>80251</v>
      </c>
      <c r="E333" s="16">
        <v>64319</v>
      </c>
      <c r="F333" s="18" t="s">
        <v>78</v>
      </c>
      <c r="G333" s="16" t="s">
        <v>3</v>
      </c>
      <c r="H333" s="16" t="s">
        <v>36</v>
      </c>
      <c r="I333" s="16" t="s">
        <v>61</v>
      </c>
    </row>
    <row r="334" spans="2:9" x14ac:dyDescent="0.25">
      <c r="B334" s="16" t="s">
        <v>40</v>
      </c>
      <c r="C334" s="17">
        <v>45057</v>
      </c>
      <c r="D334" s="16">
        <v>80232</v>
      </c>
      <c r="E334" s="16">
        <v>64319</v>
      </c>
      <c r="F334" s="18" t="s">
        <v>78</v>
      </c>
      <c r="G334" s="16" t="s">
        <v>3</v>
      </c>
      <c r="H334" s="16" t="s">
        <v>36</v>
      </c>
      <c r="I334" s="16" t="s">
        <v>61</v>
      </c>
    </row>
    <row r="335" spans="2:9" x14ac:dyDescent="0.25">
      <c r="B335" s="16" t="s">
        <v>40</v>
      </c>
      <c r="C335" s="17">
        <v>45057</v>
      </c>
      <c r="D335" s="16">
        <v>80233</v>
      </c>
      <c r="E335" s="16">
        <v>64319</v>
      </c>
      <c r="F335" s="18" t="s">
        <v>78</v>
      </c>
      <c r="G335" s="16" t="s">
        <v>3</v>
      </c>
      <c r="H335" s="16" t="s">
        <v>36</v>
      </c>
      <c r="I335" s="16" t="s">
        <v>61</v>
      </c>
    </row>
    <row r="336" spans="2:9" x14ac:dyDescent="0.25">
      <c r="B336" s="16" t="s">
        <v>40</v>
      </c>
      <c r="C336" s="17">
        <v>45057</v>
      </c>
      <c r="D336" s="16">
        <v>80234</v>
      </c>
      <c r="E336" s="16">
        <v>64319</v>
      </c>
      <c r="F336" s="18" t="s">
        <v>78</v>
      </c>
      <c r="G336" s="16" t="s">
        <v>3</v>
      </c>
      <c r="H336" s="16" t="s">
        <v>36</v>
      </c>
      <c r="I336" s="16" t="s">
        <v>61</v>
      </c>
    </row>
    <row r="337" spans="2:9" x14ac:dyDescent="0.25">
      <c r="B337" s="16" t="s">
        <v>40</v>
      </c>
      <c r="C337" s="17">
        <v>45057</v>
      </c>
      <c r="D337" s="16">
        <v>80235</v>
      </c>
      <c r="E337" s="16">
        <v>64319</v>
      </c>
      <c r="F337" s="18" t="s">
        <v>78</v>
      </c>
      <c r="G337" s="16" t="s">
        <v>3</v>
      </c>
      <c r="H337" s="16" t="s">
        <v>36</v>
      </c>
      <c r="I337" s="16" t="s">
        <v>61</v>
      </c>
    </row>
    <row r="338" spans="2:9" x14ac:dyDescent="0.25">
      <c r="B338" s="16" t="s">
        <v>2</v>
      </c>
      <c r="C338" s="17">
        <v>45057</v>
      </c>
      <c r="D338" s="16">
        <v>15462</v>
      </c>
      <c r="E338" s="16">
        <v>70485</v>
      </c>
      <c r="F338" s="18" t="s">
        <v>101</v>
      </c>
      <c r="G338" s="16" t="s">
        <v>52</v>
      </c>
      <c r="H338" s="16" t="s">
        <v>31</v>
      </c>
      <c r="I338" s="16" t="s">
        <v>32</v>
      </c>
    </row>
    <row r="339" spans="2:9" x14ac:dyDescent="0.25">
      <c r="B339" s="16" t="s">
        <v>33</v>
      </c>
      <c r="C339" s="17">
        <v>45057</v>
      </c>
      <c r="D339" s="16">
        <v>1222144</v>
      </c>
      <c r="E339" s="16">
        <v>9797</v>
      </c>
      <c r="F339" s="18" t="s">
        <v>136</v>
      </c>
      <c r="G339" s="16" t="s">
        <v>3</v>
      </c>
      <c r="H339" s="16" t="s">
        <v>31</v>
      </c>
      <c r="I339" s="16" t="s">
        <v>32</v>
      </c>
    </row>
    <row r="340" spans="2:9" x14ac:dyDescent="0.25">
      <c r="B340" s="16" t="s">
        <v>33</v>
      </c>
      <c r="C340" s="17">
        <v>45057</v>
      </c>
      <c r="D340" s="16">
        <v>122215</v>
      </c>
      <c r="E340" s="16">
        <v>9797</v>
      </c>
      <c r="F340" s="18" t="s">
        <v>136</v>
      </c>
      <c r="G340" s="16" t="s">
        <v>52</v>
      </c>
      <c r="H340" s="16" t="s">
        <v>31</v>
      </c>
      <c r="I340" s="16" t="s">
        <v>32</v>
      </c>
    </row>
    <row r="341" spans="2:9" x14ac:dyDescent="0.25">
      <c r="B341" s="16" t="s">
        <v>40</v>
      </c>
      <c r="C341" s="17">
        <v>45057</v>
      </c>
      <c r="D341" s="16">
        <v>1222138</v>
      </c>
      <c r="E341" s="16">
        <v>9797</v>
      </c>
      <c r="F341" s="18" t="s">
        <v>136</v>
      </c>
      <c r="G341" s="16" t="s">
        <v>5</v>
      </c>
      <c r="H341" s="16" t="s">
        <v>31</v>
      </c>
      <c r="I341" s="16" t="s">
        <v>32</v>
      </c>
    </row>
    <row r="342" spans="2:9" x14ac:dyDescent="0.25">
      <c r="B342" s="16" t="s">
        <v>40</v>
      </c>
      <c r="C342" s="17">
        <v>45057</v>
      </c>
      <c r="D342" s="16">
        <v>1222137</v>
      </c>
      <c r="E342" s="16">
        <v>9797</v>
      </c>
      <c r="F342" s="18" t="s">
        <v>136</v>
      </c>
      <c r="G342" s="16" t="s">
        <v>5</v>
      </c>
      <c r="H342" s="16" t="s">
        <v>31</v>
      </c>
      <c r="I342" s="16" t="s">
        <v>32</v>
      </c>
    </row>
    <row r="343" spans="2:9" x14ac:dyDescent="0.25">
      <c r="B343" s="16" t="s">
        <v>22</v>
      </c>
      <c r="C343" s="17">
        <v>45057</v>
      </c>
      <c r="D343" s="16">
        <v>234964</v>
      </c>
      <c r="E343" s="16">
        <v>1175</v>
      </c>
      <c r="F343" s="18" t="s">
        <v>81</v>
      </c>
      <c r="G343" s="16" t="s">
        <v>7</v>
      </c>
      <c r="H343" s="16" t="s">
        <v>49</v>
      </c>
      <c r="I343" s="16" t="s">
        <v>17</v>
      </c>
    </row>
    <row r="344" spans="2:9" x14ac:dyDescent="0.25">
      <c r="B344" s="16" t="s">
        <v>2</v>
      </c>
      <c r="C344" s="17">
        <v>45057</v>
      </c>
      <c r="D344" s="16">
        <v>118444</v>
      </c>
      <c r="E344" s="16">
        <v>13121</v>
      </c>
      <c r="F344" s="18" t="s">
        <v>143</v>
      </c>
      <c r="G344" s="16" t="s">
        <v>52</v>
      </c>
      <c r="H344" s="16" t="s">
        <v>49</v>
      </c>
      <c r="I344" s="16" t="s">
        <v>17</v>
      </c>
    </row>
    <row r="345" spans="2:9" x14ac:dyDescent="0.25">
      <c r="B345" s="16" t="s">
        <v>33</v>
      </c>
      <c r="C345" s="17">
        <v>45057</v>
      </c>
      <c r="D345" s="16">
        <v>1770282</v>
      </c>
      <c r="E345" s="16">
        <v>9480</v>
      </c>
      <c r="F345" s="18" t="s">
        <v>147</v>
      </c>
      <c r="G345" s="16" t="s">
        <v>1</v>
      </c>
      <c r="H345" s="16" t="s">
        <v>49</v>
      </c>
      <c r="I345" s="16" t="s">
        <v>17</v>
      </c>
    </row>
    <row r="346" spans="2:9" x14ac:dyDescent="0.25">
      <c r="B346" s="16" t="s">
        <v>26</v>
      </c>
      <c r="C346" s="17">
        <v>45057</v>
      </c>
      <c r="D346" s="16">
        <v>15461</v>
      </c>
      <c r="E346" s="16">
        <v>70485</v>
      </c>
      <c r="F346" s="18" t="s">
        <v>101</v>
      </c>
      <c r="G346" s="16" t="s">
        <v>5</v>
      </c>
      <c r="H346" s="16" t="s">
        <v>49</v>
      </c>
      <c r="I346" s="16" t="s">
        <v>17</v>
      </c>
    </row>
    <row r="347" spans="2:9" x14ac:dyDescent="0.25">
      <c r="B347" s="16" t="s">
        <v>40</v>
      </c>
      <c r="C347" s="17">
        <v>45057</v>
      </c>
      <c r="D347" s="16">
        <v>43478</v>
      </c>
      <c r="E347" s="16">
        <v>70827</v>
      </c>
      <c r="F347" s="18" t="s">
        <v>106</v>
      </c>
      <c r="G347" s="16" t="s">
        <v>3</v>
      </c>
      <c r="H347" s="16" t="s">
        <v>49</v>
      </c>
      <c r="I347" s="16" t="s">
        <v>61</v>
      </c>
    </row>
    <row r="348" spans="2:9" x14ac:dyDescent="0.25">
      <c r="B348" s="16" t="s">
        <v>26</v>
      </c>
      <c r="C348" s="17">
        <v>45057</v>
      </c>
      <c r="D348" s="16">
        <v>71571</v>
      </c>
      <c r="E348" s="16">
        <v>64460</v>
      </c>
      <c r="F348" s="18" t="s">
        <v>139</v>
      </c>
      <c r="G348" s="16" t="s">
        <v>93</v>
      </c>
      <c r="H348" s="16" t="s">
        <v>28</v>
      </c>
      <c r="I348" s="16" t="s">
        <v>84</v>
      </c>
    </row>
    <row r="349" spans="2:9" x14ac:dyDescent="0.25">
      <c r="B349" s="16" t="s">
        <v>26</v>
      </c>
      <c r="C349" s="17">
        <v>45057</v>
      </c>
      <c r="D349" s="16">
        <v>26855</v>
      </c>
      <c r="E349" s="16">
        <v>13510</v>
      </c>
      <c r="F349" s="18" t="s">
        <v>140</v>
      </c>
      <c r="G349" s="16" t="s">
        <v>3</v>
      </c>
      <c r="H349" s="16" t="s">
        <v>28</v>
      </c>
      <c r="I349" s="16" t="s">
        <v>61</v>
      </c>
    </row>
    <row r="350" spans="2:9" x14ac:dyDescent="0.25">
      <c r="B350" s="16" t="s">
        <v>26</v>
      </c>
      <c r="C350" s="17">
        <v>45057</v>
      </c>
      <c r="D350" s="16">
        <v>26859</v>
      </c>
      <c r="E350" s="16">
        <v>13510</v>
      </c>
      <c r="F350" s="18" t="s">
        <v>140</v>
      </c>
      <c r="G350" s="16" t="s">
        <v>3</v>
      </c>
      <c r="H350" s="16" t="s">
        <v>28</v>
      </c>
      <c r="I350" s="16" t="s">
        <v>61</v>
      </c>
    </row>
    <row r="351" spans="2:9" x14ac:dyDescent="0.25">
      <c r="B351" s="16" t="s">
        <v>22</v>
      </c>
      <c r="C351" s="17">
        <v>45057</v>
      </c>
      <c r="D351" s="16">
        <v>71569</v>
      </c>
      <c r="E351" s="16">
        <v>64460</v>
      </c>
      <c r="F351" s="18" t="s">
        <v>139</v>
      </c>
      <c r="G351" s="16" t="s">
        <v>93</v>
      </c>
      <c r="H351" s="16" t="s">
        <v>28</v>
      </c>
      <c r="I351" s="16" t="s">
        <v>84</v>
      </c>
    </row>
    <row r="352" spans="2:9" x14ac:dyDescent="0.25">
      <c r="B352" s="16" t="s">
        <v>22</v>
      </c>
      <c r="C352" s="17">
        <v>45057</v>
      </c>
      <c r="D352" s="16">
        <v>1355093</v>
      </c>
      <c r="E352" s="16">
        <v>13235</v>
      </c>
      <c r="F352" s="18" t="s">
        <v>99</v>
      </c>
      <c r="G352" s="16" t="s">
        <v>3</v>
      </c>
      <c r="H352" s="16" t="s">
        <v>28</v>
      </c>
      <c r="I352" s="16" t="s">
        <v>61</v>
      </c>
    </row>
    <row r="353" spans="2:9" x14ac:dyDescent="0.25">
      <c r="B353" s="16" t="s">
        <v>22</v>
      </c>
      <c r="C353" s="17">
        <v>45057</v>
      </c>
      <c r="D353" s="16">
        <v>26856</v>
      </c>
      <c r="E353" s="16">
        <v>13510</v>
      </c>
      <c r="F353" s="18" t="s">
        <v>140</v>
      </c>
      <c r="G353" s="16" t="s">
        <v>3</v>
      </c>
      <c r="H353" s="16" t="s">
        <v>28</v>
      </c>
      <c r="I353" s="16" t="s">
        <v>61</v>
      </c>
    </row>
    <row r="354" spans="2:9" x14ac:dyDescent="0.25">
      <c r="B354" s="16" t="s">
        <v>2</v>
      </c>
      <c r="C354" s="17">
        <v>45057</v>
      </c>
      <c r="D354" s="16">
        <v>4310680</v>
      </c>
      <c r="E354" s="16">
        <v>1174</v>
      </c>
      <c r="F354" s="18" t="s">
        <v>100</v>
      </c>
      <c r="G354" s="16" t="s">
        <v>4</v>
      </c>
      <c r="H354" s="16" t="s">
        <v>21</v>
      </c>
      <c r="I354" s="16" t="s">
        <v>17</v>
      </c>
    </row>
    <row r="355" spans="2:9" x14ac:dyDescent="0.25">
      <c r="B355" s="16" t="s">
        <v>22</v>
      </c>
      <c r="C355" s="17">
        <v>45057</v>
      </c>
      <c r="D355" s="16">
        <v>4310675</v>
      </c>
      <c r="E355" s="16">
        <v>1174</v>
      </c>
      <c r="F355" s="18" t="s">
        <v>100</v>
      </c>
      <c r="G355" s="16" t="s">
        <v>4</v>
      </c>
      <c r="H355" s="16" t="s">
        <v>21</v>
      </c>
      <c r="I355" s="16" t="s">
        <v>17</v>
      </c>
    </row>
    <row r="356" spans="2:9" x14ac:dyDescent="0.25">
      <c r="B356" s="16" t="s">
        <v>22</v>
      </c>
      <c r="C356" s="17">
        <v>45057</v>
      </c>
      <c r="D356" s="16">
        <v>11060343</v>
      </c>
      <c r="E356" s="16">
        <v>9455</v>
      </c>
      <c r="F356" s="18" t="s">
        <v>151</v>
      </c>
      <c r="G356" s="16" t="s">
        <v>1</v>
      </c>
      <c r="H356" s="16" t="s">
        <v>21</v>
      </c>
      <c r="I356" s="16" t="s">
        <v>17</v>
      </c>
    </row>
    <row r="357" spans="2:9" x14ac:dyDescent="0.25">
      <c r="B357" s="16" t="s">
        <v>22</v>
      </c>
      <c r="C357" s="17">
        <v>45057</v>
      </c>
      <c r="D357" s="16">
        <v>814687</v>
      </c>
      <c r="E357" s="16">
        <v>9364</v>
      </c>
      <c r="F357" s="18" t="s">
        <v>141</v>
      </c>
      <c r="G357" s="16" t="s">
        <v>1</v>
      </c>
      <c r="H357" s="16" t="s">
        <v>21</v>
      </c>
      <c r="I357" s="16" t="s">
        <v>17</v>
      </c>
    </row>
    <row r="358" spans="2:9" x14ac:dyDescent="0.25">
      <c r="B358" s="16" t="s">
        <v>40</v>
      </c>
      <c r="C358" s="17">
        <v>45057</v>
      </c>
      <c r="D358" s="16">
        <v>15870</v>
      </c>
      <c r="E358" s="16">
        <v>70485</v>
      </c>
      <c r="F358" s="18" t="s">
        <v>101</v>
      </c>
      <c r="G358" s="16" t="s">
        <v>52</v>
      </c>
      <c r="H358" s="16" t="s">
        <v>21</v>
      </c>
      <c r="I358" s="16" t="s">
        <v>17</v>
      </c>
    </row>
    <row r="359" spans="2:9" x14ac:dyDescent="0.25">
      <c r="B359" s="16" t="s">
        <v>26</v>
      </c>
      <c r="C359" s="17">
        <v>45057</v>
      </c>
      <c r="D359" s="16">
        <v>150435</v>
      </c>
      <c r="E359" s="16">
        <v>63007</v>
      </c>
      <c r="F359" s="18" t="s">
        <v>62</v>
      </c>
      <c r="G359" s="16" t="s">
        <v>5</v>
      </c>
      <c r="H359" s="16" t="s">
        <v>24</v>
      </c>
      <c r="I359" s="16" t="s">
        <v>61</v>
      </c>
    </row>
    <row r="360" spans="2:9" x14ac:dyDescent="0.25">
      <c r="B360" s="16" t="s">
        <v>26</v>
      </c>
      <c r="C360" s="17">
        <v>45057</v>
      </c>
      <c r="D360" s="16">
        <v>814676</v>
      </c>
      <c r="E360" s="16">
        <v>9364</v>
      </c>
      <c r="F360" s="18" t="s">
        <v>141</v>
      </c>
      <c r="G360" s="16" t="s">
        <v>1</v>
      </c>
      <c r="H360" s="16" t="s">
        <v>24</v>
      </c>
      <c r="I360" s="16" t="s">
        <v>25</v>
      </c>
    </row>
    <row r="361" spans="2:9" x14ac:dyDescent="0.25">
      <c r="B361" s="16" t="s">
        <v>2</v>
      </c>
      <c r="C361" s="17">
        <v>45057</v>
      </c>
      <c r="D361" s="16">
        <v>3805333</v>
      </c>
      <c r="E361" s="16">
        <v>3506</v>
      </c>
      <c r="F361" s="18" t="s">
        <v>77</v>
      </c>
      <c r="G361" s="16" t="s">
        <v>4</v>
      </c>
      <c r="H361" s="16" t="s">
        <v>24</v>
      </c>
      <c r="I361" s="16" t="s">
        <v>61</v>
      </c>
    </row>
    <row r="362" spans="2:9" x14ac:dyDescent="0.25">
      <c r="B362" s="16" t="s">
        <v>26</v>
      </c>
      <c r="C362" s="17">
        <v>45057</v>
      </c>
      <c r="D362" s="16">
        <v>2825522</v>
      </c>
      <c r="E362" s="16">
        <v>9468</v>
      </c>
      <c r="F362" s="18" t="s">
        <v>145</v>
      </c>
      <c r="G362" s="16" t="s">
        <v>5</v>
      </c>
      <c r="H362" s="16" t="s">
        <v>24</v>
      </c>
      <c r="I362" s="16" t="s">
        <v>61</v>
      </c>
    </row>
    <row r="363" spans="2:9" x14ac:dyDescent="0.25">
      <c r="B363" s="16" t="s">
        <v>33</v>
      </c>
      <c r="C363" s="17">
        <v>45057</v>
      </c>
      <c r="D363" s="16">
        <v>2825570</v>
      </c>
      <c r="E363" s="16">
        <v>9468</v>
      </c>
      <c r="F363" s="18" t="s">
        <v>145</v>
      </c>
      <c r="G363" s="16" t="s">
        <v>5</v>
      </c>
      <c r="H363" s="16" t="s">
        <v>24</v>
      </c>
      <c r="I363" s="16" t="s">
        <v>61</v>
      </c>
    </row>
    <row r="364" spans="2:9" x14ac:dyDescent="0.25">
      <c r="B364" s="16" t="s">
        <v>22</v>
      </c>
      <c r="C364" s="17">
        <v>45057</v>
      </c>
      <c r="D364" s="16">
        <v>2196481</v>
      </c>
      <c r="E364" s="16">
        <v>9461</v>
      </c>
      <c r="F364" s="18" t="s">
        <v>149</v>
      </c>
      <c r="G364" s="16" t="s">
        <v>52</v>
      </c>
      <c r="H364" s="16" t="s">
        <v>24</v>
      </c>
      <c r="I364" s="16" t="s">
        <v>61</v>
      </c>
    </row>
    <row r="365" spans="2:9" x14ac:dyDescent="0.25">
      <c r="B365" s="16" t="s">
        <v>22</v>
      </c>
      <c r="C365" s="17">
        <v>45057</v>
      </c>
      <c r="D365" s="16">
        <v>150423</v>
      </c>
      <c r="E365" s="16">
        <v>63007</v>
      </c>
      <c r="F365" s="18" t="s">
        <v>62</v>
      </c>
      <c r="G365" s="16" t="s">
        <v>5</v>
      </c>
      <c r="H365" s="16" t="s">
        <v>24</v>
      </c>
      <c r="I365" s="16" t="s">
        <v>61</v>
      </c>
    </row>
    <row r="366" spans="2:9" x14ac:dyDescent="0.25">
      <c r="B366" s="16" t="s">
        <v>22</v>
      </c>
      <c r="C366" s="17">
        <v>45057</v>
      </c>
      <c r="D366" s="16">
        <v>150424</v>
      </c>
      <c r="E366" s="16">
        <v>63007</v>
      </c>
      <c r="F366" s="18" t="s">
        <v>62</v>
      </c>
      <c r="G366" s="16" t="s">
        <v>5</v>
      </c>
      <c r="H366" s="16" t="s">
        <v>24</v>
      </c>
      <c r="I366" s="16" t="s">
        <v>61</v>
      </c>
    </row>
    <row r="367" spans="2:9" x14ac:dyDescent="0.25">
      <c r="B367" s="16" t="s">
        <v>33</v>
      </c>
      <c r="C367" s="17">
        <v>45057</v>
      </c>
      <c r="D367" s="16">
        <v>19294023</v>
      </c>
      <c r="E367" s="16">
        <v>11475</v>
      </c>
      <c r="F367" s="18" t="s">
        <v>150</v>
      </c>
      <c r="G367" s="16" t="s">
        <v>3</v>
      </c>
      <c r="H367" s="16" t="s">
        <v>24</v>
      </c>
      <c r="I367" s="16" t="s">
        <v>61</v>
      </c>
    </row>
    <row r="368" spans="2:9" x14ac:dyDescent="0.25">
      <c r="B368" s="16" t="s">
        <v>40</v>
      </c>
      <c r="C368" s="17">
        <v>45057</v>
      </c>
      <c r="D368" s="16">
        <v>2825573</v>
      </c>
      <c r="E368" s="16">
        <v>9468</v>
      </c>
      <c r="F368" s="18" t="s">
        <v>145</v>
      </c>
      <c r="G368" s="16" t="s">
        <v>5</v>
      </c>
      <c r="H368" s="16" t="s">
        <v>24</v>
      </c>
      <c r="I368" s="16" t="s">
        <v>61</v>
      </c>
    </row>
    <row r="369" spans="2:9" x14ac:dyDescent="0.25">
      <c r="B369" s="16" t="s">
        <v>26</v>
      </c>
      <c r="C369" s="17">
        <v>45057</v>
      </c>
      <c r="D369" s="16">
        <v>33940</v>
      </c>
      <c r="E369" s="16">
        <v>6735</v>
      </c>
      <c r="F369" s="18" t="s">
        <v>144</v>
      </c>
      <c r="G369" s="16" t="s">
        <v>3</v>
      </c>
      <c r="H369" s="16" t="s">
        <v>38</v>
      </c>
      <c r="I369" s="16" t="s">
        <v>17</v>
      </c>
    </row>
    <row r="370" spans="2:9" x14ac:dyDescent="0.25">
      <c r="B370" s="16" t="s">
        <v>26</v>
      </c>
      <c r="C370" s="17">
        <v>45057</v>
      </c>
      <c r="D370" s="16">
        <v>25217</v>
      </c>
      <c r="E370" s="16">
        <v>63875</v>
      </c>
      <c r="F370" s="18" t="s">
        <v>146</v>
      </c>
      <c r="G370" s="16" t="s">
        <v>5</v>
      </c>
      <c r="H370" s="16" t="s">
        <v>38</v>
      </c>
      <c r="I370" s="16" t="s">
        <v>17</v>
      </c>
    </row>
    <row r="371" spans="2:9" x14ac:dyDescent="0.25">
      <c r="B371" s="16" t="s">
        <v>26</v>
      </c>
      <c r="C371" s="17">
        <v>45058</v>
      </c>
      <c r="D371" s="16">
        <v>13112</v>
      </c>
      <c r="E371" s="16">
        <v>63651</v>
      </c>
      <c r="F371" s="18" t="s">
        <v>27</v>
      </c>
      <c r="G371" s="16" t="s">
        <v>52</v>
      </c>
      <c r="H371" s="16" t="s">
        <v>97</v>
      </c>
      <c r="I371" s="16" t="s">
        <v>17</v>
      </c>
    </row>
    <row r="372" spans="2:9" x14ac:dyDescent="0.25">
      <c r="B372" s="16" t="s">
        <v>26</v>
      </c>
      <c r="C372" s="17">
        <v>45058</v>
      </c>
      <c r="D372" s="16">
        <v>11485</v>
      </c>
      <c r="E372" s="16">
        <v>13085</v>
      </c>
      <c r="F372" s="18" t="s">
        <v>155</v>
      </c>
      <c r="G372" s="16" t="s">
        <v>3</v>
      </c>
      <c r="H372" s="16" t="s">
        <v>71</v>
      </c>
      <c r="I372" s="16" t="s">
        <v>17</v>
      </c>
    </row>
    <row r="373" spans="2:9" x14ac:dyDescent="0.25">
      <c r="B373" s="16" t="s">
        <v>26</v>
      </c>
      <c r="C373" s="17">
        <v>45058</v>
      </c>
      <c r="D373" s="16">
        <v>18269</v>
      </c>
      <c r="E373" s="16">
        <v>13085</v>
      </c>
      <c r="F373" s="18" t="s">
        <v>155</v>
      </c>
      <c r="G373" s="16" t="s">
        <v>3</v>
      </c>
      <c r="H373" s="16" t="s">
        <v>71</v>
      </c>
      <c r="I373" s="16" t="s">
        <v>17</v>
      </c>
    </row>
    <row r="374" spans="2:9" x14ac:dyDescent="0.25">
      <c r="B374" s="16" t="s">
        <v>26</v>
      </c>
      <c r="C374" s="17">
        <v>45058</v>
      </c>
      <c r="D374" s="16">
        <v>265829</v>
      </c>
      <c r="E374" s="16">
        <v>3578</v>
      </c>
      <c r="F374" s="18" t="s">
        <v>161</v>
      </c>
      <c r="G374" s="16" t="s">
        <v>54</v>
      </c>
      <c r="H374" s="16" t="s">
        <v>71</v>
      </c>
      <c r="I374" s="16" t="s">
        <v>17</v>
      </c>
    </row>
    <row r="375" spans="2:9" x14ac:dyDescent="0.25">
      <c r="B375" s="16" t="s">
        <v>22</v>
      </c>
      <c r="C375" s="17">
        <v>45058</v>
      </c>
      <c r="D375" s="16">
        <v>971444</v>
      </c>
      <c r="E375" s="16">
        <v>9434</v>
      </c>
      <c r="F375" s="18" t="s">
        <v>23</v>
      </c>
      <c r="G375" s="16" t="s">
        <v>1</v>
      </c>
      <c r="H375" s="16" t="s">
        <v>36</v>
      </c>
      <c r="I375" s="16" t="s">
        <v>61</v>
      </c>
    </row>
    <row r="376" spans="2:9" x14ac:dyDescent="0.25">
      <c r="B376" s="16" t="s">
        <v>40</v>
      </c>
      <c r="C376" s="17">
        <v>45058</v>
      </c>
      <c r="D376" s="16">
        <v>207759</v>
      </c>
      <c r="E376" s="16">
        <v>10910</v>
      </c>
      <c r="F376" s="18" t="s">
        <v>157</v>
      </c>
      <c r="G376" s="16" t="s">
        <v>3</v>
      </c>
      <c r="H376" s="16" t="s">
        <v>36</v>
      </c>
      <c r="I376" s="16" t="s">
        <v>61</v>
      </c>
    </row>
    <row r="377" spans="2:9" x14ac:dyDescent="0.25">
      <c r="B377" s="16" t="s">
        <v>33</v>
      </c>
      <c r="C377" s="17">
        <v>45058</v>
      </c>
      <c r="D377" s="16">
        <v>53501</v>
      </c>
      <c r="E377" s="16">
        <v>68566</v>
      </c>
      <c r="F377" s="18" t="s">
        <v>156</v>
      </c>
      <c r="G377" s="16" t="s">
        <v>5</v>
      </c>
      <c r="H377" s="16" t="s">
        <v>49</v>
      </c>
      <c r="I377" s="16" t="s">
        <v>17</v>
      </c>
    </row>
    <row r="378" spans="2:9" x14ac:dyDescent="0.25">
      <c r="B378" s="16" t="s">
        <v>40</v>
      </c>
      <c r="C378" s="17">
        <v>45058</v>
      </c>
      <c r="D378" s="16">
        <v>860497</v>
      </c>
      <c r="E378" s="16">
        <v>1019</v>
      </c>
      <c r="F378" s="18" t="s">
        <v>158</v>
      </c>
      <c r="G378" s="16" t="s">
        <v>5</v>
      </c>
      <c r="H378" s="16" t="s">
        <v>49</v>
      </c>
      <c r="I378" s="16" t="s">
        <v>159</v>
      </c>
    </row>
    <row r="379" spans="2:9" x14ac:dyDescent="0.25">
      <c r="B379" s="16" t="s">
        <v>40</v>
      </c>
      <c r="C379" s="17">
        <v>45058</v>
      </c>
      <c r="D379" s="16">
        <v>863199</v>
      </c>
      <c r="E379" s="16">
        <v>1019</v>
      </c>
      <c r="F379" s="18" t="s">
        <v>158</v>
      </c>
      <c r="G379" s="16" t="s">
        <v>5</v>
      </c>
      <c r="H379" s="16" t="s">
        <v>49</v>
      </c>
      <c r="I379" s="16" t="s">
        <v>159</v>
      </c>
    </row>
    <row r="380" spans="2:9" x14ac:dyDescent="0.25">
      <c r="B380" s="16" t="s">
        <v>40</v>
      </c>
      <c r="C380" s="17">
        <v>45058</v>
      </c>
      <c r="D380" s="16">
        <v>863198</v>
      </c>
      <c r="E380" s="16">
        <v>1019</v>
      </c>
      <c r="F380" s="18" t="s">
        <v>158</v>
      </c>
      <c r="G380" s="16" t="s">
        <v>5</v>
      </c>
      <c r="H380" s="16" t="s">
        <v>49</v>
      </c>
      <c r="I380" s="16" t="s">
        <v>159</v>
      </c>
    </row>
    <row r="381" spans="2:9" x14ac:dyDescent="0.25">
      <c r="B381" s="16" t="s">
        <v>40</v>
      </c>
      <c r="C381" s="17">
        <v>45058</v>
      </c>
      <c r="D381" s="16">
        <v>860498</v>
      </c>
      <c r="E381" s="16">
        <v>1019</v>
      </c>
      <c r="F381" s="18" t="s">
        <v>158</v>
      </c>
      <c r="G381" s="16" t="s">
        <v>5</v>
      </c>
      <c r="H381" s="16" t="s">
        <v>49</v>
      </c>
      <c r="I381" s="16" t="s">
        <v>159</v>
      </c>
    </row>
    <row r="382" spans="2:9" x14ac:dyDescent="0.25">
      <c r="B382" s="16" t="s">
        <v>40</v>
      </c>
      <c r="C382" s="17">
        <v>45058</v>
      </c>
      <c r="D382" s="16">
        <v>860499</v>
      </c>
      <c r="E382" s="16">
        <v>1019</v>
      </c>
      <c r="F382" s="18" t="s">
        <v>158</v>
      </c>
      <c r="G382" s="16" t="s">
        <v>5</v>
      </c>
      <c r="H382" s="16" t="s">
        <v>49</v>
      </c>
      <c r="I382" s="16" t="s">
        <v>159</v>
      </c>
    </row>
    <row r="383" spans="2:9" x14ac:dyDescent="0.25">
      <c r="B383" s="16" t="s">
        <v>40</v>
      </c>
      <c r="C383" s="17">
        <v>45058</v>
      </c>
      <c r="D383" s="16">
        <v>8369212</v>
      </c>
      <c r="E383" s="16">
        <v>9389</v>
      </c>
      <c r="F383" s="18" t="s">
        <v>119</v>
      </c>
      <c r="G383" s="16" t="s">
        <v>4</v>
      </c>
      <c r="H383" s="16" t="s">
        <v>49</v>
      </c>
      <c r="I383" s="16" t="s">
        <v>17</v>
      </c>
    </row>
    <row r="384" spans="2:9" x14ac:dyDescent="0.25">
      <c r="B384" s="16" t="s">
        <v>2</v>
      </c>
      <c r="C384" s="17">
        <v>45058</v>
      </c>
      <c r="D384" s="16">
        <v>953301</v>
      </c>
      <c r="E384" s="16">
        <v>9403</v>
      </c>
      <c r="F384" s="18" t="s">
        <v>153</v>
      </c>
      <c r="G384" s="16" t="s">
        <v>5</v>
      </c>
      <c r="H384" s="16" t="s">
        <v>28</v>
      </c>
      <c r="I384" s="16" t="s">
        <v>61</v>
      </c>
    </row>
    <row r="385" spans="2:9" x14ac:dyDescent="0.25">
      <c r="B385" s="16" t="s">
        <v>2</v>
      </c>
      <c r="C385" s="17">
        <v>45058</v>
      </c>
      <c r="D385" s="16">
        <v>947942</v>
      </c>
      <c r="E385" s="16">
        <v>9403</v>
      </c>
      <c r="F385" s="18" t="s">
        <v>153</v>
      </c>
      <c r="G385" s="16" t="s">
        <v>5</v>
      </c>
      <c r="H385" s="16" t="s">
        <v>28</v>
      </c>
      <c r="I385" s="16" t="s">
        <v>61</v>
      </c>
    </row>
    <row r="386" spans="2:9" x14ac:dyDescent="0.25">
      <c r="B386" s="16" t="s">
        <v>2</v>
      </c>
      <c r="C386" s="17">
        <v>45058</v>
      </c>
      <c r="D386" s="16">
        <v>947941</v>
      </c>
      <c r="E386" s="16">
        <v>9403</v>
      </c>
      <c r="F386" s="18" t="s">
        <v>153</v>
      </c>
      <c r="G386" s="16" t="s">
        <v>5</v>
      </c>
      <c r="H386" s="16" t="s">
        <v>28</v>
      </c>
      <c r="I386" s="16" t="s">
        <v>61</v>
      </c>
    </row>
    <row r="387" spans="2:9" x14ac:dyDescent="0.25">
      <c r="B387" s="16" t="s">
        <v>22</v>
      </c>
      <c r="C387" s="17">
        <v>45058</v>
      </c>
      <c r="D387" s="16">
        <v>953175</v>
      </c>
      <c r="E387" s="16">
        <v>9403</v>
      </c>
      <c r="F387" s="18" t="s">
        <v>153</v>
      </c>
      <c r="G387" s="16" t="s">
        <v>5</v>
      </c>
      <c r="H387" s="16" t="s">
        <v>28</v>
      </c>
      <c r="I387" s="16" t="s">
        <v>61</v>
      </c>
    </row>
    <row r="388" spans="2:9" x14ac:dyDescent="0.25">
      <c r="B388" s="16" t="s">
        <v>22</v>
      </c>
      <c r="C388" s="17">
        <v>45058</v>
      </c>
      <c r="D388" s="16">
        <v>947934</v>
      </c>
      <c r="E388" s="16">
        <v>9403</v>
      </c>
      <c r="F388" s="18" t="s">
        <v>153</v>
      </c>
      <c r="G388" s="16" t="s">
        <v>5</v>
      </c>
      <c r="H388" s="16" t="s">
        <v>28</v>
      </c>
      <c r="I388" s="16" t="s">
        <v>61</v>
      </c>
    </row>
    <row r="389" spans="2:9" x14ac:dyDescent="0.25">
      <c r="B389" s="16" t="s">
        <v>26</v>
      </c>
      <c r="C389" s="17">
        <v>45058</v>
      </c>
      <c r="D389" s="16">
        <v>277940</v>
      </c>
      <c r="E389" s="16">
        <v>9519</v>
      </c>
      <c r="F389" s="18" t="s">
        <v>95</v>
      </c>
      <c r="G389" s="16" t="s">
        <v>5</v>
      </c>
      <c r="H389" s="16" t="s">
        <v>28</v>
      </c>
      <c r="I389" s="16" t="s">
        <v>61</v>
      </c>
    </row>
    <row r="390" spans="2:9" x14ac:dyDescent="0.25">
      <c r="B390" s="16" t="s">
        <v>22</v>
      </c>
      <c r="C390" s="17">
        <v>45058</v>
      </c>
      <c r="D390" s="16">
        <v>277941</v>
      </c>
      <c r="E390" s="16">
        <v>9519</v>
      </c>
      <c r="F390" s="18" t="s">
        <v>95</v>
      </c>
      <c r="G390" s="16" t="s">
        <v>5</v>
      </c>
      <c r="H390" s="16" t="s">
        <v>28</v>
      </c>
      <c r="I390" s="16" t="s">
        <v>61</v>
      </c>
    </row>
    <row r="391" spans="2:9" x14ac:dyDescent="0.25">
      <c r="B391" s="16" t="s">
        <v>26</v>
      </c>
      <c r="C391" s="17">
        <v>45058</v>
      </c>
      <c r="D391" s="16">
        <v>95071</v>
      </c>
      <c r="E391" s="16">
        <v>2049</v>
      </c>
      <c r="F391" s="18" t="s">
        <v>154</v>
      </c>
      <c r="G391" s="16" t="s">
        <v>1</v>
      </c>
      <c r="H391" s="16" t="s">
        <v>46</v>
      </c>
      <c r="I391" s="16" t="s">
        <v>17</v>
      </c>
    </row>
    <row r="392" spans="2:9" x14ac:dyDescent="0.25">
      <c r="B392" s="16" t="s">
        <v>22</v>
      </c>
      <c r="C392" s="17">
        <v>45058</v>
      </c>
      <c r="D392" s="16">
        <v>95070</v>
      </c>
      <c r="E392" s="16">
        <v>2049</v>
      </c>
      <c r="F392" s="18" t="s">
        <v>154</v>
      </c>
      <c r="G392" s="16" t="s">
        <v>1</v>
      </c>
      <c r="H392" s="16" t="s">
        <v>46</v>
      </c>
      <c r="I392" s="16" t="s">
        <v>17</v>
      </c>
    </row>
    <row r="393" spans="2:9" x14ac:dyDescent="0.25">
      <c r="B393" s="16" t="s">
        <v>22</v>
      </c>
      <c r="C393" s="17">
        <v>45058</v>
      </c>
      <c r="D393" s="16">
        <v>74261</v>
      </c>
      <c r="E393" s="16">
        <v>13876</v>
      </c>
      <c r="F393" s="18" t="s">
        <v>135</v>
      </c>
      <c r="G393" s="16" t="s">
        <v>3</v>
      </c>
      <c r="H393" s="16" t="s">
        <v>39</v>
      </c>
      <c r="I393" s="16" t="s">
        <v>61</v>
      </c>
    </row>
    <row r="394" spans="2:9" x14ac:dyDescent="0.25">
      <c r="B394" s="16" t="s">
        <v>22</v>
      </c>
      <c r="C394" s="17">
        <v>45058</v>
      </c>
      <c r="D394" s="16">
        <v>199598</v>
      </c>
      <c r="E394" s="16">
        <v>1100</v>
      </c>
      <c r="F394" s="18" t="s">
        <v>152</v>
      </c>
      <c r="G394" s="16" t="s">
        <v>5</v>
      </c>
      <c r="H394" s="16" t="s">
        <v>24</v>
      </c>
      <c r="I394" s="16" t="s">
        <v>61</v>
      </c>
    </row>
    <row r="395" spans="2:9" x14ac:dyDescent="0.25">
      <c r="B395" s="16" t="s">
        <v>2</v>
      </c>
      <c r="C395" s="17">
        <v>45058</v>
      </c>
      <c r="D395" s="16">
        <v>1356742</v>
      </c>
      <c r="E395" s="16">
        <v>13235</v>
      </c>
      <c r="F395" s="18" t="s">
        <v>99</v>
      </c>
      <c r="G395" s="16" t="s">
        <v>4</v>
      </c>
      <c r="H395" s="16" t="s">
        <v>24</v>
      </c>
      <c r="I395" s="16" t="s">
        <v>17</v>
      </c>
    </row>
    <row r="396" spans="2:9" x14ac:dyDescent="0.25">
      <c r="B396" s="16" t="s">
        <v>33</v>
      </c>
      <c r="C396" s="17">
        <v>45058</v>
      </c>
      <c r="D396" s="16">
        <v>207763</v>
      </c>
      <c r="E396" s="16">
        <v>10910</v>
      </c>
      <c r="F396" s="18" t="s">
        <v>157</v>
      </c>
      <c r="G396" s="16" t="s">
        <v>3</v>
      </c>
      <c r="H396" s="16" t="s">
        <v>24</v>
      </c>
      <c r="I396" s="16" t="s">
        <v>61</v>
      </c>
    </row>
    <row r="397" spans="2:9" x14ac:dyDescent="0.25">
      <c r="B397" s="16" t="s">
        <v>40</v>
      </c>
      <c r="C397" s="17">
        <v>45058</v>
      </c>
      <c r="D397" s="16">
        <v>150428</v>
      </c>
      <c r="E397" s="16">
        <v>63007</v>
      </c>
      <c r="F397" s="18" t="s">
        <v>62</v>
      </c>
      <c r="G397" s="16" t="s">
        <v>5</v>
      </c>
      <c r="H397" s="16" t="s">
        <v>24</v>
      </c>
      <c r="I397" s="16" t="s">
        <v>61</v>
      </c>
    </row>
    <row r="398" spans="2:9" x14ac:dyDescent="0.25">
      <c r="B398" s="16" t="s">
        <v>40</v>
      </c>
      <c r="C398" s="17">
        <v>45058</v>
      </c>
      <c r="D398" s="16">
        <v>5046773</v>
      </c>
      <c r="E398" s="16">
        <v>15102</v>
      </c>
      <c r="F398" s="18" t="s">
        <v>160</v>
      </c>
      <c r="G398" s="16" t="s">
        <v>3</v>
      </c>
      <c r="H398" s="16" t="s">
        <v>24</v>
      </c>
      <c r="I398" s="16" t="s">
        <v>120</v>
      </c>
    </row>
    <row r="399" spans="2:9" x14ac:dyDescent="0.25">
      <c r="B399" s="16" t="s">
        <v>40</v>
      </c>
      <c r="C399" s="17">
        <v>45059</v>
      </c>
      <c r="D399" s="16">
        <v>189240</v>
      </c>
      <c r="E399" s="16">
        <v>6563</v>
      </c>
      <c r="F399" s="18" t="s">
        <v>162</v>
      </c>
      <c r="G399" s="16" t="s">
        <v>6</v>
      </c>
      <c r="H399" s="16" t="s">
        <v>38</v>
      </c>
      <c r="I399" s="16" t="s">
        <v>163</v>
      </c>
    </row>
    <row r="400" spans="2:9" x14ac:dyDescent="0.25">
      <c r="B400" s="16" t="s">
        <v>26</v>
      </c>
      <c r="C400" s="17">
        <v>45059</v>
      </c>
      <c r="D400" s="16">
        <v>47485</v>
      </c>
      <c r="E400" s="16">
        <v>10348</v>
      </c>
      <c r="F400" s="18" t="s">
        <v>76</v>
      </c>
      <c r="G400" s="16" t="s">
        <v>7</v>
      </c>
      <c r="H400" s="16" t="s">
        <v>38</v>
      </c>
      <c r="I400" s="16" t="s">
        <v>163</v>
      </c>
    </row>
    <row r="401" spans="2:9" x14ac:dyDescent="0.25">
      <c r="B401" s="16" t="s">
        <v>2</v>
      </c>
      <c r="C401" s="17">
        <v>45061</v>
      </c>
      <c r="D401" s="16">
        <v>1259599</v>
      </c>
      <c r="E401" s="16">
        <v>63599</v>
      </c>
      <c r="F401" s="18" t="s">
        <v>164</v>
      </c>
      <c r="G401" s="16" t="s">
        <v>5</v>
      </c>
      <c r="H401" s="16" t="s">
        <v>97</v>
      </c>
      <c r="I401" s="16" t="s">
        <v>132</v>
      </c>
    </row>
    <row r="402" spans="2:9" x14ac:dyDescent="0.25">
      <c r="B402" s="16" t="s">
        <v>2</v>
      </c>
      <c r="C402" s="17">
        <v>45061</v>
      </c>
      <c r="D402" s="16">
        <v>28575</v>
      </c>
      <c r="E402" s="16">
        <v>9388</v>
      </c>
      <c r="F402" s="18" t="s">
        <v>165</v>
      </c>
      <c r="G402" s="16" t="s">
        <v>5</v>
      </c>
      <c r="H402" s="16" t="s">
        <v>97</v>
      </c>
      <c r="I402" s="16" t="s">
        <v>132</v>
      </c>
    </row>
    <row r="403" spans="2:9" x14ac:dyDescent="0.25">
      <c r="B403" s="16" t="s">
        <v>26</v>
      </c>
      <c r="C403" s="17">
        <v>45061</v>
      </c>
      <c r="D403" s="16">
        <v>467956</v>
      </c>
      <c r="E403" s="16">
        <v>9417</v>
      </c>
      <c r="F403" s="18" t="s">
        <v>72</v>
      </c>
      <c r="G403" s="16" t="s">
        <v>5</v>
      </c>
      <c r="H403" s="16" t="s">
        <v>97</v>
      </c>
      <c r="I403" s="16" t="s">
        <v>17</v>
      </c>
    </row>
    <row r="404" spans="2:9" x14ac:dyDescent="0.25">
      <c r="B404" s="16" t="s">
        <v>26</v>
      </c>
      <c r="C404" s="17">
        <v>45061</v>
      </c>
      <c r="D404" s="16">
        <v>28572</v>
      </c>
      <c r="E404" s="16">
        <v>63599</v>
      </c>
      <c r="F404" s="18" t="s">
        <v>164</v>
      </c>
      <c r="G404" s="16" t="s">
        <v>5</v>
      </c>
      <c r="H404" s="16" t="s">
        <v>97</v>
      </c>
      <c r="I404" s="16" t="s">
        <v>61</v>
      </c>
    </row>
    <row r="405" spans="2:9" x14ac:dyDescent="0.25">
      <c r="B405" s="16" t="s">
        <v>26</v>
      </c>
      <c r="C405" s="17">
        <v>45061</v>
      </c>
      <c r="D405" s="16">
        <v>1259598</v>
      </c>
      <c r="E405" s="16">
        <v>9388</v>
      </c>
      <c r="F405" s="18" t="s">
        <v>165</v>
      </c>
      <c r="G405" s="16" t="s">
        <v>5</v>
      </c>
      <c r="H405" s="16" t="s">
        <v>97</v>
      </c>
      <c r="I405" s="16" t="s">
        <v>61</v>
      </c>
    </row>
    <row r="406" spans="2:9" x14ac:dyDescent="0.25">
      <c r="B406" s="16" t="s">
        <v>26</v>
      </c>
      <c r="C406" s="17">
        <v>45061</v>
      </c>
      <c r="D406" s="16">
        <v>1259597</v>
      </c>
      <c r="E406" s="16">
        <v>9388</v>
      </c>
      <c r="F406" s="18" t="s">
        <v>165</v>
      </c>
      <c r="G406" s="16" t="s">
        <v>5</v>
      </c>
      <c r="H406" s="16" t="s">
        <v>97</v>
      </c>
      <c r="I406" s="16" t="s">
        <v>61</v>
      </c>
    </row>
    <row r="407" spans="2:9" x14ac:dyDescent="0.25">
      <c r="B407" s="16" t="s">
        <v>22</v>
      </c>
      <c r="C407" s="17">
        <v>45061</v>
      </c>
      <c r="D407" s="16">
        <v>1259592</v>
      </c>
      <c r="E407" s="16">
        <v>9388</v>
      </c>
      <c r="F407" s="18" t="s">
        <v>165</v>
      </c>
      <c r="G407" s="16" t="s">
        <v>5</v>
      </c>
      <c r="H407" s="16" t="s">
        <v>97</v>
      </c>
      <c r="I407" s="16" t="s">
        <v>61</v>
      </c>
    </row>
    <row r="408" spans="2:9" x14ac:dyDescent="0.25">
      <c r="B408" s="16" t="s">
        <v>22</v>
      </c>
      <c r="C408" s="17">
        <v>45061</v>
      </c>
      <c r="D408" s="16">
        <v>1259672</v>
      </c>
      <c r="E408" s="16">
        <v>9388</v>
      </c>
      <c r="F408" s="18" t="s">
        <v>165</v>
      </c>
      <c r="G408" s="16" t="s">
        <v>5</v>
      </c>
      <c r="H408" s="16" t="s">
        <v>97</v>
      </c>
      <c r="I408" s="16" t="s">
        <v>61</v>
      </c>
    </row>
    <row r="409" spans="2:9" x14ac:dyDescent="0.25">
      <c r="B409" s="16" t="s">
        <v>22</v>
      </c>
      <c r="C409" s="17">
        <v>45061</v>
      </c>
      <c r="D409" s="16">
        <v>28566</v>
      </c>
      <c r="E409" s="16">
        <v>63599</v>
      </c>
      <c r="F409" s="18" t="s">
        <v>164</v>
      </c>
      <c r="G409" s="16" t="s">
        <v>5</v>
      </c>
      <c r="H409" s="16" t="s">
        <v>97</v>
      </c>
      <c r="I409" s="16" t="s">
        <v>61</v>
      </c>
    </row>
    <row r="410" spans="2:9" x14ac:dyDescent="0.25">
      <c r="B410" s="16" t="s">
        <v>26</v>
      </c>
      <c r="C410" s="17">
        <v>45061</v>
      </c>
      <c r="D410" s="16">
        <v>6724</v>
      </c>
      <c r="E410" s="16">
        <v>65176</v>
      </c>
      <c r="F410" s="18" t="s">
        <v>169</v>
      </c>
      <c r="G410" s="16" t="s">
        <v>5</v>
      </c>
      <c r="H410" s="16" t="s">
        <v>97</v>
      </c>
      <c r="I410" s="16" t="s">
        <v>61</v>
      </c>
    </row>
    <row r="411" spans="2:9" x14ac:dyDescent="0.25">
      <c r="B411" s="16" t="s">
        <v>26</v>
      </c>
      <c r="C411" s="17">
        <v>45061</v>
      </c>
      <c r="D411" s="16">
        <v>82402</v>
      </c>
      <c r="E411" s="16">
        <v>13169</v>
      </c>
      <c r="F411" s="18" t="s">
        <v>44</v>
      </c>
      <c r="G411" s="16" t="s">
        <v>5</v>
      </c>
      <c r="H411" s="16" t="s">
        <v>97</v>
      </c>
      <c r="I411" s="16" t="s">
        <v>61</v>
      </c>
    </row>
    <row r="412" spans="2:9" x14ac:dyDescent="0.25">
      <c r="B412" s="16" t="s">
        <v>26</v>
      </c>
      <c r="C412" s="17">
        <v>45061</v>
      </c>
      <c r="D412" s="16">
        <v>443436</v>
      </c>
      <c r="E412" s="16">
        <v>13168</v>
      </c>
      <c r="F412" s="18" t="s">
        <v>44</v>
      </c>
      <c r="G412" s="16" t="s">
        <v>5</v>
      </c>
      <c r="H412" s="16" t="s">
        <v>97</v>
      </c>
      <c r="I412" s="16" t="s">
        <v>61</v>
      </c>
    </row>
    <row r="413" spans="2:9" x14ac:dyDescent="0.25">
      <c r="B413" s="16" t="s">
        <v>26</v>
      </c>
      <c r="C413" s="17">
        <v>45061</v>
      </c>
      <c r="D413" s="16">
        <v>80243</v>
      </c>
      <c r="E413" s="16">
        <v>64319</v>
      </c>
      <c r="F413" s="18" t="s">
        <v>78</v>
      </c>
      <c r="G413" s="16" t="s">
        <v>3</v>
      </c>
      <c r="H413" s="16" t="s">
        <v>97</v>
      </c>
      <c r="I413" s="16" t="s">
        <v>17</v>
      </c>
    </row>
    <row r="414" spans="2:9" x14ac:dyDescent="0.25">
      <c r="B414" s="16" t="s">
        <v>26</v>
      </c>
      <c r="C414" s="17">
        <v>45061</v>
      </c>
      <c r="D414" s="16">
        <v>80239</v>
      </c>
      <c r="E414" s="16">
        <v>64319</v>
      </c>
      <c r="F414" s="18" t="s">
        <v>78</v>
      </c>
      <c r="G414" s="16" t="s">
        <v>3</v>
      </c>
      <c r="H414" s="16" t="s">
        <v>97</v>
      </c>
      <c r="I414" s="16" t="s">
        <v>17</v>
      </c>
    </row>
    <row r="415" spans="2:9" x14ac:dyDescent="0.25">
      <c r="B415" s="16" t="s">
        <v>26</v>
      </c>
      <c r="C415" s="17">
        <v>45061</v>
      </c>
      <c r="D415" s="16">
        <v>80238</v>
      </c>
      <c r="E415" s="16">
        <v>64319</v>
      </c>
      <c r="F415" s="18" t="s">
        <v>78</v>
      </c>
      <c r="G415" s="16" t="s">
        <v>3</v>
      </c>
      <c r="H415" s="16" t="s">
        <v>97</v>
      </c>
      <c r="I415" s="16" t="s">
        <v>17</v>
      </c>
    </row>
    <row r="416" spans="2:9" x14ac:dyDescent="0.25">
      <c r="B416" s="16" t="s">
        <v>26</v>
      </c>
      <c r="C416" s="17">
        <v>45061</v>
      </c>
      <c r="D416" s="16">
        <v>80240</v>
      </c>
      <c r="E416" s="16">
        <v>64319</v>
      </c>
      <c r="F416" s="18" t="s">
        <v>78</v>
      </c>
      <c r="G416" s="16" t="s">
        <v>3</v>
      </c>
      <c r="H416" s="16" t="s">
        <v>97</v>
      </c>
      <c r="I416" s="16" t="s">
        <v>17</v>
      </c>
    </row>
    <row r="417" spans="2:9" x14ac:dyDescent="0.25">
      <c r="B417" s="16" t="s">
        <v>26</v>
      </c>
      <c r="C417" s="17">
        <v>45061</v>
      </c>
      <c r="D417" s="16">
        <v>80241</v>
      </c>
      <c r="E417" s="16">
        <v>64319</v>
      </c>
      <c r="F417" s="18" t="s">
        <v>78</v>
      </c>
      <c r="G417" s="16" t="s">
        <v>3</v>
      </c>
      <c r="H417" s="16" t="s">
        <v>97</v>
      </c>
      <c r="I417" s="16" t="s">
        <v>17</v>
      </c>
    </row>
    <row r="418" spans="2:9" x14ac:dyDescent="0.25">
      <c r="B418" s="16" t="s">
        <v>26</v>
      </c>
      <c r="C418" s="17">
        <v>45061</v>
      </c>
      <c r="D418" s="16">
        <v>80242</v>
      </c>
      <c r="E418" s="16">
        <v>64319</v>
      </c>
      <c r="F418" s="18" t="s">
        <v>78</v>
      </c>
      <c r="G418" s="16" t="s">
        <v>3</v>
      </c>
      <c r="H418" s="16" t="s">
        <v>97</v>
      </c>
      <c r="I418" s="16" t="s">
        <v>17</v>
      </c>
    </row>
    <row r="419" spans="2:9" x14ac:dyDescent="0.25">
      <c r="B419" s="16" t="s">
        <v>33</v>
      </c>
      <c r="C419" s="17">
        <v>45061</v>
      </c>
      <c r="D419" s="16">
        <v>12398</v>
      </c>
      <c r="E419" s="16">
        <v>63651</v>
      </c>
      <c r="F419" s="18" t="s">
        <v>27</v>
      </c>
      <c r="G419" s="16" t="s">
        <v>52</v>
      </c>
      <c r="H419" s="16" t="s">
        <v>97</v>
      </c>
      <c r="I419" s="16" t="s">
        <v>132</v>
      </c>
    </row>
    <row r="420" spans="2:9" x14ac:dyDescent="0.25">
      <c r="B420" s="16" t="s">
        <v>33</v>
      </c>
      <c r="C420" s="17">
        <v>45061</v>
      </c>
      <c r="D420" s="16">
        <v>12681</v>
      </c>
      <c r="E420" s="16">
        <v>63651</v>
      </c>
      <c r="F420" s="18" t="s">
        <v>27</v>
      </c>
      <c r="G420" s="16" t="s">
        <v>52</v>
      </c>
      <c r="H420" s="16" t="s">
        <v>97</v>
      </c>
      <c r="I420" s="16" t="s">
        <v>132</v>
      </c>
    </row>
    <row r="421" spans="2:9" x14ac:dyDescent="0.25">
      <c r="B421" s="16" t="s">
        <v>40</v>
      </c>
      <c r="C421" s="17">
        <v>45061</v>
      </c>
      <c r="D421" s="16">
        <v>80237</v>
      </c>
      <c r="E421" s="16">
        <v>64319</v>
      </c>
      <c r="F421" s="18" t="s">
        <v>78</v>
      </c>
      <c r="G421" s="16" t="s">
        <v>3</v>
      </c>
      <c r="H421" s="16" t="s">
        <v>97</v>
      </c>
      <c r="I421" s="16" t="s">
        <v>132</v>
      </c>
    </row>
    <row r="422" spans="2:9" x14ac:dyDescent="0.25">
      <c r="B422" s="16" t="s">
        <v>40</v>
      </c>
      <c r="C422" s="17">
        <v>45061</v>
      </c>
      <c r="D422" s="16">
        <v>80236</v>
      </c>
      <c r="E422" s="16">
        <v>64319</v>
      </c>
      <c r="F422" s="18" t="s">
        <v>78</v>
      </c>
      <c r="G422" s="16" t="s">
        <v>3</v>
      </c>
      <c r="H422" s="16" t="s">
        <v>97</v>
      </c>
      <c r="I422" s="16" t="s">
        <v>132</v>
      </c>
    </row>
    <row r="423" spans="2:9" x14ac:dyDescent="0.25">
      <c r="B423" s="16" t="s">
        <v>40</v>
      </c>
      <c r="C423" s="17">
        <v>45061</v>
      </c>
      <c r="D423" s="16">
        <v>80232</v>
      </c>
      <c r="E423" s="16">
        <v>64319</v>
      </c>
      <c r="F423" s="18" t="s">
        <v>78</v>
      </c>
      <c r="G423" s="16" t="s">
        <v>3</v>
      </c>
      <c r="H423" s="16" t="s">
        <v>97</v>
      </c>
      <c r="I423" s="16" t="s">
        <v>132</v>
      </c>
    </row>
    <row r="424" spans="2:9" x14ac:dyDescent="0.25">
      <c r="B424" s="16" t="s">
        <v>40</v>
      </c>
      <c r="C424" s="17">
        <v>45061</v>
      </c>
      <c r="D424" s="16">
        <v>80233</v>
      </c>
      <c r="E424" s="16">
        <v>64319</v>
      </c>
      <c r="F424" s="18" t="s">
        <v>78</v>
      </c>
      <c r="G424" s="16" t="s">
        <v>3</v>
      </c>
      <c r="H424" s="16" t="s">
        <v>97</v>
      </c>
      <c r="I424" s="16" t="s">
        <v>132</v>
      </c>
    </row>
    <row r="425" spans="2:9" x14ac:dyDescent="0.25">
      <c r="B425" s="16" t="s">
        <v>40</v>
      </c>
      <c r="C425" s="17">
        <v>45061</v>
      </c>
      <c r="D425" s="16">
        <v>80234</v>
      </c>
      <c r="E425" s="16">
        <v>64319</v>
      </c>
      <c r="F425" s="18" t="s">
        <v>78</v>
      </c>
      <c r="G425" s="16" t="s">
        <v>3</v>
      </c>
      <c r="H425" s="16" t="s">
        <v>97</v>
      </c>
      <c r="I425" s="16" t="s">
        <v>132</v>
      </c>
    </row>
    <row r="426" spans="2:9" x14ac:dyDescent="0.25">
      <c r="B426" s="16" t="s">
        <v>40</v>
      </c>
      <c r="C426" s="17">
        <v>45061</v>
      </c>
      <c r="D426" s="16">
        <v>80235</v>
      </c>
      <c r="E426" s="16">
        <v>64319</v>
      </c>
      <c r="F426" s="18" t="s">
        <v>78</v>
      </c>
      <c r="G426" s="16" t="s">
        <v>3</v>
      </c>
      <c r="H426" s="16" t="s">
        <v>97</v>
      </c>
      <c r="I426" s="16" t="s">
        <v>132</v>
      </c>
    </row>
    <row r="427" spans="2:9" x14ac:dyDescent="0.25">
      <c r="B427" s="16" t="s">
        <v>40</v>
      </c>
      <c r="C427" s="17">
        <v>45061</v>
      </c>
      <c r="D427" s="16">
        <v>28567</v>
      </c>
      <c r="E427" s="16">
        <v>9388</v>
      </c>
      <c r="F427" s="18" t="s">
        <v>165</v>
      </c>
      <c r="G427" s="16" t="s">
        <v>5</v>
      </c>
      <c r="H427" s="16" t="s">
        <v>97</v>
      </c>
      <c r="I427" s="16" t="s">
        <v>132</v>
      </c>
    </row>
    <row r="428" spans="2:9" x14ac:dyDescent="0.25">
      <c r="B428" s="16" t="s">
        <v>40</v>
      </c>
      <c r="C428" s="17">
        <v>45061</v>
      </c>
      <c r="D428" s="16">
        <v>1259593</v>
      </c>
      <c r="E428" s="16">
        <v>63599</v>
      </c>
      <c r="F428" s="18" t="s">
        <v>164</v>
      </c>
      <c r="G428" s="16" t="s">
        <v>5</v>
      </c>
      <c r="H428" s="16" t="s">
        <v>97</v>
      </c>
      <c r="I428" s="16" t="s">
        <v>132</v>
      </c>
    </row>
    <row r="429" spans="2:9" x14ac:dyDescent="0.25">
      <c r="B429" s="16" t="s">
        <v>40</v>
      </c>
      <c r="C429" s="17">
        <v>45061</v>
      </c>
      <c r="D429" s="16">
        <v>49675</v>
      </c>
      <c r="E429" s="16">
        <v>15133</v>
      </c>
      <c r="F429" s="18" t="s">
        <v>171</v>
      </c>
      <c r="G429" s="16" t="s">
        <v>1</v>
      </c>
      <c r="H429" s="16" t="s">
        <v>71</v>
      </c>
      <c r="I429" s="16" t="s">
        <v>17</v>
      </c>
    </row>
    <row r="430" spans="2:9" x14ac:dyDescent="0.25">
      <c r="B430" s="16" t="s">
        <v>33</v>
      </c>
      <c r="C430" s="17">
        <v>45061</v>
      </c>
      <c r="D430" s="16">
        <v>531143</v>
      </c>
      <c r="E430" s="16">
        <v>1008</v>
      </c>
      <c r="F430" s="18" t="s">
        <v>74</v>
      </c>
      <c r="G430" s="16" t="s">
        <v>1</v>
      </c>
      <c r="H430" s="16" t="s">
        <v>71</v>
      </c>
      <c r="I430" s="16" t="s">
        <v>17</v>
      </c>
    </row>
    <row r="431" spans="2:9" x14ac:dyDescent="0.25">
      <c r="B431" s="16" t="s">
        <v>26</v>
      </c>
      <c r="C431" s="17">
        <v>45061</v>
      </c>
      <c r="D431" s="16">
        <v>398189</v>
      </c>
      <c r="E431" s="16">
        <v>1136</v>
      </c>
      <c r="F431" s="18" t="s">
        <v>167</v>
      </c>
      <c r="G431" s="16" t="s">
        <v>52</v>
      </c>
      <c r="H431" s="16" t="s">
        <v>36</v>
      </c>
      <c r="I431" s="16" t="s">
        <v>29</v>
      </c>
    </row>
    <row r="432" spans="2:9" x14ac:dyDescent="0.25">
      <c r="B432" s="16" t="s">
        <v>26</v>
      </c>
      <c r="C432" s="17">
        <v>45061</v>
      </c>
      <c r="D432" s="16">
        <v>398190</v>
      </c>
      <c r="E432" s="16">
        <v>1136</v>
      </c>
      <c r="F432" s="18" t="s">
        <v>167</v>
      </c>
      <c r="G432" s="16" t="s">
        <v>52</v>
      </c>
      <c r="H432" s="16" t="s">
        <v>36</v>
      </c>
      <c r="I432" s="16" t="s">
        <v>29</v>
      </c>
    </row>
    <row r="433" spans="2:9" x14ac:dyDescent="0.25">
      <c r="B433" s="16" t="s">
        <v>26</v>
      </c>
      <c r="C433" s="17">
        <v>45061</v>
      </c>
      <c r="D433" s="16">
        <v>398192</v>
      </c>
      <c r="E433" s="16">
        <v>1136</v>
      </c>
      <c r="F433" s="18" t="s">
        <v>167</v>
      </c>
      <c r="G433" s="16" t="s">
        <v>5</v>
      </c>
      <c r="H433" s="16" t="s">
        <v>36</v>
      </c>
      <c r="I433" s="16" t="s">
        <v>61</v>
      </c>
    </row>
    <row r="434" spans="2:9" x14ac:dyDescent="0.25">
      <c r="B434" s="16" t="s">
        <v>26</v>
      </c>
      <c r="C434" s="17">
        <v>45061</v>
      </c>
      <c r="D434" s="16">
        <v>398191</v>
      </c>
      <c r="E434" s="16">
        <v>1136</v>
      </c>
      <c r="F434" s="18" t="s">
        <v>167</v>
      </c>
      <c r="G434" s="16" t="s">
        <v>5</v>
      </c>
      <c r="H434" s="16" t="s">
        <v>36</v>
      </c>
      <c r="I434" s="16" t="s">
        <v>61</v>
      </c>
    </row>
    <row r="435" spans="2:9" x14ac:dyDescent="0.25">
      <c r="B435" s="16" t="s">
        <v>33</v>
      </c>
      <c r="C435" s="17">
        <v>45061</v>
      </c>
      <c r="D435" s="16">
        <v>398288</v>
      </c>
      <c r="E435" s="16">
        <v>1136</v>
      </c>
      <c r="F435" s="18" t="s">
        <v>167</v>
      </c>
      <c r="G435" s="16" t="s">
        <v>52</v>
      </c>
      <c r="H435" s="16" t="s">
        <v>36</v>
      </c>
      <c r="I435" s="16" t="s">
        <v>61</v>
      </c>
    </row>
    <row r="436" spans="2:9" x14ac:dyDescent="0.25">
      <c r="B436" s="16" t="s">
        <v>33</v>
      </c>
      <c r="C436" s="17">
        <v>45061</v>
      </c>
      <c r="D436" s="16">
        <v>398289</v>
      </c>
      <c r="E436" s="16">
        <v>1136</v>
      </c>
      <c r="F436" s="18" t="s">
        <v>167</v>
      </c>
      <c r="G436" s="16" t="s">
        <v>52</v>
      </c>
      <c r="H436" s="16" t="s">
        <v>36</v>
      </c>
      <c r="I436" s="16" t="s">
        <v>61</v>
      </c>
    </row>
    <row r="437" spans="2:9" x14ac:dyDescent="0.25">
      <c r="B437" s="16" t="s">
        <v>33</v>
      </c>
      <c r="C437" s="17">
        <v>45061</v>
      </c>
      <c r="D437" s="16">
        <v>398290</v>
      </c>
      <c r="E437" s="16">
        <v>1136</v>
      </c>
      <c r="F437" s="18" t="s">
        <v>167</v>
      </c>
      <c r="G437" s="16" t="s">
        <v>52</v>
      </c>
      <c r="H437" s="16" t="s">
        <v>36</v>
      </c>
      <c r="I437" s="16" t="s">
        <v>61</v>
      </c>
    </row>
    <row r="438" spans="2:9" x14ac:dyDescent="0.25">
      <c r="B438" s="16" t="s">
        <v>33</v>
      </c>
      <c r="C438" s="17">
        <v>45061</v>
      </c>
      <c r="D438" s="16">
        <v>405965</v>
      </c>
      <c r="E438" s="16">
        <v>1136</v>
      </c>
      <c r="F438" s="18" t="s">
        <v>167</v>
      </c>
      <c r="G438" s="16" t="s">
        <v>52</v>
      </c>
      <c r="H438" s="16" t="s">
        <v>36</v>
      </c>
      <c r="I438" s="16" t="s">
        <v>61</v>
      </c>
    </row>
    <row r="439" spans="2:9" x14ac:dyDescent="0.25">
      <c r="B439" s="16" t="s">
        <v>33</v>
      </c>
      <c r="C439" s="17">
        <v>45061</v>
      </c>
      <c r="D439" s="16">
        <v>398291</v>
      </c>
      <c r="E439" s="16">
        <v>1136</v>
      </c>
      <c r="F439" s="18" t="s">
        <v>167</v>
      </c>
      <c r="G439" s="16" t="s">
        <v>52</v>
      </c>
      <c r="H439" s="16" t="s">
        <v>36</v>
      </c>
      <c r="I439" s="16" t="s">
        <v>61</v>
      </c>
    </row>
    <row r="440" spans="2:9" x14ac:dyDescent="0.25">
      <c r="B440" s="16" t="s">
        <v>33</v>
      </c>
      <c r="C440" s="17">
        <v>45061</v>
      </c>
      <c r="D440" s="16">
        <v>398292</v>
      </c>
      <c r="E440" s="16">
        <v>1136</v>
      </c>
      <c r="F440" s="18" t="s">
        <v>167</v>
      </c>
      <c r="G440" s="16" t="s">
        <v>52</v>
      </c>
      <c r="H440" s="16" t="s">
        <v>36</v>
      </c>
      <c r="I440" s="16" t="s">
        <v>61</v>
      </c>
    </row>
    <row r="441" spans="2:9" x14ac:dyDescent="0.25">
      <c r="B441" s="16" t="s">
        <v>33</v>
      </c>
      <c r="C441" s="17">
        <v>45061</v>
      </c>
      <c r="D441" s="16">
        <v>405966</v>
      </c>
      <c r="E441" s="16">
        <v>1136</v>
      </c>
      <c r="F441" s="18" t="s">
        <v>167</v>
      </c>
      <c r="G441" s="16" t="s">
        <v>52</v>
      </c>
      <c r="H441" s="16" t="s">
        <v>36</v>
      </c>
      <c r="I441" s="16" t="s">
        <v>61</v>
      </c>
    </row>
    <row r="442" spans="2:9" x14ac:dyDescent="0.25">
      <c r="B442" s="16" t="s">
        <v>22</v>
      </c>
      <c r="C442" s="17">
        <v>45061</v>
      </c>
      <c r="D442" s="16">
        <v>256996</v>
      </c>
      <c r="E442" s="16">
        <v>37945</v>
      </c>
      <c r="F442" s="18" t="s">
        <v>166</v>
      </c>
      <c r="G442" s="16" t="s">
        <v>5</v>
      </c>
      <c r="H442" s="16" t="s">
        <v>36</v>
      </c>
      <c r="I442" s="16" t="s">
        <v>61</v>
      </c>
    </row>
    <row r="443" spans="2:9" x14ac:dyDescent="0.25">
      <c r="B443" s="16" t="s">
        <v>22</v>
      </c>
      <c r="C443" s="17">
        <v>45061</v>
      </c>
      <c r="D443" s="16">
        <v>256997</v>
      </c>
      <c r="E443" s="16">
        <v>37945</v>
      </c>
      <c r="F443" s="18" t="s">
        <v>166</v>
      </c>
      <c r="G443" s="16" t="s">
        <v>5</v>
      </c>
      <c r="H443" s="16" t="s">
        <v>36</v>
      </c>
      <c r="I443" s="16" t="s">
        <v>61</v>
      </c>
    </row>
    <row r="444" spans="2:9" x14ac:dyDescent="0.25">
      <c r="B444" s="16" t="s">
        <v>22</v>
      </c>
      <c r="C444" s="17">
        <v>45061</v>
      </c>
      <c r="D444" s="16">
        <v>1779158</v>
      </c>
      <c r="E444" s="16">
        <v>1015</v>
      </c>
      <c r="F444" s="18" t="s">
        <v>134</v>
      </c>
      <c r="G444" s="16" t="s">
        <v>4</v>
      </c>
      <c r="H444" s="16" t="s">
        <v>36</v>
      </c>
      <c r="I444" s="16" t="s">
        <v>61</v>
      </c>
    </row>
    <row r="445" spans="2:9" x14ac:dyDescent="0.25">
      <c r="B445" s="16" t="s">
        <v>33</v>
      </c>
      <c r="C445" s="17">
        <v>45061</v>
      </c>
      <c r="D445" s="16">
        <v>257485</v>
      </c>
      <c r="E445" s="16">
        <v>37945</v>
      </c>
      <c r="F445" s="18" t="s">
        <v>166</v>
      </c>
      <c r="G445" s="16" t="s">
        <v>5</v>
      </c>
      <c r="H445" s="16" t="s">
        <v>36</v>
      </c>
      <c r="I445" s="16" t="s">
        <v>61</v>
      </c>
    </row>
    <row r="446" spans="2:9" x14ac:dyDescent="0.25">
      <c r="B446" s="16" t="s">
        <v>40</v>
      </c>
      <c r="C446" s="17">
        <v>45061</v>
      </c>
      <c r="D446" s="16">
        <v>398219</v>
      </c>
      <c r="E446" s="16">
        <v>1136</v>
      </c>
      <c r="F446" s="18" t="s">
        <v>167</v>
      </c>
      <c r="G446" s="16" t="s">
        <v>52</v>
      </c>
      <c r="H446" s="16" t="s">
        <v>36</v>
      </c>
      <c r="I446" s="16" t="s">
        <v>61</v>
      </c>
    </row>
    <row r="447" spans="2:9" x14ac:dyDescent="0.25">
      <c r="B447" s="16" t="s">
        <v>40</v>
      </c>
      <c r="C447" s="17">
        <v>45061</v>
      </c>
      <c r="D447" s="16">
        <v>398220</v>
      </c>
      <c r="E447" s="16">
        <v>1136</v>
      </c>
      <c r="F447" s="18" t="s">
        <v>167</v>
      </c>
      <c r="G447" s="16" t="s">
        <v>52</v>
      </c>
      <c r="H447" s="16" t="s">
        <v>36</v>
      </c>
      <c r="I447" s="16" t="s">
        <v>61</v>
      </c>
    </row>
    <row r="448" spans="2:9" x14ac:dyDescent="0.25">
      <c r="B448" s="16" t="s">
        <v>40</v>
      </c>
      <c r="C448" s="17">
        <v>45061</v>
      </c>
      <c r="D448" s="16">
        <v>398221</v>
      </c>
      <c r="E448" s="16">
        <v>1136</v>
      </c>
      <c r="F448" s="18" t="s">
        <v>167</v>
      </c>
      <c r="G448" s="16" t="s">
        <v>52</v>
      </c>
      <c r="H448" s="16" t="s">
        <v>36</v>
      </c>
      <c r="I448" s="16" t="s">
        <v>61</v>
      </c>
    </row>
    <row r="449" spans="2:9" x14ac:dyDescent="0.25">
      <c r="B449" s="16" t="s">
        <v>40</v>
      </c>
      <c r="C449" s="17">
        <v>45061</v>
      </c>
      <c r="D449" s="16">
        <v>398222</v>
      </c>
      <c r="E449" s="16">
        <v>1136</v>
      </c>
      <c r="F449" s="18" t="s">
        <v>167</v>
      </c>
      <c r="G449" s="16" t="s">
        <v>52</v>
      </c>
      <c r="H449" s="16" t="s">
        <v>36</v>
      </c>
      <c r="I449" s="16" t="s">
        <v>61</v>
      </c>
    </row>
    <row r="450" spans="2:9" x14ac:dyDescent="0.25">
      <c r="B450" s="16" t="s">
        <v>40</v>
      </c>
      <c r="C450" s="17">
        <v>45061</v>
      </c>
      <c r="D450" s="16">
        <v>398223</v>
      </c>
      <c r="E450" s="16">
        <v>1136</v>
      </c>
      <c r="F450" s="18" t="s">
        <v>167</v>
      </c>
      <c r="G450" s="16" t="s">
        <v>52</v>
      </c>
      <c r="H450" s="16" t="s">
        <v>36</v>
      </c>
      <c r="I450" s="16" t="s">
        <v>61</v>
      </c>
    </row>
    <row r="451" spans="2:9" x14ac:dyDescent="0.25">
      <c r="B451" s="16" t="s">
        <v>40</v>
      </c>
      <c r="C451" s="17">
        <v>45061</v>
      </c>
      <c r="D451" s="16">
        <v>405951</v>
      </c>
      <c r="E451" s="16">
        <v>1136</v>
      </c>
      <c r="F451" s="18" t="s">
        <v>167</v>
      </c>
      <c r="G451" s="16" t="s">
        <v>52</v>
      </c>
      <c r="H451" s="16" t="s">
        <v>36</v>
      </c>
      <c r="I451" s="16" t="s">
        <v>61</v>
      </c>
    </row>
    <row r="452" spans="2:9" x14ac:dyDescent="0.25">
      <c r="B452" s="16" t="s">
        <v>40</v>
      </c>
      <c r="C452" s="17">
        <v>45061</v>
      </c>
      <c r="D452" s="16">
        <v>405952</v>
      </c>
      <c r="E452" s="16">
        <v>1136</v>
      </c>
      <c r="F452" s="18" t="s">
        <v>167</v>
      </c>
      <c r="G452" s="16" t="s">
        <v>52</v>
      </c>
      <c r="H452" s="16" t="s">
        <v>36</v>
      </c>
      <c r="I452" s="16" t="s">
        <v>61</v>
      </c>
    </row>
    <row r="453" spans="2:9" x14ac:dyDescent="0.25">
      <c r="B453" s="16" t="s">
        <v>33</v>
      </c>
      <c r="C453" s="17">
        <v>45061</v>
      </c>
      <c r="D453" s="16">
        <v>2339</v>
      </c>
      <c r="E453" s="16">
        <v>70670</v>
      </c>
      <c r="F453" s="18" t="s">
        <v>101</v>
      </c>
      <c r="G453" s="16" t="s">
        <v>16</v>
      </c>
      <c r="H453" s="16" t="s">
        <v>49</v>
      </c>
      <c r="I453" s="16" t="s">
        <v>17</v>
      </c>
    </row>
    <row r="454" spans="2:9" x14ac:dyDescent="0.25">
      <c r="B454" s="16" t="s">
        <v>26</v>
      </c>
      <c r="C454" s="17">
        <v>45061</v>
      </c>
      <c r="D454" s="16">
        <v>705114</v>
      </c>
      <c r="E454" s="16">
        <v>5059</v>
      </c>
      <c r="F454" s="18" t="s">
        <v>168</v>
      </c>
      <c r="G454" s="16" t="s">
        <v>3</v>
      </c>
      <c r="H454" s="16" t="s">
        <v>28</v>
      </c>
      <c r="I454" s="16" t="s">
        <v>120</v>
      </c>
    </row>
    <row r="455" spans="2:9" x14ac:dyDescent="0.25">
      <c r="B455" s="16" t="s">
        <v>26</v>
      </c>
      <c r="C455" s="17">
        <v>45061</v>
      </c>
      <c r="D455" s="16">
        <v>704931</v>
      </c>
      <c r="E455" s="16">
        <v>5059</v>
      </c>
      <c r="F455" s="18" t="s">
        <v>168</v>
      </c>
      <c r="G455" s="16" t="s">
        <v>3</v>
      </c>
      <c r="H455" s="16" t="s">
        <v>28</v>
      </c>
      <c r="I455" s="16" t="s">
        <v>120</v>
      </c>
    </row>
    <row r="456" spans="2:9" x14ac:dyDescent="0.25">
      <c r="B456" s="16" t="s">
        <v>26</v>
      </c>
      <c r="C456" s="17">
        <v>45061</v>
      </c>
      <c r="D456" s="16">
        <v>109928</v>
      </c>
      <c r="E456" s="16">
        <v>9490</v>
      </c>
      <c r="F456" s="18" t="s">
        <v>172</v>
      </c>
      <c r="G456" s="16" t="s">
        <v>5</v>
      </c>
      <c r="H456" s="16" t="s">
        <v>28</v>
      </c>
      <c r="I456" s="16" t="s">
        <v>73</v>
      </c>
    </row>
    <row r="457" spans="2:9" x14ac:dyDescent="0.25">
      <c r="B457" s="16" t="s">
        <v>26</v>
      </c>
      <c r="C457" s="17">
        <v>45061</v>
      </c>
      <c r="D457" s="16">
        <v>109815</v>
      </c>
      <c r="E457" s="16">
        <v>9490</v>
      </c>
      <c r="F457" s="18" t="s">
        <v>172</v>
      </c>
      <c r="G457" s="16" t="s">
        <v>5</v>
      </c>
      <c r="H457" s="16" t="s">
        <v>28</v>
      </c>
      <c r="I457" s="16" t="s">
        <v>73</v>
      </c>
    </row>
    <row r="458" spans="2:9" x14ac:dyDescent="0.25">
      <c r="B458" s="16" t="s">
        <v>22</v>
      </c>
      <c r="C458" s="17">
        <v>45061</v>
      </c>
      <c r="D458" s="16">
        <v>11068929</v>
      </c>
      <c r="E458" s="16">
        <v>9455</v>
      </c>
      <c r="F458" s="18" t="s">
        <v>151</v>
      </c>
      <c r="G458" s="16" t="s">
        <v>1</v>
      </c>
      <c r="H458" s="16" t="s">
        <v>21</v>
      </c>
      <c r="I458" s="16" t="s">
        <v>17</v>
      </c>
    </row>
    <row r="459" spans="2:9" x14ac:dyDescent="0.25">
      <c r="B459" s="16" t="s">
        <v>22</v>
      </c>
      <c r="C459" s="17">
        <v>45061</v>
      </c>
      <c r="D459" s="16">
        <v>1108389</v>
      </c>
      <c r="E459" s="16">
        <v>1139</v>
      </c>
      <c r="F459" s="18" t="s">
        <v>66</v>
      </c>
      <c r="G459" s="16" t="s">
        <v>1</v>
      </c>
      <c r="H459" s="16" t="s">
        <v>137</v>
      </c>
      <c r="I459" s="16" t="s">
        <v>17</v>
      </c>
    </row>
    <row r="460" spans="2:9" x14ac:dyDescent="0.25">
      <c r="B460" s="16" t="s">
        <v>26</v>
      </c>
      <c r="C460" s="17">
        <v>45061</v>
      </c>
      <c r="D460" s="16">
        <v>257287</v>
      </c>
      <c r="E460" s="16">
        <v>37945</v>
      </c>
      <c r="F460" s="18" t="s">
        <v>166</v>
      </c>
      <c r="G460" s="16" t="s">
        <v>5</v>
      </c>
      <c r="H460" s="16" t="s">
        <v>24</v>
      </c>
      <c r="I460" s="16" t="s">
        <v>61</v>
      </c>
    </row>
    <row r="461" spans="2:9" x14ac:dyDescent="0.25">
      <c r="B461" s="16" t="s">
        <v>26</v>
      </c>
      <c r="C461" s="17">
        <v>45061</v>
      </c>
      <c r="D461" s="16">
        <v>398193</v>
      </c>
      <c r="E461" s="16">
        <v>1136</v>
      </c>
      <c r="F461" s="18" t="s">
        <v>167</v>
      </c>
      <c r="G461" s="16" t="s">
        <v>52</v>
      </c>
      <c r="H461" s="16" t="s">
        <v>24</v>
      </c>
      <c r="I461" s="16" t="s">
        <v>29</v>
      </c>
    </row>
    <row r="462" spans="2:9" x14ac:dyDescent="0.25">
      <c r="B462" s="16" t="s">
        <v>40</v>
      </c>
      <c r="C462" s="17">
        <v>45061</v>
      </c>
      <c r="D462" s="16">
        <v>257479</v>
      </c>
      <c r="E462" s="16">
        <v>37945</v>
      </c>
      <c r="F462" s="18" t="s">
        <v>166</v>
      </c>
      <c r="G462" s="16" t="s">
        <v>5</v>
      </c>
      <c r="H462" s="16" t="s">
        <v>24</v>
      </c>
      <c r="I462" s="16" t="s">
        <v>61</v>
      </c>
    </row>
    <row r="463" spans="2:9" x14ac:dyDescent="0.25">
      <c r="B463" s="16" t="s">
        <v>26</v>
      </c>
      <c r="C463" s="17">
        <v>45061</v>
      </c>
      <c r="D463" s="16">
        <v>863923</v>
      </c>
      <c r="E463" s="16">
        <v>1019</v>
      </c>
      <c r="F463" s="18" t="s">
        <v>158</v>
      </c>
      <c r="G463" s="16" t="s">
        <v>5</v>
      </c>
      <c r="H463" s="16" t="s">
        <v>170</v>
      </c>
      <c r="I463" s="16" t="s">
        <v>17</v>
      </c>
    </row>
    <row r="464" spans="2:9" x14ac:dyDescent="0.25">
      <c r="B464" s="16" t="s">
        <v>33</v>
      </c>
      <c r="C464" s="17">
        <v>45062</v>
      </c>
      <c r="D464" s="16">
        <v>278083</v>
      </c>
      <c r="E464" s="16">
        <v>9519</v>
      </c>
      <c r="F464" s="18" t="s">
        <v>95</v>
      </c>
      <c r="G464" s="16" t="s">
        <v>5</v>
      </c>
      <c r="H464" s="16" t="s">
        <v>45</v>
      </c>
      <c r="I464" s="16" t="s">
        <v>92</v>
      </c>
    </row>
    <row r="465" spans="2:9" x14ac:dyDescent="0.25">
      <c r="B465" s="16" t="s">
        <v>26</v>
      </c>
      <c r="C465" s="17">
        <v>45062</v>
      </c>
      <c r="D465" s="16">
        <v>947933</v>
      </c>
      <c r="E465" s="16">
        <v>9403</v>
      </c>
      <c r="F465" s="18" t="s">
        <v>153</v>
      </c>
      <c r="G465" s="16" t="s">
        <v>5</v>
      </c>
      <c r="H465" s="16" t="s">
        <v>97</v>
      </c>
      <c r="I465" s="16" t="s">
        <v>61</v>
      </c>
    </row>
    <row r="466" spans="2:9" x14ac:dyDescent="0.25">
      <c r="B466" s="16" t="s">
        <v>26</v>
      </c>
      <c r="C466" s="17">
        <v>45062</v>
      </c>
      <c r="D466" s="16">
        <v>69784</v>
      </c>
      <c r="E466" s="16">
        <v>1002</v>
      </c>
      <c r="F466" s="18" t="s">
        <v>178</v>
      </c>
      <c r="G466" s="16" t="s">
        <v>3</v>
      </c>
      <c r="H466" s="16" t="s">
        <v>97</v>
      </c>
      <c r="I466" s="16" t="s">
        <v>120</v>
      </c>
    </row>
    <row r="467" spans="2:9" x14ac:dyDescent="0.25">
      <c r="B467" s="16" t="s">
        <v>26</v>
      </c>
      <c r="C467" s="17">
        <v>45062</v>
      </c>
      <c r="D467" s="16">
        <v>43474</v>
      </c>
      <c r="E467" s="16">
        <v>70827</v>
      </c>
      <c r="F467" s="18" t="s">
        <v>106</v>
      </c>
      <c r="G467" s="16" t="s">
        <v>3</v>
      </c>
      <c r="H467" s="16" t="s">
        <v>97</v>
      </c>
      <c r="I467" s="16" t="s">
        <v>61</v>
      </c>
    </row>
    <row r="468" spans="2:9" x14ac:dyDescent="0.25">
      <c r="B468" s="16" t="s">
        <v>26</v>
      </c>
      <c r="C468" s="17">
        <v>45062</v>
      </c>
      <c r="D468" s="16">
        <v>43475</v>
      </c>
      <c r="E468" s="16">
        <v>70827</v>
      </c>
      <c r="F468" s="18" t="s">
        <v>106</v>
      </c>
      <c r="G468" s="16" t="s">
        <v>3</v>
      </c>
      <c r="H468" s="16" t="s">
        <v>97</v>
      </c>
      <c r="I468" s="16" t="s">
        <v>61</v>
      </c>
    </row>
    <row r="469" spans="2:9" x14ac:dyDescent="0.25">
      <c r="B469" s="16" t="s">
        <v>26</v>
      </c>
      <c r="C469" s="17">
        <v>45062</v>
      </c>
      <c r="D469" s="16">
        <v>43473</v>
      </c>
      <c r="E469" s="16">
        <v>70827</v>
      </c>
      <c r="F469" s="18" t="s">
        <v>106</v>
      </c>
      <c r="G469" s="16" t="s">
        <v>3</v>
      </c>
      <c r="H469" s="16" t="s">
        <v>97</v>
      </c>
      <c r="I469" s="16" t="s">
        <v>61</v>
      </c>
    </row>
    <row r="470" spans="2:9" x14ac:dyDescent="0.25">
      <c r="B470" s="16" t="s">
        <v>26</v>
      </c>
      <c r="C470" s="17">
        <v>45062</v>
      </c>
      <c r="D470" s="16">
        <v>219052</v>
      </c>
      <c r="E470" s="16">
        <v>9486</v>
      </c>
      <c r="F470" s="18" t="s">
        <v>179</v>
      </c>
      <c r="G470" s="16" t="s">
        <v>5</v>
      </c>
      <c r="H470" s="16" t="s">
        <v>97</v>
      </c>
      <c r="I470" s="16" t="s">
        <v>61</v>
      </c>
    </row>
    <row r="471" spans="2:9" x14ac:dyDescent="0.25">
      <c r="B471" s="16" t="s">
        <v>2</v>
      </c>
      <c r="C471" s="17">
        <v>45062</v>
      </c>
      <c r="D471" s="16">
        <v>69781</v>
      </c>
      <c r="E471" s="16">
        <v>1002</v>
      </c>
      <c r="F471" s="18" t="s">
        <v>178</v>
      </c>
      <c r="G471" s="16" t="s">
        <v>3</v>
      </c>
      <c r="H471" s="16" t="s">
        <v>97</v>
      </c>
      <c r="I471" s="16" t="s">
        <v>17</v>
      </c>
    </row>
    <row r="472" spans="2:9" x14ac:dyDescent="0.25">
      <c r="B472" s="16" t="s">
        <v>2</v>
      </c>
      <c r="C472" s="17">
        <v>45062</v>
      </c>
      <c r="D472" s="16">
        <v>5196</v>
      </c>
      <c r="E472" s="16">
        <v>70212</v>
      </c>
      <c r="F472" s="18" t="s">
        <v>177</v>
      </c>
      <c r="G472" s="16" t="s">
        <v>6</v>
      </c>
      <c r="H472" s="16" t="s">
        <v>71</v>
      </c>
      <c r="I472" s="16" t="s">
        <v>17</v>
      </c>
    </row>
    <row r="473" spans="2:9" x14ac:dyDescent="0.25">
      <c r="B473" s="16" t="s">
        <v>2</v>
      </c>
      <c r="C473" s="17">
        <v>45062</v>
      </c>
      <c r="D473" s="16">
        <v>405984</v>
      </c>
      <c r="E473" s="16">
        <v>1263</v>
      </c>
      <c r="F473" s="18" t="s">
        <v>167</v>
      </c>
      <c r="G473" s="16" t="s">
        <v>5</v>
      </c>
      <c r="H473" s="16" t="s">
        <v>36</v>
      </c>
      <c r="I473" s="16" t="s">
        <v>61</v>
      </c>
    </row>
    <row r="474" spans="2:9" x14ac:dyDescent="0.25">
      <c r="B474" s="16" t="s">
        <v>2</v>
      </c>
      <c r="C474" s="17">
        <v>45062</v>
      </c>
      <c r="D474" s="16">
        <v>405985</v>
      </c>
      <c r="E474" s="16">
        <v>1263</v>
      </c>
      <c r="F474" s="18" t="s">
        <v>167</v>
      </c>
      <c r="G474" s="16" t="s">
        <v>5</v>
      </c>
      <c r="H474" s="16" t="s">
        <v>36</v>
      </c>
      <c r="I474" s="16" t="s">
        <v>61</v>
      </c>
    </row>
    <row r="475" spans="2:9" x14ac:dyDescent="0.25">
      <c r="B475" s="16" t="s">
        <v>2</v>
      </c>
      <c r="C475" s="17">
        <v>45062</v>
      </c>
      <c r="D475" s="16">
        <v>398392</v>
      </c>
      <c r="E475" s="16">
        <v>1136</v>
      </c>
      <c r="F475" s="18" t="s">
        <v>167</v>
      </c>
      <c r="G475" s="16" t="s">
        <v>3</v>
      </c>
      <c r="H475" s="16" t="s">
        <v>36</v>
      </c>
      <c r="I475" s="16" t="s">
        <v>61</v>
      </c>
    </row>
    <row r="476" spans="2:9" x14ac:dyDescent="0.25">
      <c r="B476" s="16" t="s">
        <v>2</v>
      </c>
      <c r="C476" s="17">
        <v>45062</v>
      </c>
      <c r="D476" s="16">
        <v>398387</v>
      </c>
      <c r="E476" s="16">
        <v>1136</v>
      </c>
      <c r="F476" s="18" t="s">
        <v>167</v>
      </c>
      <c r="G476" s="16" t="s">
        <v>3</v>
      </c>
      <c r="H476" s="16" t="s">
        <v>36</v>
      </c>
      <c r="I476" s="16" t="s">
        <v>61</v>
      </c>
    </row>
    <row r="477" spans="2:9" x14ac:dyDescent="0.25">
      <c r="B477" s="16" t="s">
        <v>22</v>
      </c>
      <c r="C477" s="17">
        <v>45062</v>
      </c>
      <c r="D477" s="16">
        <v>398309</v>
      </c>
      <c r="E477" s="16">
        <v>1136</v>
      </c>
      <c r="F477" s="18" t="s">
        <v>167</v>
      </c>
      <c r="G477" s="16" t="s">
        <v>3</v>
      </c>
      <c r="H477" s="16" t="s">
        <v>36</v>
      </c>
      <c r="I477" s="16" t="s">
        <v>61</v>
      </c>
    </row>
    <row r="478" spans="2:9" x14ac:dyDescent="0.25">
      <c r="B478" s="16" t="s">
        <v>22</v>
      </c>
      <c r="C478" s="17">
        <v>45062</v>
      </c>
      <c r="D478" s="16">
        <v>398311</v>
      </c>
      <c r="E478" s="16">
        <v>1136</v>
      </c>
      <c r="F478" s="18" t="s">
        <v>167</v>
      </c>
      <c r="G478" s="16" t="s">
        <v>3</v>
      </c>
      <c r="H478" s="16" t="s">
        <v>36</v>
      </c>
      <c r="I478" s="16" t="s">
        <v>61</v>
      </c>
    </row>
    <row r="479" spans="2:9" x14ac:dyDescent="0.25">
      <c r="B479" s="16" t="s">
        <v>22</v>
      </c>
      <c r="C479" s="17">
        <v>45062</v>
      </c>
      <c r="D479" s="16">
        <v>398312</v>
      </c>
      <c r="E479" s="16">
        <v>1136</v>
      </c>
      <c r="F479" s="18" t="s">
        <v>167</v>
      </c>
      <c r="G479" s="16" t="s">
        <v>3</v>
      </c>
      <c r="H479" s="16" t="s">
        <v>36</v>
      </c>
      <c r="I479" s="16" t="s">
        <v>61</v>
      </c>
    </row>
    <row r="480" spans="2:9" x14ac:dyDescent="0.25">
      <c r="B480" s="16" t="s">
        <v>22</v>
      </c>
      <c r="C480" s="17">
        <v>45062</v>
      </c>
      <c r="D480" s="16">
        <v>398310</v>
      </c>
      <c r="E480" s="16">
        <v>1136</v>
      </c>
      <c r="F480" s="18" t="s">
        <v>167</v>
      </c>
      <c r="G480" s="16" t="s">
        <v>3</v>
      </c>
      <c r="H480" s="16" t="s">
        <v>36</v>
      </c>
      <c r="I480" s="16" t="s">
        <v>61</v>
      </c>
    </row>
    <row r="481" spans="2:9" x14ac:dyDescent="0.25">
      <c r="B481" s="16" t="s">
        <v>22</v>
      </c>
      <c r="C481" s="17">
        <v>45062</v>
      </c>
      <c r="D481" s="16">
        <v>398315</v>
      </c>
      <c r="E481" s="16">
        <v>1136</v>
      </c>
      <c r="F481" s="18" t="s">
        <v>167</v>
      </c>
      <c r="G481" s="16" t="s">
        <v>3</v>
      </c>
      <c r="H481" s="16" t="s">
        <v>36</v>
      </c>
      <c r="I481" s="16" t="s">
        <v>61</v>
      </c>
    </row>
    <row r="482" spans="2:9" x14ac:dyDescent="0.25">
      <c r="B482" s="16" t="s">
        <v>22</v>
      </c>
      <c r="C482" s="17">
        <v>45062</v>
      </c>
      <c r="D482" s="16">
        <v>398314</v>
      </c>
      <c r="E482" s="16">
        <v>1136</v>
      </c>
      <c r="F482" s="18" t="s">
        <v>167</v>
      </c>
      <c r="G482" s="16" t="s">
        <v>3</v>
      </c>
      <c r="H482" s="16" t="s">
        <v>36</v>
      </c>
      <c r="I482" s="16" t="s">
        <v>61</v>
      </c>
    </row>
    <row r="483" spans="2:9" x14ac:dyDescent="0.25">
      <c r="B483" s="16" t="s">
        <v>22</v>
      </c>
      <c r="C483" s="17">
        <v>45062</v>
      </c>
      <c r="D483" s="16">
        <v>235373</v>
      </c>
      <c r="E483" s="16">
        <v>1175</v>
      </c>
      <c r="F483" s="18" t="s">
        <v>81</v>
      </c>
      <c r="G483" s="16" t="s">
        <v>7</v>
      </c>
      <c r="H483" s="16" t="s">
        <v>49</v>
      </c>
      <c r="I483" s="16" t="s">
        <v>17</v>
      </c>
    </row>
    <row r="484" spans="2:9" x14ac:dyDescent="0.25">
      <c r="B484" s="16" t="s">
        <v>26</v>
      </c>
      <c r="C484" s="17">
        <v>45062</v>
      </c>
      <c r="D484" s="16">
        <v>80238</v>
      </c>
      <c r="E484" s="16">
        <v>64319</v>
      </c>
      <c r="F484" s="18" t="s">
        <v>78</v>
      </c>
      <c r="G484" s="16" t="s">
        <v>52</v>
      </c>
      <c r="H484" s="16" t="s">
        <v>28</v>
      </c>
      <c r="I484" s="16" t="s">
        <v>17</v>
      </c>
    </row>
    <row r="485" spans="2:9" x14ac:dyDescent="0.25">
      <c r="B485" s="16" t="s">
        <v>26</v>
      </c>
      <c r="C485" s="17">
        <v>45062</v>
      </c>
      <c r="D485" s="16">
        <v>80239</v>
      </c>
      <c r="E485" s="16">
        <v>64319</v>
      </c>
      <c r="F485" s="18" t="s">
        <v>78</v>
      </c>
      <c r="G485" s="16" t="s">
        <v>52</v>
      </c>
      <c r="H485" s="16" t="s">
        <v>28</v>
      </c>
      <c r="I485" s="16" t="s">
        <v>17</v>
      </c>
    </row>
    <row r="486" spans="2:9" x14ac:dyDescent="0.25">
      <c r="B486" s="16" t="s">
        <v>26</v>
      </c>
      <c r="C486" s="17">
        <v>45062</v>
      </c>
      <c r="D486" s="16">
        <v>80240</v>
      </c>
      <c r="E486" s="16">
        <v>64319</v>
      </c>
      <c r="F486" s="18" t="s">
        <v>78</v>
      </c>
      <c r="G486" s="16" t="s">
        <v>52</v>
      </c>
      <c r="H486" s="16" t="s">
        <v>28</v>
      </c>
      <c r="I486" s="16" t="s">
        <v>17</v>
      </c>
    </row>
    <row r="487" spans="2:9" x14ac:dyDescent="0.25">
      <c r="B487" s="16" t="s">
        <v>26</v>
      </c>
      <c r="C487" s="17">
        <v>45062</v>
      </c>
      <c r="D487" s="16">
        <v>80241</v>
      </c>
      <c r="E487" s="16">
        <v>64319</v>
      </c>
      <c r="F487" s="18" t="s">
        <v>78</v>
      </c>
      <c r="G487" s="16" t="s">
        <v>52</v>
      </c>
      <c r="H487" s="16" t="s">
        <v>28</v>
      </c>
      <c r="I487" s="16" t="s">
        <v>17</v>
      </c>
    </row>
    <row r="488" spans="2:9" x14ac:dyDescent="0.25">
      <c r="B488" s="16" t="s">
        <v>26</v>
      </c>
      <c r="C488" s="17">
        <v>45062</v>
      </c>
      <c r="D488" s="16">
        <v>80242</v>
      </c>
      <c r="E488" s="16">
        <v>64319</v>
      </c>
      <c r="F488" s="18" t="s">
        <v>78</v>
      </c>
      <c r="G488" s="16" t="s">
        <v>52</v>
      </c>
      <c r="H488" s="16" t="s">
        <v>28</v>
      </c>
      <c r="I488" s="16" t="s">
        <v>17</v>
      </c>
    </row>
    <row r="489" spans="2:9" x14ac:dyDescent="0.25">
      <c r="B489" s="16" t="s">
        <v>26</v>
      </c>
      <c r="C489" s="17">
        <v>45062</v>
      </c>
      <c r="D489" s="16">
        <v>80243</v>
      </c>
      <c r="E489" s="16">
        <v>64319</v>
      </c>
      <c r="F489" s="18" t="s">
        <v>78</v>
      </c>
      <c r="G489" s="16" t="s">
        <v>52</v>
      </c>
      <c r="H489" s="16" t="s">
        <v>28</v>
      </c>
      <c r="I489" s="16" t="s">
        <v>17</v>
      </c>
    </row>
    <row r="490" spans="2:9" x14ac:dyDescent="0.25">
      <c r="B490" s="16" t="s">
        <v>26</v>
      </c>
      <c r="C490" s="17">
        <v>45062</v>
      </c>
      <c r="D490" s="16">
        <v>247816</v>
      </c>
      <c r="E490" s="16">
        <v>12435</v>
      </c>
      <c r="F490" s="18" t="s">
        <v>85</v>
      </c>
      <c r="G490" s="16" t="s">
        <v>52</v>
      </c>
      <c r="H490" s="16" t="s">
        <v>28</v>
      </c>
      <c r="I490" s="16" t="s">
        <v>29</v>
      </c>
    </row>
    <row r="491" spans="2:9" x14ac:dyDescent="0.25">
      <c r="B491" s="16" t="s">
        <v>26</v>
      </c>
      <c r="C491" s="17">
        <v>45062</v>
      </c>
      <c r="D491" s="16">
        <v>247815</v>
      </c>
      <c r="E491" s="16">
        <v>12435</v>
      </c>
      <c r="F491" s="18" t="s">
        <v>85</v>
      </c>
      <c r="G491" s="16" t="s">
        <v>52</v>
      </c>
      <c r="H491" s="16" t="s">
        <v>28</v>
      </c>
      <c r="I491" s="16" t="s">
        <v>29</v>
      </c>
    </row>
    <row r="492" spans="2:9" x14ac:dyDescent="0.25">
      <c r="B492" s="16" t="s">
        <v>26</v>
      </c>
      <c r="C492" s="17">
        <v>45062</v>
      </c>
      <c r="D492" s="16">
        <v>953174</v>
      </c>
      <c r="E492" s="16">
        <v>9403</v>
      </c>
      <c r="F492" s="18" t="s">
        <v>153</v>
      </c>
      <c r="G492" s="16" t="s">
        <v>5</v>
      </c>
      <c r="H492" s="16" t="s">
        <v>28</v>
      </c>
      <c r="I492" s="16" t="s">
        <v>173</v>
      </c>
    </row>
    <row r="493" spans="2:9" x14ac:dyDescent="0.25">
      <c r="B493" s="16" t="s">
        <v>22</v>
      </c>
      <c r="C493" s="17">
        <v>45062</v>
      </c>
      <c r="D493" s="16">
        <v>80260</v>
      </c>
      <c r="E493" s="16">
        <v>64319</v>
      </c>
      <c r="F493" s="18" t="s">
        <v>78</v>
      </c>
      <c r="G493" s="16" t="s">
        <v>54</v>
      </c>
      <c r="H493" s="16" t="s">
        <v>176</v>
      </c>
      <c r="I493" s="16" t="s">
        <v>120</v>
      </c>
    </row>
    <row r="494" spans="2:9" x14ac:dyDescent="0.25">
      <c r="B494" s="16" t="s">
        <v>33</v>
      </c>
      <c r="C494" s="17">
        <v>45062</v>
      </c>
      <c r="D494" s="16">
        <v>69786</v>
      </c>
      <c r="E494" s="16">
        <v>1002</v>
      </c>
      <c r="F494" s="18" t="s">
        <v>178</v>
      </c>
      <c r="G494" s="16" t="s">
        <v>3</v>
      </c>
      <c r="H494" s="16" t="s">
        <v>176</v>
      </c>
      <c r="I494" s="16" t="s">
        <v>32</v>
      </c>
    </row>
    <row r="495" spans="2:9" x14ac:dyDescent="0.25">
      <c r="B495" s="16" t="s">
        <v>22</v>
      </c>
      <c r="C495" s="17">
        <v>45062</v>
      </c>
      <c r="D495" s="16">
        <v>947934</v>
      </c>
      <c r="E495" s="16">
        <v>9403</v>
      </c>
      <c r="F495" s="18" t="s">
        <v>153</v>
      </c>
      <c r="G495" s="16" t="s">
        <v>5</v>
      </c>
      <c r="H495" s="16" t="s">
        <v>176</v>
      </c>
      <c r="I495" s="16" t="s">
        <v>32</v>
      </c>
    </row>
    <row r="496" spans="2:9" x14ac:dyDescent="0.25">
      <c r="B496" s="16" t="s">
        <v>33</v>
      </c>
      <c r="C496" s="17">
        <v>45062</v>
      </c>
      <c r="D496" s="16">
        <v>219048</v>
      </c>
      <c r="E496" s="16">
        <v>9486</v>
      </c>
      <c r="F496" s="18" t="s">
        <v>179</v>
      </c>
      <c r="G496" s="16" t="s">
        <v>5</v>
      </c>
      <c r="H496" s="16" t="s">
        <v>176</v>
      </c>
      <c r="I496" s="16" t="s">
        <v>32</v>
      </c>
    </row>
    <row r="497" spans="2:9" x14ac:dyDescent="0.25">
      <c r="B497" s="16" t="s">
        <v>26</v>
      </c>
      <c r="C497" s="17">
        <v>45062</v>
      </c>
      <c r="D497" s="16">
        <v>1359054</v>
      </c>
      <c r="E497" s="16">
        <v>13235</v>
      </c>
      <c r="F497" s="18" t="s">
        <v>99</v>
      </c>
      <c r="G497" s="16" t="s">
        <v>3</v>
      </c>
      <c r="H497" s="16" t="s">
        <v>39</v>
      </c>
      <c r="I497" s="16" t="s">
        <v>17</v>
      </c>
    </row>
    <row r="498" spans="2:9" x14ac:dyDescent="0.25">
      <c r="B498" s="16" t="s">
        <v>2</v>
      </c>
      <c r="C498" s="17">
        <v>45062</v>
      </c>
      <c r="D498" s="16">
        <v>507636</v>
      </c>
      <c r="E498" s="16">
        <v>13819</v>
      </c>
      <c r="F498" s="18" t="s">
        <v>175</v>
      </c>
      <c r="G498" s="16" t="s">
        <v>3</v>
      </c>
      <c r="H498" s="16" t="s">
        <v>102</v>
      </c>
      <c r="I498" s="16" t="s">
        <v>120</v>
      </c>
    </row>
    <row r="499" spans="2:9" x14ac:dyDescent="0.25">
      <c r="B499" s="16" t="s">
        <v>2</v>
      </c>
      <c r="C499" s="17">
        <v>45062</v>
      </c>
      <c r="D499" s="16">
        <v>507637</v>
      </c>
      <c r="E499" s="16">
        <v>13819</v>
      </c>
      <c r="F499" s="18" t="s">
        <v>175</v>
      </c>
      <c r="G499" s="16" t="s">
        <v>3</v>
      </c>
      <c r="H499" s="16" t="s">
        <v>102</v>
      </c>
      <c r="I499" s="16" t="s">
        <v>120</v>
      </c>
    </row>
    <row r="500" spans="2:9" x14ac:dyDescent="0.25">
      <c r="B500" s="16" t="s">
        <v>2</v>
      </c>
      <c r="C500" s="17">
        <v>45062</v>
      </c>
      <c r="D500" s="16">
        <v>287113</v>
      </c>
      <c r="E500" s="16">
        <v>66719</v>
      </c>
      <c r="F500" s="18" t="s">
        <v>180</v>
      </c>
      <c r="G500" s="16" t="s">
        <v>1</v>
      </c>
      <c r="H500" s="16" t="s">
        <v>114</v>
      </c>
      <c r="I500" s="16" t="s">
        <v>25</v>
      </c>
    </row>
    <row r="501" spans="2:9" x14ac:dyDescent="0.25">
      <c r="B501" s="16" t="s">
        <v>33</v>
      </c>
      <c r="C501" s="17">
        <v>45062</v>
      </c>
      <c r="D501" s="16">
        <v>287267</v>
      </c>
      <c r="E501" s="16">
        <v>66719</v>
      </c>
      <c r="F501" s="18" t="s">
        <v>180</v>
      </c>
      <c r="G501" s="16" t="s">
        <v>1</v>
      </c>
      <c r="H501" s="16" t="s">
        <v>114</v>
      </c>
      <c r="I501" s="16" t="s">
        <v>25</v>
      </c>
    </row>
    <row r="502" spans="2:9" x14ac:dyDescent="0.25">
      <c r="B502" s="16" t="s">
        <v>2</v>
      </c>
      <c r="C502" s="17">
        <v>45062</v>
      </c>
      <c r="D502" s="16">
        <v>146</v>
      </c>
      <c r="E502" s="16">
        <v>71064</v>
      </c>
      <c r="F502" s="18" t="s">
        <v>174</v>
      </c>
      <c r="G502" s="16" t="s">
        <v>7</v>
      </c>
      <c r="H502" s="16" t="s">
        <v>38</v>
      </c>
      <c r="I502" s="16" t="s">
        <v>17</v>
      </c>
    </row>
    <row r="503" spans="2:9" x14ac:dyDescent="0.25">
      <c r="B503" s="16" t="s">
        <v>26</v>
      </c>
      <c r="C503" s="17">
        <v>45062</v>
      </c>
      <c r="D503" s="16">
        <v>148538</v>
      </c>
      <c r="E503" s="16">
        <v>10440</v>
      </c>
      <c r="F503" s="18" t="s">
        <v>37</v>
      </c>
      <c r="G503" s="16" t="s">
        <v>1</v>
      </c>
      <c r="H503" s="16" t="s">
        <v>38</v>
      </c>
      <c r="I503" s="16" t="s">
        <v>17</v>
      </c>
    </row>
    <row r="504" spans="2:9" x14ac:dyDescent="0.25">
      <c r="B504" s="16" t="s">
        <v>33</v>
      </c>
      <c r="C504" s="17">
        <v>45062</v>
      </c>
      <c r="D504" s="16">
        <v>148352</v>
      </c>
      <c r="E504" s="16">
        <v>10440</v>
      </c>
      <c r="F504" s="18" t="s">
        <v>37</v>
      </c>
      <c r="G504" s="16" t="s">
        <v>1</v>
      </c>
      <c r="H504" s="16" t="s">
        <v>38</v>
      </c>
      <c r="I504" s="16" t="s">
        <v>25</v>
      </c>
    </row>
    <row r="505" spans="2:9" x14ac:dyDescent="0.25">
      <c r="B505" s="16" t="s">
        <v>26</v>
      </c>
      <c r="C505" s="17">
        <v>45062</v>
      </c>
      <c r="D505" s="16">
        <v>7856</v>
      </c>
      <c r="E505" s="16">
        <v>67955</v>
      </c>
      <c r="F505" s="18" t="s">
        <v>181</v>
      </c>
      <c r="G505" s="16" t="s">
        <v>7</v>
      </c>
      <c r="H505" s="16" t="s">
        <v>38</v>
      </c>
      <c r="I505" s="16" t="s">
        <v>17</v>
      </c>
    </row>
    <row r="506" spans="2:9" x14ac:dyDescent="0.25">
      <c r="B506" s="16" t="s">
        <v>33</v>
      </c>
      <c r="C506" s="17">
        <v>45062</v>
      </c>
      <c r="D506" s="16">
        <v>189241</v>
      </c>
      <c r="E506" s="16">
        <v>6563</v>
      </c>
      <c r="F506" s="18" t="s">
        <v>162</v>
      </c>
      <c r="G506" s="16" t="s">
        <v>6</v>
      </c>
      <c r="H506" s="16" t="s">
        <v>38</v>
      </c>
      <c r="I506" s="16" t="s">
        <v>17</v>
      </c>
    </row>
    <row r="507" spans="2:9" x14ac:dyDescent="0.25">
      <c r="B507" s="16" t="s">
        <v>26</v>
      </c>
      <c r="C507" s="17">
        <v>45063</v>
      </c>
      <c r="D507" s="16">
        <v>933309</v>
      </c>
      <c r="E507" s="16">
        <v>9421</v>
      </c>
      <c r="F507" s="18" t="s">
        <v>94</v>
      </c>
      <c r="G507" s="16" t="s">
        <v>5</v>
      </c>
      <c r="H507" s="16" t="s">
        <v>97</v>
      </c>
      <c r="I507" s="16" t="s">
        <v>61</v>
      </c>
    </row>
    <row r="508" spans="2:9" x14ac:dyDescent="0.25">
      <c r="B508" s="16" t="s">
        <v>26</v>
      </c>
      <c r="C508" s="17">
        <v>45063</v>
      </c>
      <c r="D508" s="16">
        <v>933310</v>
      </c>
      <c r="E508" s="16">
        <v>9421</v>
      </c>
      <c r="F508" s="18" t="s">
        <v>94</v>
      </c>
      <c r="G508" s="16" t="s">
        <v>5</v>
      </c>
      <c r="H508" s="16" t="s">
        <v>97</v>
      </c>
      <c r="I508" s="16" t="s">
        <v>61</v>
      </c>
    </row>
    <row r="509" spans="2:9" x14ac:dyDescent="0.25">
      <c r="B509" s="16" t="s">
        <v>26</v>
      </c>
      <c r="C509" s="17">
        <v>45063</v>
      </c>
      <c r="D509" s="16">
        <v>933311</v>
      </c>
      <c r="E509" s="16">
        <v>9421</v>
      </c>
      <c r="F509" s="18" t="s">
        <v>94</v>
      </c>
      <c r="G509" s="16" t="s">
        <v>5</v>
      </c>
      <c r="H509" s="16" t="s">
        <v>97</v>
      </c>
      <c r="I509" s="16" t="s">
        <v>61</v>
      </c>
    </row>
    <row r="510" spans="2:9" x14ac:dyDescent="0.25">
      <c r="B510" s="16" t="s">
        <v>2</v>
      </c>
      <c r="C510" s="17">
        <v>45063</v>
      </c>
      <c r="D510" s="16">
        <v>609491</v>
      </c>
      <c r="E510" s="16">
        <v>9653</v>
      </c>
      <c r="F510" s="18" t="s">
        <v>67</v>
      </c>
      <c r="G510" s="16" t="s">
        <v>3</v>
      </c>
      <c r="H510" s="16" t="s">
        <v>97</v>
      </c>
      <c r="I510" s="16" t="s">
        <v>17</v>
      </c>
    </row>
    <row r="511" spans="2:9" x14ac:dyDescent="0.25">
      <c r="B511" s="16" t="s">
        <v>33</v>
      </c>
      <c r="C511" s="17">
        <v>45063</v>
      </c>
      <c r="D511" s="16">
        <v>69314</v>
      </c>
      <c r="E511" s="16">
        <v>9022</v>
      </c>
      <c r="F511" s="18" t="s">
        <v>191</v>
      </c>
      <c r="G511" s="16" t="s">
        <v>55</v>
      </c>
      <c r="H511" s="16" t="s">
        <v>71</v>
      </c>
      <c r="I511" s="16" t="s">
        <v>17</v>
      </c>
    </row>
    <row r="512" spans="2:9" x14ac:dyDescent="0.25">
      <c r="B512" s="16" t="s">
        <v>33</v>
      </c>
      <c r="C512" s="17">
        <v>45063</v>
      </c>
      <c r="D512" s="16">
        <v>5203</v>
      </c>
      <c r="E512" s="16">
        <v>70212</v>
      </c>
      <c r="F512" s="18" t="s">
        <v>177</v>
      </c>
      <c r="G512" s="16" t="s">
        <v>6</v>
      </c>
      <c r="H512" s="16" t="s">
        <v>71</v>
      </c>
      <c r="I512" s="16" t="s">
        <v>17</v>
      </c>
    </row>
    <row r="513" spans="2:9" x14ac:dyDescent="0.25">
      <c r="B513" s="16" t="s">
        <v>2</v>
      </c>
      <c r="C513" s="17">
        <v>45063</v>
      </c>
      <c r="D513" s="16">
        <v>20214</v>
      </c>
      <c r="E513" s="16">
        <v>14818</v>
      </c>
      <c r="F513" s="18" t="s">
        <v>90</v>
      </c>
      <c r="G513" s="16" t="s">
        <v>6</v>
      </c>
      <c r="H513" s="16" t="s">
        <v>71</v>
      </c>
      <c r="I513" s="16" t="s">
        <v>17</v>
      </c>
    </row>
    <row r="514" spans="2:9" x14ac:dyDescent="0.25">
      <c r="B514" s="16" t="s">
        <v>22</v>
      </c>
      <c r="C514" s="17">
        <v>45063</v>
      </c>
      <c r="D514" s="16">
        <v>9983</v>
      </c>
      <c r="E514" s="16">
        <v>63826</v>
      </c>
      <c r="F514" s="18" t="s">
        <v>182</v>
      </c>
      <c r="G514" s="16" t="s">
        <v>16</v>
      </c>
      <c r="H514" s="16" t="s">
        <v>71</v>
      </c>
      <c r="I514" s="16" t="s">
        <v>17</v>
      </c>
    </row>
    <row r="515" spans="2:9" x14ac:dyDescent="0.25">
      <c r="B515" s="16" t="s">
        <v>26</v>
      </c>
      <c r="C515" s="17">
        <v>45063</v>
      </c>
      <c r="D515" s="16">
        <v>955</v>
      </c>
      <c r="E515" s="16">
        <v>63826</v>
      </c>
      <c r="F515" s="18" t="s">
        <v>182</v>
      </c>
      <c r="G515" s="16" t="s">
        <v>16</v>
      </c>
      <c r="H515" s="16" t="s">
        <v>36</v>
      </c>
      <c r="I515" s="16" t="s">
        <v>61</v>
      </c>
    </row>
    <row r="516" spans="2:9" x14ac:dyDescent="0.25">
      <c r="B516" s="16" t="s">
        <v>2</v>
      </c>
      <c r="C516" s="17">
        <v>45063</v>
      </c>
      <c r="D516" s="16">
        <v>9956</v>
      </c>
      <c r="E516" s="16">
        <v>63826</v>
      </c>
      <c r="F516" s="18" t="s">
        <v>182</v>
      </c>
      <c r="G516" s="16" t="s">
        <v>16</v>
      </c>
      <c r="H516" s="16" t="s">
        <v>36</v>
      </c>
      <c r="I516" s="16" t="s">
        <v>61</v>
      </c>
    </row>
    <row r="517" spans="2:9" x14ac:dyDescent="0.25">
      <c r="B517" s="16" t="s">
        <v>22</v>
      </c>
      <c r="C517" s="17">
        <v>45063</v>
      </c>
      <c r="D517" s="16">
        <v>9954</v>
      </c>
      <c r="E517" s="16">
        <v>63826</v>
      </c>
      <c r="F517" s="18" t="s">
        <v>182</v>
      </c>
      <c r="G517" s="16" t="s">
        <v>16</v>
      </c>
      <c r="H517" s="16" t="s">
        <v>36</v>
      </c>
      <c r="I517" s="16" t="s">
        <v>61</v>
      </c>
    </row>
    <row r="518" spans="2:9" x14ac:dyDescent="0.25">
      <c r="B518" s="16" t="s">
        <v>33</v>
      </c>
      <c r="C518" s="17">
        <v>45063</v>
      </c>
      <c r="D518" s="16">
        <v>9949</v>
      </c>
      <c r="E518" s="16">
        <v>63826</v>
      </c>
      <c r="F518" s="18" t="s">
        <v>182</v>
      </c>
      <c r="G518" s="16" t="s">
        <v>16</v>
      </c>
      <c r="H518" s="16" t="s">
        <v>36</v>
      </c>
      <c r="I518" s="16" t="s">
        <v>61</v>
      </c>
    </row>
    <row r="519" spans="2:9" x14ac:dyDescent="0.25">
      <c r="B519" s="16" t="s">
        <v>2</v>
      </c>
      <c r="C519" s="17">
        <v>45063</v>
      </c>
      <c r="D519" s="16">
        <v>54847</v>
      </c>
      <c r="E519" s="16">
        <v>11478</v>
      </c>
      <c r="F519" s="18" t="s">
        <v>188</v>
      </c>
      <c r="G519" s="16" t="s">
        <v>5</v>
      </c>
      <c r="H519" s="16" t="s">
        <v>36</v>
      </c>
      <c r="I519" s="16" t="s">
        <v>57</v>
      </c>
    </row>
    <row r="520" spans="2:9" x14ac:dyDescent="0.25">
      <c r="B520" s="16" t="s">
        <v>40</v>
      </c>
      <c r="C520" s="17">
        <v>45063</v>
      </c>
      <c r="D520" s="16">
        <v>171113</v>
      </c>
      <c r="E520" s="16">
        <v>9599</v>
      </c>
      <c r="F520" s="18" t="s">
        <v>43</v>
      </c>
      <c r="G520" s="16" t="s">
        <v>1</v>
      </c>
      <c r="H520" s="16" t="s">
        <v>36</v>
      </c>
      <c r="I520" s="16" t="s">
        <v>61</v>
      </c>
    </row>
    <row r="521" spans="2:9" x14ac:dyDescent="0.25">
      <c r="B521" s="16" t="s">
        <v>40</v>
      </c>
      <c r="C521" s="17">
        <v>45063</v>
      </c>
      <c r="D521" s="16">
        <v>9953</v>
      </c>
      <c r="E521" s="16">
        <v>63826</v>
      </c>
      <c r="F521" s="18" t="s">
        <v>182</v>
      </c>
      <c r="G521" s="16" t="s">
        <v>16</v>
      </c>
      <c r="H521" s="16" t="s">
        <v>36</v>
      </c>
      <c r="I521" s="16" t="s">
        <v>61</v>
      </c>
    </row>
    <row r="522" spans="2:9" x14ac:dyDescent="0.25">
      <c r="B522" s="16" t="s">
        <v>26</v>
      </c>
      <c r="C522" s="17">
        <v>45063</v>
      </c>
      <c r="D522" s="16">
        <v>405944</v>
      </c>
      <c r="E522" s="16">
        <v>1263</v>
      </c>
      <c r="F522" s="18" t="s">
        <v>167</v>
      </c>
      <c r="G522" s="16" t="s">
        <v>52</v>
      </c>
      <c r="H522" s="16" t="s">
        <v>28</v>
      </c>
      <c r="I522" s="16" t="s">
        <v>61</v>
      </c>
    </row>
    <row r="523" spans="2:9" x14ac:dyDescent="0.25">
      <c r="B523" s="16" t="s">
        <v>26</v>
      </c>
      <c r="C523" s="17">
        <v>45063</v>
      </c>
      <c r="D523" s="16">
        <v>398189</v>
      </c>
      <c r="E523" s="16">
        <v>1263</v>
      </c>
      <c r="F523" s="18" t="s">
        <v>167</v>
      </c>
      <c r="G523" s="16" t="s">
        <v>52</v>
      </c>
      <c r="H523" s="16" t="s">
        <v>28</v>
      </c>
      <c r="I523" s="16" t="s">
        <v>61</v>
      </c>
    </row>
    <row r="524" spans="2:9" x14ac:dyDescent="0.25">
      <c r="B524" s="16" t="s">
        <v>26</v>
      </c>
      <c r="C524" s="17">
        <v>45063</v>
      </c>
      <c r="D524" s="16">
        <v>405945</v>
      </c>
      <c r="E524" s="16">
        <v>1263</v>
      </c>
      <c r="F524" s="18" t="s">
        <v>167</v>
      </c>
      <c r="G524" s="16" t="s">
        <v>52</v>
      </c>
      <c r="H524" s="16" t="s">
        <v>28</v>
      </c>
      <c r="I524" s="16" t="s">
        <v>61</v>
      </c>
    </row>
    <row r="525" spans="2:9" x14ac:dyDescent="0.25">
      <c r="B525" s="16" t="s">
        <v>26</v>
      </c>
      <c r="C525" s="17">
        <v>45063</v>
      </c>
      <c r="D525" s="16">
        <v>398190</v>
      </c>
      <c r="E525" s="16">
        <v>1263</v>
      </c>
      <c r="F525" s="18" t="s">
        <v>167</v>
      </c>
      <c r="G525" s="16" t="s">
        <v>52</v>
      </c>
      <c r="H525" s="16" t="s">
        <v>28</v>
      </c>
      <c r="I525" s="16" t="s">
        <v>61</v>
      </c>
    </row>
    <row r="526" spans="2:9" x14ac:dyDescent="0.25">
      <c r="B526" s="16" t="s">
        <v>26</v>
      </c>
      <c r="C526" s="17">
        <v>45063</v>
      </c>
      <c r="D526" s="16">
        <v>398191</v>
      </c>
      <c r="E526" s="16">
        <v>1263</v>
      </c>
      <c r="F526" s="18" t="s">
        <v>167</v>
      </c>
      <c r="G526" s="16" t="s">
        <v>52</v>
      </c>
      <c r="H526" s="16" t="s">
        <v>28</v>
      </c>
      <c r="I526" s="16" t="s">
        <v>61</v>
      </c>
    </row>
    <row r="527" spans="2:9" x14ac:dyDescent="0.25">
      <c r="B527" s="16" t="s">
        <v>26</v>
      </c>
      <c r="C527" s="17">
        <v>45063</v>
      </c>
      <c r="D527" s="16">
        <v>398192</v>
      </c>
      <c r="E527" s="16">
        <v>1263</v>
      </c>
      <c r="F527" s="18" t="s">
        <v>167</v>
      </c>
      <c r="G527" s="16" t="s">
        <v>5</v>
      </c>
      <c r="H527" s="16" t="s">
        <v>28</v>
      </c>
      <c r="I527" s="16" t="s">
        <v>61</v>
      </c>
    </row>
    <row r="528" spans="2:9" x14ac:dyDescent="0.25">
      <c r="B528" s="16" t="s">
        <v>26</v>
      </c>
      <c r="C528" s="17">
        <v>45063</v>
      </c>
      <c r="D528" s="16">
        <v>398193</v>
      </c>
      <c r="E528" s="16">
        <v>1263</v>
      </c>
      <c r="F528" s="18" t="s">
        <v>167</v>
      </c>
      <c r="G528" s="16" t="s">
        <v>5</v>
      </c>
      <c r="H528" s="16" t="s">
        <v>28</v>
      </c>
      <c r="I528" s="16" t="s">
        <v>61</v>
      </c>
    </row>
    <row r="529" spans="2:9" x14ac:dyDescent="0.25">
      <c r="B529" s="16" t="s">
        <v>26</v>
      </c>
      <c r="C529" s="17">
        <v>45063</v>
      </c>
      <c r="D529" s="16">
        <v>398194</v>
      </c>
      <c r="E529" s="16">
        <v>1263</v>
      </c>
      <c r="F529" s="18" t="s">
        <v>167</v>
      </c>
      <c r="G529" s="16" t="s">
        <v>52</v>
      </c>
      <c r="H529" s="16" t="s">
        <v>28</v>
      </c>
      <c r="I529" s="16" t="s">
        <v>61</v>
      </c>
    </row>
    <row r="530" spans="2:9" x14ac:dyDescent="0.25">
      <c r="B530" s="16" t="s">
        <v>33</v>
      </c>
      <c r="C530" s="17">
        <v>45063</v>
      </c>
      <c r="D530" s="16">
        <v>398288</v>
      </c>
      <c r="E530" s="16">
        <v>1263</v>
      </c>
      <c r="F530" s="18" t="s">
        <v>167</v>
      </c>
      <c r="G530" s="16" t="s">
        <v>52</v>
      </c>
      <c r="H530" s="16" t="s">
        <v>28</v>
      </c>
      <c r="I530" s="16" t="s">
        <v>61</v>
      </c>
    </row>
    <row r="531" spans="2:9" x14ac:dyDescent="0.25">
      <c r="B531" s="16" t="s">
        <v>33</v>
      </c>
      <c r="C531" s="17">
        <v>45063</v>
      </c>
      <c r="D531" s="16">
        <v>398289</v>
      </c>
      <c r="E531" s="16">
        <v>1263</v>
      </c>
      <c r="F531" s="18" t="s">
        <v>167</v>
      </c>
      <c r="G531" s="16" t="s">
        <v>52</v>
      </c>
      <c r="H531" s="16" t="s">
        <v>28</v>
      </c>
      <c r="I531" s="16" t="s">
        <v>61</v>
      </c>
    </row>
    <row r="532" spans="2:9" x14ac:dyDescent="0.25">
      <c r="B532" s="16" t="s">
        <v>33</v>
      </c>
      <c r="C532" s="17">
        <v>45063</v>
      </c>
      <c r="D532" s="16">
        <v>398290</v>
      </c>
      <c r="E532" s="16">
        <v>1263</v>
      </c>
      <c r="F532" s="18" t="s">
        <v>167</v>
      </c>
      <c r="G532" s="16" t="s">
        <v>52</v>
      </c>
      <c r="H532" s="16" t="s">
        <v>28</v>
      </c>
      <c r="I532" s="16" t="s">
        <v>61</v>
      </c>
    </row>
    <row r="533" spans="2:9" x14ac:dyDescent="0.25">
      <c r="B533" s="16" t="s">
        <v>33</v>
      </c>
      <c r="C533" s="17">
        <v>45063</v>
      </c>
      <c r="D533" s="16">
        <v>398291</v>
      </c>
      <c r="E533" s="16">
        <v>1263</v>
      </c>
      <c r="F533" s="18" t="s">
        <v>167</v>
      </c>
      <c r="G533" s="16" t="s">
        <v>52</v>
      </c>
      <c r="H533" s="16" t="s">
        <v>28</v>
      </c>
      <c r="I533" s="16" t="s">
        <v>61</v>
      </c>
    </row>
    <row r="534" spans="2:9" x14ac:dyDescent="0.25">
      <c r="B534" s="16" t="s">
        <v>33</v>
      </c>
      <c r="C534" s="17">
        <v>45063</v>
      </c>
      <c r="D534" s="16">
        <v>398292</v>
      </c>
      <c r="E534" s="16">
        <v>1263</v>
      </c>
      <c r="F534" s="18" t="s">
        <v>167</v>
      </c>
      <c r="G534" s="16" t="s">
        <v>52</v>
      </c>
      <c r="H534" s="16" t="s">
        <v>28</v>
      </c>
      <c r="I534" s="16" t="s">
        <v>61</v>
      </c>
    </row>
    <row r="535" spans="2:9" x14ac:dyDescent="0.25">
      <c r="B535" s="16" t="s">
        <v>33</v>
      </c>
      <c r="C535" s="17">
        <v>45063</v>
      </c>
      <c r="D535" s="16">
        <v>405966</v>
      </c>
      <c r="E535" s="16">
        <v>1263</v>
      </c>
      <c r="F535" s="18" t="s">
        <v>167</v>
      </c>
      <c r="G535" s="16" t="s">
        <v>52</v>
      </c>
      <c r="H535" s="16" t="s">
        <v>28</v>
      </c>
      <c r="I535" s="16" t="s">
        <v>61</v>
      </c>
    </row>
    <row r="536" spans="2:9" x14ac:dyDescent="0.25">
      <c r="B536" s="16" t="s">
        <v>33</v>
      </c>
      <c r="C536" s="17">
        <v>45063</v>
      </c>
      <c r="D536" s="16">
        <v>405965</v>
      </c>
      <c r="E536" s="16">
        <v>1263</v>
      </c>
      <c r="F536" s="18" t="s">
        <v>167</v>
      </c>
      <c r="G536" s="16" t="s">
        <v>52</v>
      </c>
      <c r="H536" s="16" t="s">
        <v>28</v>
      </c>
      <c r="I536" s="16" t="s">
        <v>61</v>
      </c>
    </row>
    <row r="537" spans="2:9" x14ac:dyDescent="0.25">
      <c r="B537" s="16" t="s">
        <v>33</v>
      </c>
      <c r="C537" s="17">
        <v>45063</v>
      </c>
      <c r="D537" s="16">
        <v>5311143</v>
      </c>
      <c r="E537" s="16">
        <v>1008</v>
      </c>
      <c r="F537" s="18" t="s">
        <v>74</v>
      </c>
      <c r="G537" s="16" t="s">
        <v>1</v>
      </c>
      <c r="H537" s="16" t="s">
        <v>28</v>
      </c>
      <c r="I537" s="16" t="s">
        <v>61</v>
      </c>
    </row>
    <row r="538" spans="2:9" x14ac:dyDescent="0.25">
      <c r="B538" s="16" t="s">
        <v>33</v>
      </c>
      <c r="C538" s="17">
        <v>45063</v>
      </c>
      <c r="D538" s="16">
        <v>531541</v>
      </c>
      <c r="E538" s="16">
        <v>1008</v>
      </c>
      <c r="F538" s="18" t="s">
        <v>74</v>
      </c>
      <c r="G538" s="16" t="s">
        <v>1</v>
      </c>
      <c r="H538" s="16" t="s">
        <v>28</v>
      </c>
      <c r="I538" s="16" t="s">
        <v>61</v>
      </c>
    </row>
    <row r="539" spans="2:9" x14ac:dyDescent="0.25">
      <c r="B539" s="16" t="s">
        <v>22</v>
      </c>
      <c r="C539" s="17">
        <v>45063</v>
      </c>
      <c r="D539" s="16">
        <v>15730</v>
      </c>
      <c r="E539" s="16">
        <v>70485</v>
      </c>
      <c r="F539" s="18" t="s">
        <v>101</v>
      </c>
      <c r="G539" s="16" t="s">
        <v>16</v>
      </c>
      <c r="H539" s="16" t="s">
        <v>46</v>
      </c>
      <c r="I539" s="16" t="s">
        <v>17</v>
      </c>
    </row>
    <row r="540" spans="2:9" x14ac:dyDescent="0.25">
      <c r="B540" s="16" t="s">
        <v>22</v>
      </c>
      <c r="C540" s="17">
        <v>45063</v>
      </c>
      <c r="D540" s="16">
        <v>16738</v>
      </c>
      <c r="E540" s="16">
        <v>70485</v>
      </c>
      <c r="F540" s="18" t="s">
        <v>101</v>
      </c>
      <c r="G540" s="16" t="s">
        <v>16</v>
      </c>
      <c r="H540" s="16" t="s">
        <v>46</v>
      </c>
      <c r="I540" s="16" t="s">
        <v>17</v>
      </c>
    </row>
    <row r="541" spans="2:9" x14ac:dyDescent="0.25">
      <c r="B541" s="16" t="s">
        <v>22</v>
      </c>
      <c r="C541" s="17">
        <v>45063</v>
      </c>
      <c r="D541" s="16">
        <v>16737</v>
      </c>
      <c r="E541" s="16">
        <v>70485</v>
      </c>
      <c r="F541" s="18" t="s">
        <v>101</v>
      </c>
      <c r="G541" s="16" t="s">
        <v>16</v>
      </c>
      <c r="H541" s="16" t="s">
        <v>46</v>
      </c>
      <c r="I541" s="16" t="s">
        <v>17</v>
      </c>
    </row>
    <row r="542" spans="2:9" x14ac:dyDescent="0.25">
      <c r="B542" s="16" t="s">
        <v>22</v>
      </c>
      <c r="C542" s="17">
        <v>45063</v>
      </c>
      <c r="D542" s="16">
        <v>7888</v>
      </c>
      <c r="E542" s="16">
        <v>67955</v>
      </c>
      <c r="F542" s="18" t="s">
        <v>181</v>
      </c>
      <c r="G542" s="16" t="s">
        <v>7</v>
      </c>
      <c r="H542" s="16" t="s">
        <v>41</v>
      </c>
      <c r="I542" s="16" t="s">
        <v>17</v>
      </c>
    </row>
    <row r="543" spans="2:9" x14ac:dyDescent="0.25">
      <c r="B543" s="16" t="s">
        <v>33</v>
      </c>
      <c r="C543" s="17">
        <v>45063</v>
      </c>
      <c r="D543" s="16">
        <v>970185</v>
      </c>
      <c r="E543" s="16">
        <v>9398</v>
      </c>
      <c r="F543" s="18" t="s">
        <v>65</v>
      </c>
      <c r="G543" s="16" t="s">
        <v>16</v>
      </c>
      <c r="H543" s="16" t="s">
        <v>75</v>
      </c>
      <c r="I543" s="16" t="s">
        <v>17</v>
      </c>
    </row>
    <row r="544" spans="2:9" x14ac:dyDescent="0.25">
      <c r="B544" s="16" t="s">
        <v>40</v>
      </c>
      <c r="C544" s="17">
        <v>45063</v>
      </c>
      <c r="D544" s="16">
        <v>860498</v>
      </c>
      <c r="E544" s="16">
        <v>1019</v>
      </c>
      <c r="F544" s="18" t="s">
        <v>158</v>
      </c>
      <c r="G544" s="16" t="s">
        <v>5</v>
      </c>
      <c r="H544" s="16" t="s">
        <v>176</v>
      </c>
      <c r="I544" s="16" t="s">
        <v>32</v>
      </c>
    </row>
    <row r="545" spans="2:9" x14ac:dyDescent="0.25">
      <c r="B545" s="16" t="s">
        <v>40</v>
      </c>
      <c r="C545" s="17">
        <v>45063</v>
      </c>
      <c r="D545" s="16">
        <v>860499</v>
      </c>
      <c r="E545" s="16">
        <v>1019</v>
      </c>
      <c r="F545" s="18" t="s">
        <v>158</v>
      </c>
      <c r="G545" s="16" t="s">
        <v>5</v>
      </c>
      <c r="H545" s="16" t="s">
        <v>176</v>
      </c>
      <c r="I545" s="16" t="s">
        <v>32</v>
      </c>
    </row>
    <row r="546" spans="2:9" x14ac:dyDescent="0.25">
      <c r="B546" s="16" t="s">
        <v>40</v>
      </c>
      <c r="C546" s="17">
        <v>45063</v>
      </c>
      <c r="D546" s="16">
        <v>960497</v>
      </c>
      <c r="E546" s="16">
        <v>1019</v>
      </c>
      <c r="F546" s="18" t="s">
        <v>158</v>
      </c>
      <c r="G546" s="16" t="s">
        <v>5</v>
      </c>
      <c r="H546" s="16" t="s">
        <v>176</v>
      </c>
      <c r="I546" s="16" t="s">
        <v>32</v>
      </c>
    </row>
    <row r="547" spans="2:9" x14ac:dyDescent="0.25">
      <c r="B547" s="16" t="s">
        <v>22</v>
      </c>
      <c r="C547" s="17">
        <v>45063</v>
      </c>
      <c r="D547" s="16">
        <v>970108</v>
      </c>
      <c r="E547" s="16">
        <v>9398</v>
      </c>
      <c r="F547" s="18" t="s">
        <v>65</v>
      </c>
      <c r="G547" s="16" t="s">
        <v>16</v>
      </c>
      <c r="H547" s="16" t="s">
        <v>190</v>
      </c>
      <c r="I547" s="16" t="s">
        <v>17</v>
      </c>
    </row>
    <row r="548" spans="2:9" x14ac:dyDescent="0.25">
      <c r="B548" s="16" t="s">
        <v>22</v>
      </c>
      <c r="C548" s="17">
        <v>45063</v>
      </c>
      <c r="D548" s="16">
        <v>970094</v>
      </c>
      <c r="E548" s="16">
        <v>9398</v>
      </c>
      <c r="F548" s="18" t="s">
        <v>65</v>
      </c>
      <c r="G548" s="16" t="s">
        <v>16</v>
      </c>
      <c r="H548" s="16" t="s">
        <v>190</v>
      </c>
      <c r="I548" s="16" t="s">
        <v>17</v>
      </c>
    </row>
    <row r="549" spans="2:9" x14ac:dyDescent="0.25">
      <c r="B549" s="16" t="s">
        <v>2</v>
      </c>
      <c r="C549" s="17">
        <v>45063</v>
      </c>
      <c r="D549" s="16">
        <v>969814</v>
      </c>
      <c r="E549" s="16">
        <v>9398</v>
      </c>
      <c r="F549" s="18" t="s">
        <v>65</v>
      </c>
      <c r="G549" s="16" t="s">
        <v>16</v>
      </c>
      <c r="H549" s="16" t="s">
        <v>190</v>
      </c>
      <c r="I549" s="16" t="s">
        <v>59</v>
      </c>
    </row>
    <row r="550" spans="2:9" x14ac:dyDescent="0.25">
      <c r="B550" s="16" t="s">
        <v>2</v>
      </c>
      <c r="C550" s="17">
        <v>45063</v>
      </c>
      <c r="D550" s="16">
        <v>969816</v>
      </c>
      <c r="E550" s="16">
        <v>9398</v>
      </c>
      <c r="F550" s="18" t="s">
        <v>65</v>
      </c>
      <c r="G550" s="16" t="s">
        <v>16</v>
      </c>
      <c r="H550" s="16" t="s">
        <v>190</v>
      </c>
      <c r="I550" s="16" t="s">
        <v>59</v>
      </c>
    </row>
    <row r="551" spans="2:9" x14ac:dyDescent="0.25">
      <c r="B551" s="16" t="s">
        <v>33</v>
      </c>
      <c r="C551" s="17">
        <v>45063</v>
      </c>
      <c r="D551" s="16">
        <v>8375860</v>
      </c>
      <c r="E551" s="16">
        <v>9389</v>
      </c>
      <c r="F551" s="18" t="s">
        <v>119</v>
      </c>
      <c r="G551" s="16" t="s">
        <v>3</v>
      </c>
      <c r="H551" s="16" t="s">
        <v>186</v>
      </c>
      <c r="I551" s="16" t="s">
        <v>61</v>
      </c>
    </row>
    <row r="552" spans="2:9" x14ac:dyDescent="0.25">
      <c r="B552" s="16" t="s">
        <v>2</v>
      </c>
      <c r="C552" s="17">
        <v>45063</v>
      </c>
      <c r="D552" s="16">
        <v>4592344</v>
      </c>
      <c r="E552" s="16">
        <v>9460</v>
      </c>
      <c r="F552" s="18" t="s">
        <v>183</v>
      </c>
      <c r="G552" s="16" t="s">
        <v>4</v>
      </c>
      <c r="H552" s="16" t="s">
        <v>184</v>
      </c>
      <c r="I552" s="16" t="s">
        <v>61</v>
      </c>
    </row>
    <row r="553" spans="2:9" x14ac:dyDescent="0.25">
      <c r="B553" s="16" t="s">
        <v>22</v>
      </c>
      <c r="C553" s="17">
        <v>45063</v>
      </c>
      <c r="D553" s="16">
        <v>4812531</v>
      </c>
      <c r="E553" s="16">
        <v>9430</v>
      </c>
      <c r="F553" s="18" t="s">
        <v>185</v>
      </c>
      <c r="G553" s="16" t="s">
        <v>1</v>
      </c>
      <c r="H553" s="16" t="s">
        <v>184</v>
      </c>
      <c r="I553" s="16" t="s">
        <v>25</v>
      </c>
    </row>
    <row r="554" spans="2:9" x14ac:dyDescent="0.25">
      <c r="B554" s="16" t="s">
        <v>40</v>
      </c>
      <c r="C554" s="17">
        <v>45063</v>
      </c>
      <c r="D554" s="16">
        <v>969876</v>
      </c>
      <c r="E554" s="16">
        <v>9398</v>
      </c>
      <c r="F554" s="18" t="s">
        <v>65</v>
      </c>
      <c r="G554" s="16" t="s">
        <v>16</v>
      </c>
      <c r="H554" s="16" t="s">
        <v>184</v>
      </c>
      <c r="I554" s="16" t="s">
        <v>61</v>
      </c>
    </row>
    <row r="555" spans="2:9" x14ac:dyDescent="0.25">
      <c r="B555" s="16" t="s">
        <v>33</v>
      </c>
      <c r="C555" s="17">
        <v>45063</v>
      </c>
      <c r="D555" s="16">
        <v>327</v>
      </c>
      <c r="E555" s="16">
        <v>69430</v>
      </c>
      <c r="F555" s="18" t="s">
        <v>187</v>
      </c>
      <c r="G555" s="16" t="s">
        <v>4</v>
      </c>
      <c r="H555" s="16" t="s">
        <v>38</v>
      </c>
      <c r="I555" s="16" t="s">
        <v>61</v>
      </c>
    </row>
    <row r="556" spans="2:9" x14ac:dyDescent="0.25">
      <c r="B556" s="16" t="s">
        <v>33</v>
      </c>
      <c r="C556" s="17">
        <v>45063</v>
      </c>
      <c r="D556" s="16">
        <v>64960</v>
      </c>
      <c r="E556" s="16">
        <v>64960</v>
      </c>
      <c r="F556" s="18" t="s">
        <v>189</v>
      </c>
      <c r="G556" s="16" t="s">
        <v>7</v>
      </c>
      <c r="H556" s="16" t="s">
        <v>38</v>
      </c>
      <c r="I556" s="16" t="s">
        <v>17</v>
      </c>
    </row>
    <row r="557" spans="2:9" x14ac:dyDescent="0.25">
      <c r="B557" s="16" t="s">
        <v>40</v>
      </c>
      <c r="C557" s="17">
        <v>45063</v>
      </c>
      <c r="D557" s="16">
        <v>54845</v>
      </c>
      <c r="E557" s="16">
        <v>11478</v>
      </c>
      <c r="F557" s="18" t="s">
        <v>188</v>
      </c>
      <c r="G557" s="16" t="s">
        <v>5</v>
      </c>
      <c r="H557" s="16" t="s">
        <v>38</v>
      </c>
      <c r="I557" s="16" t="s">
        <v>61</v>
      </c>
    </row>
    <row r="558" spans="2:9" x14ac:dyDescent="0.25">
      <c r="B558" s="16" t="s">
        <v>26</v>
      </c>
      <c r="C558" s="17">
        <v>45064</v>
      </c>
      <c r="D558" s="16">
        <v>16891</v>
      </c>
      <c r="E558" s="16">
        <v>70670</v>
      </c>
      <c r="F558" s="18" t="s">
        <v>101</v>
      </c>
      <c r="G558" s="16" t="s">
        <v>3</v>
      </c>
      <c r="H558" s="16" t="s">
        <v>71</v>
      </c>
      <c r="I558" s="16" t="s">
        <v>17</v>
      </c>
    </row>
    <row r="559" spans="2:9" x14ac:dyDescent="0.25">
      <c r="B559" s="16" t="s">
        <v>40</v>
      </c>
      <c r="C559" s="17">
        <v>45064</v>
      </c>
      <c r="D559" s="16">
        <v>274983</v>
      </c>
      <c r="E559" s="16">
        <v>11564</v>
      </c>
      <c r="F559" s="18" t="s">
        <v>82</v>
      </c>
      <c r="G559" s="16" t="s">
        <v>7</v>
      </c>
      <c r="H559" s="16" t="s">
        <v>71</v>
      </c>
      <c r="I559" s="16" t="s">
        <v>17</v>
      </c>
    </row>
    <row r="560" spans="2:9" x14ac:dyDescent="0.25">
      <c r="B560" s="16" t="s">
        <v>33</v>
      </c>
      <c r="C560" s="17">
        <v>45064</v>
      </c>
      <c r="D560" s="16">
        <v>831765</v>
      </c>
      <c r="E560" s="16">
        <v>3438</v>
      </c>
      <c r="F560" s="18" t="s">
        <v>200</v>
      </c>
      <c r="G560" s="16" t="s">
        <v>5</v>
      </c>
      <c r="H560" s="16" t="s">
        <v>71</v>
      </c>
      <c r="I560" s="16" t="s">
        <v>17</v>
      </c>
    </row>
    <row r="561" spans="2:9" x14ac:dyDescent="0.25">
      <c r="B561" s="16" t="s">
        <v>33</v>
      </c>
      <c r="C561" s="17">
        <v>45064</v>
      </c>
      <c r="D561" s="16">
        <v>831766</v>
      </c>
      <c r="E561" s="16">
        <v>3438</v>
      </c>
      <c r="F561" s="18" t="s">
        <v>200</v>
      </c>
      <c r="G561" s="16" t="s">
        <v>5</v>
      </c>
      <c r="H561" s="16" t="s">
        <v>71</v>
      </c>
      <c r="I561" s="16" t="s">
        <v>17</v>
      </c>
    </row>
    <row r="562" spans="2:9" x14ac:dyDescent="0.25">
      <c r="B562" s="16" t="s">
        <v>33</v>
      </c>
      <c r="C562" s="17">
        <v>45064</v>
      </c>
      <c r="D562" s="16">
        <v>17106</v>
      </c>
      <c r="E562" s="16">
        <v>70485</v>
      </c>
      <c r="F562" s="18" t="s">
        <v>101</v>
      </c>
      <c r="G562" s="16" t="s">
        <v>4</v>
      </c>
      <c r="H562" s="16" t="s">
        <v>71</v>
      </c>
      <c r="I562" s="16" t="s">
        <v>17</v>
      </c>
    </row>
    <row r="563" spans="2:9" x14ac:dyDescent="0.25">
      <c r="B563" s="16" t="s">
        <v>22</v>
      </c>
      <c r="C563" s="17">
        <v>45064</v>
      </c>
      <c r="D563" s="16">
        <v>210418</v>
      </c>
      <c r="E563" s="16">
        <v>9813</v>
      </c>
      <c r="F563" s="18" t="s">
        <v>86</v>
      </c>
      <c r="G563" s="16" t="s">
        <v>4</v>
      </c>
      <c r="H563" s="16" t="s">
        <v>71</v>
      </c>
      <c r="I563" s="16" t="s">
        <v>17</v>
      </c>
    </row>
    <row r="564" spans="2:9" x14ac:dyDescent="0.25">
      <c r="B564" s="16" t="s">
        <v>22</v>
      </c>
      <c r="C564" s="17">
        <v>45064</v>
      </c>
      <c r="D564" s="16">
        <v>210416</v>
      </c>
      <c r="E564" s="16">
        <v>9813</v>
      </c>
      <c r="F564" s="18" t="s">
        <v>86</v>
      </c>
      <c r="G564" s="16" t="s">
        <v>4</v>
      </c>
      <c r="H564" s="16" t="s">
        <v>71</v>
      </c>
      <c r="I564" s="16" t="s">
        <v>17</v>
      </c>
    </row>
    <row r="565" spans="2:9" x14ac:dyDescent="0.25">
      <c r="B565" s="16" t="s">
        <v>22</v>
      </c>
      <c r="C565" s="17">
        <v>45064</v>
      </c>
      <c r="D565" s="16">
        <v>210417</v>
      </c>
      <c r="E565" s="16">
        <v>9813</v>
      </c>
      <c r="F565" s="18" t="s">
        <v>86</v>
      </c>
      <c r="G565" s="16" t="s">
        <v>4</v>
      </c>
      <c r="H565" s="16" t="s">
        <v>71</v>
      </c>
      <c r="I565" s="16" t="s">
        <v>17</v>
      </c>
    </row>
    <row r="566" spans="2:9" x14ac:dyDescent="0.25">
      <c r="B566" s="16" t="s">
        <v>22</v>
      </c>
      <c r="C566" s="17">
        <v>45064</v>
      </c>
      <c r="D566" s="16">
        <v>1120041</v>
      </c>
      <c r="E566" s="16">
        <v>9516</v>
      </c>
      <c r="F566" s="18" t="s">
        <v>110</v>
      </c>
      <c r="G566" s="16" t="s">
        <v>1</v>
      </c>
      <c r="H566" s="16" t="s">
        <v>71</v>
      </c>
      <c r="I566" s="16" t="s">
        <v>17</v>
      </c>
    </row>
    <row r="567" spans="2:9" x14ac:dyDescent="0.25">
      <c r="B567" s="16" t="s">
        <v>22</v>
      </c>
      <c r="C567" s="17">
        <v>45064</v>
      </c>
      <c r="D567" s="16">
        <v>1120042</v>
      </c>
      <c r="E567" s="16">
        <v>9516</v>
      </c>
      <c r="F567" s="18" t="s">
        <v>110</v>
      </c>
      <c r="G567" s="16" t="s">
        <v>1</v>
      </c>
      <c r="H567" s="16" t="s">
        <v>71</v>
      </c>
      <c r="I567" s="16" t="s">
        <v>17</v>
      </c>
    </row>
    <row r="568" spans="2:9" x14ac:dyDescent="0.25">
      <c r="B568" s="16" t="s">
        <v>22</v>
      </c>
      <c r="C568" s="17">
        <v>45064</v>
      </c>
      <c r="D568" s="16">
        <v>1120043</v>
      </c>
      <c r="E568" s="16">
        <v>9516</v>
      </c>
      <c r="F568" s="18" t="s">
        <v>110</v>
      </c>
      <c r="G568" s="16" t="s">
        <v>1</v>
      </c>
      <c r="H568" s="16" t="s">
        <v>71</v>
      </c>
      <c r="I568" s="16" t="s">
        <v>17</v>
      </c>
    </row>
    <row r="569" spans="2:9" x14ac:dyDescent="0.25">
      <c r="B569" s="16" t="s">
        <v>22</v>
      </c>
      <c r="C569" s="17">
        <v>45064</v>
      </c>
      <c r="D569" s="16">
        <v>1120044</v>
      </c>
      <c r="E569" s="16">
        <v>9516</v>
      </c>
      <c r="F569" s="18" t="s">
        <v>110</v>
      </c>
      <c r="G569" s="16" t="s">
        <v>1</v>
      </c>
      <c r="H569" s="16" t="s">
        <v>71</v>
      </c>
      <c r="I569" s="16" t="s">
        <v>17</v>
      </c>
    </row>
    <row r="570" spans="2:9" x14ac:dyDescent="0.25">
      <c r="B570" s="16" t="s">
        <v>22</v>
      </c>
      <c r="C570" s="17">
        <v>45064</v>
      </c>
      <c r="D570" s="16">
        <v>1120045</v>
      </c>
      <c r="E570" s="16">
        <v>9516</v>
      </c>
      <c r="F570" s="18" t="s">
        <v>110</v>
      </c>
      <c r="G570" s="16" t="s">
        <v>1</v>
      </c>
      <c r="H570" s="16" t="s">
        <v>71</v>
      </c>
      <c r="I570" s="16" t="s">
        <v>17</v>
      </c>
    </row>
    <row r="571" spans="2:9" x14ac:dyDescent="0.25">
      <c r="B571" s="16" t="s">
        <v>22</v>
      </c>
      <c r="C571" s="17">
        <v>45064</v>
      </c>
      <c r="D571" s="16">
        <v>1120046</v>
      </c>
      <c r="E571" s="16">
        <v>9516</v>
      </c>
      <c r="F571" s="18" t="s">
        <v>110</v>
      </c>
      <c r="G571" s="16" t="s">
        <v>1</v>
      </c>
      <c r="H571" s="16" t="s">
        <v>71</v>
      </c>
      <c r="I571" s="16" t="s">
        <v>17</v>
      </c>
    </row>
    <row r="572" spans="2:9" x14ac:dyDescent="0.25">
      <c r="B572" s="16" t="s">
        <v>22</v>
      </c>
      <c r="C572" s="17">
        <v>45064</v>
      </c>
      <c r="D572" s="16">
        <v>1120047</v>
      </c>
      <c r="E572" s="16">
        <v>9516</v>
      </c>
      <c r="F572" s="18" t="s">
        <v>110</v>
      </c>
      <c r="G572" s="16" t="s">
        <v>1</v>
      </c>
      <c r="H572" s="16" t="s">
        <v>71</v>
      </c>
      <c r="I572" s="16" t="s">
        <v>17</v>
      </c>
    </row>
    <row r="573" spans="2:9" x14ac:dyDescent="0.25">
      <c r="B573" s="16" t="s">
        <v>22</v>
      </c>
      <c r="C573" s="17">
        <v>45064</v>
      </c>
      <c r="D573" s="16">
        <v>1120048</v>
      </c>
      <c r="E573" s="16">
        <v>9516</v>
      </c>
      <c r="F573" s="18" t="s">
        <v>110</v>
      </c>
      <c r="G573" s="16" t="s">
        <v>1</v>
      </c>
      <c r="H573" s="16" t="s">
        <v>71</v>
      </c>
      <c r="I573" s="16" t="s">
        <v>17</v>
      </c>
    </row>
    <row r="574" spans="2:9" x14ac:dyDescent="0.25">
      <c r="B574" s="16" t="s">
        <v>22</v>
      </c>
      <c r="C574" s="17">
        <v>45064</v>
      </c>
      <c r="D574" s="16">
        <v>1120049</v>
      </c>
      <c r="E574" s="16">
        <v>9516</v>
      </c>
      <c r="F574" s="18" t="s">
        <v>110</v>
      </c>
      <c r="G574" s="16" t="s">
        <v>1</v>
      </c>
      <c r="H574" s="16" t="s">
        <v>71</v>
      </c>
      <c r="I574" s="16" t="s">
        <v>17</v>
      </c>
    </row>
    <row r="575" spans="2:9" x14ac:dyDescent="0.25">
      <c r="B575" s="16" t="s">
        <v>2</v>
      </c>
      <c r="C575" s="17">
        <v>45064</v>
      </c>
      <c r="D575" s="16">
        <v>119</v>
      </c>
      <c r="E575" s="16">
        <v>70861</v>
      </c>
      <c r="F575" s="18" t="s">
        <v>194</v>
      </c>
      <c r="G575" s="16" t="s">
        <v>16</v>
      </c>
      <c r="H575" s="16" t="s">
        <v>36</v>
      </c>
      <c r="I575" s="16" t="s">
        <v>192</v>
      </c>
    </row>
    <row r="576" spans="2:9" x14ac:dyDescent="0.25">
      <c r="B576" s="16" t="s">
        <v>26</v>
      </c>
      <c r="C576" s="17">
        <v>45064</v>
      </c>
      <c r="D576" s="16">
        <v>17128</v>
      </c>
      <c r="E576" s="16">
        <v>70670</v>
      </c>
      <c r="F576" s="18" t="s">
        <v>101</v>
      </c>
      <c r="G576" s="16" t="s">
        <v>4</v>
      </c>
      <c r="H576" s="16" t="s">
        <v>49</v>
      </c>
      <c r="I576" s="16" t="s">
        <v>17</v>
      </c>
    </row>
    <row r="577" spans="2:9" x14ac:dyDescent="0.25">
      <c r="B577" s="16" t="s">
        <v>40</v>
      </c>
      <c r="C577" s="17">
        <v>45064</v>
      </c>
      <c r="D577" s="16">
        <v>150027</v>
      </c>
      <c r="E577" s="16">
        <v>10440</v>
      </c>
      <c r="F577" s="18" t="s">
        <v>37</v>
      </c>
      <c r="G577" s="16" t="s">
        <v>7</v>
      </c>
      <c r="H577" s="16" t="s">
        <v>49</v>
      </c>
      <c r="I577" s="16" t="s">
        <v>17</v>
      </c>
    </row>
    <row r="578" spans="2:9" x14ac:dyDescent="0.25">
      <c r="B578" s="16" t="s">
        <v>40</v>
      </c>
      <c r="C578" s="17">
        <v>45064</v>
      </c>
      <c r="D578" s="16">
        <v>120</v>
      </c>
      <c r="E578" s="16">
        <v>70861</v>
      </c>
      <c r="F578" s="18" t="s">
        <v>194</v>
      </c>
      <c r="G578" s="16" t="s">
        <v>16</v>
      </c>
      <c r="H578" s="16" t="s">
        <v>28</v>
      </c>
      <c r="I578" s="16" t="s">
        <v>198</v>
      </c>
    </row>
    <row r="579" spans="2:9" x14ac:dyDescent="0.25">
      <c r="B579" s="16" t="s">
        <v>40</v>
      </c>
      <c r="C579" s="17">
        <v>45064</v>
      </c>
      <c r="D579" s="16">
        <v>449450</v>
      </c>
      <c r="E579" s="16">
        <v>2563</v>
      </c>
      <c r="F579" s="18" t="s">
        <v>199</v>
      </c>
      <c r="G579" s="16" t="s">
        <v>52</v>
      </c>
      <c r="H579" s="16" t="s">
        <v>28</v>
      </c>
      <c r="I579" s="16" t="s">
        <v>51</v>
      </c>
    </row>
    <row r="580" spans="2:9" x14ac:dyDescent="0.25">
      <c r="B580" s="16" t="s">
        <v>22</v>
      </c>
      <c r="C580" s="17">
        <v>45064</v>
      </c>
      <c r="D580" s="16">
        <v>16997</v>
      </c>
      <c r="E580" s="16">
        <v>70485</v>
      </c>
      <c r="F580" s="18" t="s">
        <v>101</v>
      </c>
      <c r="G580" s="16" t="s">
        <v>4</v>
      </c>
      <c r="H580" s="16" t="s">
        <v>89</v>
      </c>
      <c r="I580" s="16" t="s">
        <v>17</v>
      </c>
    </row>
    <row r="581" spans="2:9" x14ac:dyDescent="0.25">
      <c r="B581" s="16" t="s">
        <v>26</v>
      </c>
      <c r="C581" s="17">
        <v>45064</v>
      </c>
      <c r="D581" s="16">
        <v>1361010</v>
      </c>
      <c r="E581" s="16">
        <v>13235</v>
      </c>
      <c r="F581" s="18" t="s">
        <v>99</v>
      </c>
      <c r="G581" s="16" t="s">
        <v>4</v>
      </c>
      <c r="H581" s="16" t="s">
        <v>75</v>
      </c>
      <c r="I581" s="16" t="s">
        <v>192</v>
      </c>
    </row>
    <row r="582" spans="2:9" x14ac:dyDescent="0.25">
      <c r="B582" s="16" t="s">
        <v>26</v>
      </c>
      <c r="C582" s="17">
        <v>45064</v>
      </c>
      <c r="D582" s="16">
        <v>2568</v>
      </c>
      <c r="E582" s="16">
        <v>70670</v>
      </c>
      <c r="F582" s="18" t="s">
        <v>101</v>
      </c>
      <c r="G582" s="16" t="s">
        <v>3</v>
      </c>
      <c r="H582" s="16" t="s">
        <v>75</v>
      </c>
      <c r="I582" s="16" t="s">
        <v>192</v>
      </c>
    </row>
    <row r="583" spans="2:9" x14ac:dyDescent="0.25">
      <c r="B583" s="16" t="s">
        <v>33</v>
      </c>
      <c r="C583" s="17">
        <v>45064</v>
      </c>
      <c r="D583" s="16">
        <v>1361040</v>
      </c>
      <c r="E583" s="16">
        <v>13235</v>
      </c>
      <c r="F583" s="18" t="s">
        <v>99</v>
      </c>
      <c r="G583" s="16" t="s">
        <v>4</v>
      </c>
      <c r="H583" s="16" t="s">
        <v>75</v>
      </c>
      <c r="I583" s="16" t="s">
        <v>17</v>
      </c>
    </row>
    <row r="584" spans="2:9" x14ac:dyDescent="0.25">
      <c r="B584" s="16" t="s">
        <v>22</v>
      </c>
      <c r="C584" s="17">
        <v>45064</v>
      </c>
      <c r="D584" s="16">
        <v>74262</v>
      </c>
      <c r="E584" s="16">
        <v>13876</v>
      </c>
      <c r="F584" s="18" t="s">
        <v>135</v>
      </c>
      <c r="G584" s="16" t="s">
        <v>3</v>
      </c>
      <c r="H584" s="16" t="s">
        <v>176</v>
      </c>
      <c r="I584" s="16" t="s">
        <v>32</v>
      </c>
    </row>
    <row r="585" spans="2:9" x14ac:dyDescent="0.25">
      <c r="B585" s="16" t="s">
        <v>22</v>
      </c>
      <c r="C585" s="17">
        <v>45064</v>
      </c>
      <c r="D585" s="16">
        <v>74261</v>
      </c>
      <c r="E585" s="16">
        <v>13876</v>
      </c>
      <c r="F585" s="18" t="s">
        <v>135</v>
      </c>
      <c r="G585" s="16" t="s">
        <v>3</v>
      </c>
      <c r="H585" s="16" t="s">
        <v>176</v>
      </c>
      <c r="I585" s="16" t="s">
        <v>32</v>
      </c>
    </row>
    <row r="586" spans="2:9" x14ac:dyDescent="0.25">
      <c r="B586" s="16" t="s">
        <v>22</v>
      </c>
      <c r="C586" s="17">
        <v>45064</v>
      </c>
      <c r="D586" s="16">
        <v>971444</v>
      </c>
      <c r="E586" s="16">
        <v>9434</v>
      </c>
      <c r="F586" s="18" t="s">
        <v>23</v>
      </c>
      <c r="G586" s="16" t="s">
        <v>1</v>
      </c>
      <c r="H586" s="16" t="s">
        <v>176</v>
      </c>
      <c r="I586" s="16" t="s">
        <v>32</v>
      </c>
    </row>
    <row r="587" spans="2:9" x14ac:dyDescent="0.25">
      <c r="B587" s="16" t="s">
        <v>22</v>
      </c>
      <c r="C587" s="17">
        <v>45064</v>
      </c>
      <c r="D587" s="16">
        <v>95123</v>
      </c>
      <c r="E587" s="16">
        <v>2049</v>
      </c>
      <c r="F587" s="18" t="s">
        <v>154</v>
      </c>
      <c r="G587" s="16" t="s">
        <v>1</v>
      </c>
      <c r="H587" s="16" t="s">
        <v>190</v>
      </c>
      <c r="I587" s="16" t="s">
        <v>17</v>
      </c>
    </row>
    <row r="588" spans="2:9" x14ac:dyDescent="0.25">
      <c r="B588" s="16" t="s">
        <v>26</v>
      </c>
      <c r="C588" s="17">
        <v>45064</v>
      </c>
      <c r="D588" s="16">
        <v>95124</v>
      </c>
      <c r="E588" s="16">
        <v>2049</v>
      </c>
      <c r="F588" s="18" t="s">
        <v>154</v>
      </c>
      <c r="G588" s="16" t="s">
        <v>1</v>
      </c>
      <c r="H588" s="16" t="s">
        <v>186</v>
      </c>
      <c r="I588" s="16" t="s">
        <v>192</v>
      </c>
    </row>
    <row r="589" spans="2:9" x14ac:dyDescent="0.25">
      <c r="B589" s="16" t="s">
        <v>22</v>
      </c>
      <c r="C589" s="17">
        <v>45064</v>
      </c>
      <c r="D589" s="16">
        <v>1361024</v>
      </c>
      <c r="E589" s="16">
        <v>13235</v>
      </c>
      <c r="F589" s="18" t="s">
        <v>99</v>
      </c>
      <c r="G589" s="16" t="s">
        <v>4</v>
      </c>
      <c r="H589" s="16" t="s">
        <v>184</v>
      </c>
      <c r="I589" s="16" t="s">
        <v>192</v>
      </c>
    </row>
    <row r="590" spans="2:9" x14ac:dyDescent="0.25">
      <c r="B590" s="16" t="s">
        <v>22</v>
      </c>
      <c r="C590" s="17">
        <v>45064</v>
      </c>
      <c r="D590" s="16">
        <v>1361025</v>
      </c>
      <c r="E590" s="16">
        <v>13235</v>
      </c>
      <c r="F590" s="18" t="s">
        <v>99</v>
      </c>
      <c r="G590" s="16" t="s">
        <v>4</v>
      </c>
      <c r="H590" s="16" t="s">
        <v>184</v>
      </c>
      <c r="I590" s="16" t="s">
        <v>192</v>
      </c>
    </row>
    <row r="591" spans="2:9" x14ac:dyDescent="0.25">
      <c r="B591" s="16" t="s">
        <v>2</v>
      </c>
      <c r="C591" s="17">
        <v>45064</v>
      </c>
      <c r="D591" s="16">
        <v>2829619</v>
      </c>
      <c r="E591" s="16">
        <v>9468</v>
      </c>
      <c r="F591" s="18" t="s">
        <v>145</v>
      </c>
      <c r="G591" s="16" t="s">
        <v>5</v>
      </c>
      <c r="H591" s="16" t="s">
        <v>184</v>
      </c>
      <c r="I591" s="16" t="s">
        <v>192</v>
      </c>
    </row>
    <row r="592" spans="2:9" x14ac:dyDescent="0.25">
      <c r="B592" s="16" t="s">
        <v>33</v>
      </c>
      <c r="C592" s="17">
        <v>45064</v>
      </c>
      <c r="D592" s="16">
        <v>92961</v>
      </c>
      <c r="E592" s="16">
        <v>9379</v>
      </c>
      <c r="F592" s="18" t="s">
        <v>193</v>
      </c>
      <c r="G592" s="16" t="s">
        <v>5</v>
      </c>
      <c r="H592" s="16" t="s">
        <v>184</v>
      </c>
      <c r="I592" s="16" t="s">
        <v>57</v>
      </c>
    </row>
    <row r="593" spans="2:9" x14ac:dyDescent="0.25">
      <c r="B593" s="16" t="s">
        <v>2</v>
      </c>
      <c r="C593" s="17">
        <v>45064</v>
      </c>
      <c r="D593" s="16">
        <v>53065</v>
      </c>
      <c r="E593" s="16">
        <v>9451</v>
      </c>
      <c r="F593" s="18" t="s">
        <v>195</v>
      </c>
      <c r="G593" s="16" t="s">
        <v>1</v>
      </c>
      <c r="H593" s="16" t="s">
        <v>184</v>
      </c>
      <c r="I593" s="16" t="s">
        <v>192</v>
      </c>
    </row>
    <row r="594" spans="2:9" x14ac:dyDescent="0.25">
      <c r="B594" s="16" t="s">
        <v>33</v>
      </c>
      <c r="C594" s="17">
        <v>45064</v>
      </c>
      <c r="D594" s="16">
        <v>531143</v>
      </c>
      <c r="E594" s="16">
        <v>1008</v>
      </c>
      <c r="F594" s="18" t="s">
        <v>74</v>
      </c>
      <c r="G594" s="16" t="s">
        <v>1</v>
      </c>
      <c r="H594" s="16" t="s">
        <v>184</v>
      </c>
      <c r="I594" s="16" t="s">
        <v>192</v>
      </c>
    </row>
    <row r="595" spans="2:9" x14ac:dyDescent="0.25">
      <c r="B595" s="16" t="s">
        <v>33</v>
      </c>
      <c r="C595" s="17">
        <v>45064</v>
      </c>
      <c r="D595" s="16">
        <v>1361037</v>
      </c>
      <c r="E595" s="16">
        <v>13235</v>
      </c>
      <c r="F595" s="18" t="s">
        <v>99</v>
      </c>
      <c r="G595" s="16" t="s">
        <v>4</v>
      </c>
      <c r="H595" s="16" t="s">
        <v>184</v>
      </c>
      <c r="I595" s="16" t="s">
        <v>192</v>
      </c>
    </row>
    <row r="596" spans="2:9" x14ac:dyDescent="0.25">
      <c r="B596" s="16" t="s">
        <v>2</v>
      </c>
      <c r="C596" s="17">
        <v>45064</v>
      </c>
      <c r="D596" s="16">
        <v>2766</v>
      </c>
      <c r="E596" s="16">
        <v>67905</v>
      </c>
      <c r="F596" s="18" t="s">
        <v>196</v>
      </c>
      <c r="G596" s="16" t="s">
        <v>7</v>
      </c>
      <c r="H596" s="16" t="s">
        <v>38</v>
      </c>
      <c r="I596" s="16" t="s">
        <v>17</v>
      </c>
    </row>
    <row r="597" spans="2:9" x14ac:dyDescent="0.25">
      <c r="B597" s="16" t="s">
        <v>40</v>
      </c>
      <c r="C597" s="17">
        <v>45064</v>
      </c>
      <c r="D597" s="16">
        <v>75610</v>
      </c>
      <c r="E597" s="16">
        <v>4041</v>
      </c>
      <c r="F597" s="18" t="s">
        <v>197</v>
      </c>
      <c r="G597" s="16" t="s">
        <v>7</v>
      </c>
      <c r="H597" s="16" t="s">
        <v>38</v>
      </c>
      <c r="I597" s="16" t="s">
        <v>17</v>
      </c>
    </row>
    <row r="598" spans="2:9" x14ac:dyDescent="0.25">
      <c r="B598" s="16" t="s">
        <v>40</v>
      </c>
      <c r="C598" s="17">
        <v>45064</v>
      </c>
      <c r="D598" s="16">
        <v>189438</v>
      </c>
      <c r="E598" s="16">
        <v>6563</v>
      </c>
      <c r="F598" s="18" t="s">
        <v>162</v>
      </c>
      <c r="G598" s="16" t="s">
        <v>6</v>
      </c>
      <c r="H598" s="16" t="s">
        <v>38</v>
      </c>
      <c r="I598" s="16" t="s">
        <v>17</v>
      </c>
    </row>
    <row r="599" spans="2:9" x14ac:dyDescent="0.25">
      <c r="B599" s="16" t="s">
        <v>40</v>
      </c>
      <c r="C599" s="17">
        <v>45065</v>
      </c>
      <c r="D599" s="16">
        <v>62006</v>
      </c>
      <c r="E599" s="16">
        <v>10635</v>
      </c>
      <c r="F599" s="18" t="s">
        <v>203</v>
      </c>
      <c r="G599" s="16" t="s">
        <v>54</v>
      </c>
      <c r="H599" s="16" t="s">
        <v>71</v>
      </c>
      <c r="I599" s="16" t="s">
        <v>17</v>
      </c>
    </row>
    <row r="600" spans="2:9" x14ac:dyDescent="0.25">
      <c r="B600" s="16" t="s">
        <v>40</v>
      </c>
      <c r="C600" s="17">
        <v>45065</v>
      </c>
      <c r="D600" s="16">
        <v>256212</v>
      </c>
      <c r="E600" s="16">
        <v>12899</v>
      </c>
      <c r="F600" s="18" t="s">
        <v>204</v>
      </c>
      <c r="G600" s="16" t="s">
        <v>1</v>
      </c>
      <c r="H600" s="16" t="s">
        <v>71</v>
      </c>
      <c r="I600" s="16" t="s">
        <v>17</v>
      </c>
    </row>
    <row r="601" spans="2:9" x14ac:dyDescent="0.25">
      <c r="B601" s="16" t="s">
        <v>2</v>
      </c>
      <c r="C601" s="17">
        <v>45065</v>
      </c>
      <c r="D601" s="16">
        <v>1171811</v>
      </c>
      <c r="E601" s="16">
        <v>2294</v>
      </c>
      <c r="F601" s="18" t="s">
        <v>202</v>
      </c>
      <c r="G601" s="16" t="s">
        <v>1</v>
      </c>
      <c r="H601" s="16" t="s">
        <v>49</v>
      </c>
      <c r="I601" s="16" t="s">
        <v>17</v>
      </c>
    </row>
    <row r="602" spans="2:9" x14ac:dyDescent="0.25">
      <c r="B602" s="16" t="s">
        <v>22</v>
      </c>
      <c r="C602" s="17">
        <v>45065</v>
      </c>
      <c r="D602" s="16">
        <v>258588</v>
      </c>
      <c r="E602" s="16">
        <v>37945</v>
      </c>
      <c r="F602" s="18" t="s">
        <v>166</v>
      </c>
      <c r="G602" s="16" t="s">
        <v>5</v>
      </c>
      <c r="H602" s="16" t="s">
        <v>46</v>
      </c>
      <c r="I602" s="16" t="s">
        <v>17</v>
      </c>
    </row>
    <row r="603" spans="2:9" x14ac:dyDescent="0.25">
      <c r="B603" s="16" t="s">
        <v>22</v>
      </c>
      <c r="C603" s="17">
        <v>45065</v>
      </c>
      <c r="D603" s="16">
        <v>258589</v>
      </c>
      <c r="E603" s="16">
        <v>37945</v>
      </c>
      <c r="F603" s="18" t="s">
        <v>166</v>
      </c>
      <c r="G603" s="16" t="s">
        <v>5</v>
      </c>
      <c r="H603" s="16" t="s">
        <v>46</v>
      </c>
      <c r="I603" s="16" t="s">
        <v>17</v>
      </c>
    </row>
    <row r="604" spans="2:9" x14ac:dyDescent="0.25">
      <c r="B604" s="16" t="s">
        <v>33</v>
      </c>
      <c r="C604" s="17">
        <v>45065</v>
      </c>
      <c r="D604" s="16">
        <v>958059</v>
      </c>
      <c r="E604" s="16">
        <v>9403</v>
      </c>
      <c r="F604" s="18" t="s">
        <v>153</v>
      </c>
      <c r="G604" s="16" t="s">
        <v>16</v>
      </c>
      <c r="H604" s="16" t="s">
        <v>46</v>
      </c>
      <c r="I604" s="16" t="s">
        <v>17</v>
      </c>
    </row>
    <row r="605" spans="2:9" x14ac:dyDescent="0.25">
      <c r="B605" s="16" t="s">
        <v>33</v>
      </c>
      <c r="C605" s="17">
        <v>45065</v>
      </c>
      <c r="D605" s="16">
        <v>958058</v>
      </c>
      <c r="E605" s="16">
        <v>9403</v>
      </c>
      <c r="F605" s="18" t="s">
        <v>153</v>
      </c>
      <c r="G605" s="16" t="s">
        <v>5</v>
      </c>
      <c r="H605" s="16" t="s">
        <v>46</v>
      </c>
      <c r="I605" s="16" t="s">
        <v>17</v>
      </c>
    </row>
    <row r="606" spans="2:9" x14ac:dyDescent="0.25">
      <c r="B606" s="16" t="s">
        <v>22</v>
      </c>
      <c r="C606" s="17">
        <v>45065</v>
      </c>
      <c r="D606" s="16">
        <v>241356</v>
      </c>
      <c r="E606" s="16">
        <v>9531</v>
      </c>
      <c r="F606" s="18" t="s">
        <v>201</v>
      </c>
      <c r="G606" s="16" t="s">
        <v>5</v>
      </c>
      <c r="H606" s="16" t="s">
        <v>176</v>
      </c>
      <c r="I606" s="16" t="s">
        <v>32</v>
      </c>
    </row>
    <row r="607" spans="2:9" x14ac:dyDescent="0.25">
      <c r="B607" s="16" t="s">
        <v>2</v>
      </c>
      <c r="C607" s="17">
        <v>45065</v>
      </c>
      <c r="D607" s="16">
        <v>967426</v>
      </c>
      <c r="E607" s="16">
        <v>10263</v>
      </c>
      <c r="F607" s="18" t="s">
        <v>34</v>
      </c>
      <c r="G607" s="16" t="s">
        <v>16</v>
      </c>
      <c r="H607" s="16" t="s">
        <v>184</v>
      </c>
      <c r="I607" s="16" t="s">
        <v>61</v>
      </c>
    </row>
    <row r="608" spans="2:9" x14ac:dyDescent="0.25">
      <c r="B608" s="16" t="s">
        <v>2</v>
      </c>
      <c r="C608" s="17">
        <v>45065</v>
      </c>
      <c r="D608" s="16">
        <v>967452</v>
      </c>
      <c r="E608" s="16">
        <v>10263</v>
      </c>
      <c r="F608" s="18" t="s">
        <v>34</v>
      </c>
      <c r="G608" s="16" t="s">
        <v>16</v>
      </c>
      <c r="H608" s="16" t="s">
        <v>184</v>
      </c>
      <c r="I608" s="16" t="s">
        <v>61</v>
      </c>
    </row>
    <row r="609" spans="2:9" x14ac:dyDescent="0.25">
      <c r="B609" s="16" t="s">
        <v>26</v>
      </c>
      <c r="C609" s="17">
        <v>45065</v>
      </c>
      <c r="D609" s="16">
        <v>232085</v>
      </c>
      <c r="E609" s="16">
        <v>64946</v>
      </c>
      <c r="F609" s="18" t="s">
        <v>99</v>
      </c>
      <c r="G609" s="16" t="s">
        <v>4</v>
      </c>
      <c r="H609" s="16" t="s">
        <v>38</v>
      </c>
      <c r="I609" s="16" t="s">
        <v>42</v>
      </c>
    </row>
    <row r="610" spans="2:9" x14ac:dyDescent="0.25">
      <c r="B610" s="16" t="s">
        <v>26</v>
      </c>
      <c r="C610" s="17">
        <v>45065</v>
      </c>
      <c r="D610" s="16">
        <v>232249</v>
      </c>
      <c r="E610" s="16">
        <v>64946</v>
      </c>
      <c r="F610" s="18" t="s">
        <v>99</v>
      </c>
      <c r="G610" s="16" t="s">
        <v>4</v>
      </c>
      <c r="H610" s="16" t="s">
        <v>38</v>
      </c>
      <c r="I610" s="16" t="s">
        <v>42</v>
      </c>
    </row>
    <row r="611" spans="2:9" x14ac:dyDescent="0.25">
      <c r="B611" s="16" t="s">
        <v>33</v>
      </c>
      <c r="C611" s="17">
        <v>45065</v>
      </c>
      <c r="D611" s="16">
        <v>235666</v>
      </c>
      <c r="E611" s="16">
        <v>1175</v>
      </c>
      <c r="F611" s="18" t="s">
        <v>81</v>
      </c>
      <c r="G611" s="16" t="s">
        <v>7</v>
      </c>
      <c r="H611" s="16" t="s">
        <v>38</v>
      </c>
      <c r="I611" s="16" t="s">
        <v>17</v>
      </c>
    </row>
    <row r="612" spans="2:9" x14ac:dyDescent="0.25">
      <c r="B612" s="16" t="s">
        <v>40</v>
      </c>
      <c r="C612" s="17">
        <v>45066</v>
      </c>
      <c r="D612" s="16">
        <v>4313771</v>
      </c>
      <c r="E612" s="16">
        <v>1174</v>
      </c>
      <c r="F612" s="18" t="s">
        <v>100</v>
      </c>
      <c r="G612" s="16" t="s">
        <v>52</v>
      </c>
      <c r="H612" s="16" t="s">
        <v>184</v>
      </c>
      <c r="I612" s="16" t="s">
        <v>29</v>
      </c>
    </row>
    <row r="613" spans="2:9" x14ac:dyDescent="0.25">
      <c r="B613" s="16" t="s">
        <v>40</v>
      </c>
      <c r="C613" s="17">
        <v>45066</v>
      </c>
      <c r="D613" s="16">
        <v>118109</v>
      </c>
      <c r="E613" s="16">
        <v>11604</v>
      </c>
      <c r="F613" s="18" t="s">
        <v>63</v>
      </c>
      <c r="G613" s="16" t="s">
        <v>93</v>
      </c>
      <c r="H613" s="16" t="s">
        <v>38</v>
      </c>
      <c r="I613" s="16" t="s">
        <v>17</v>
      </c>
    </row>
    <row r="614" spans="2:9" x14ac:dyDescent="0.25">
      <c r="B614" s="16" t="s">
        <v>22</v>
      </c>
      <c r="C614" s="17">
        <v>45066</v>
      </c>
      <c r="D614" s="16">
        <v>624627</v>
      </c>
      <c r="E614" s="16">
        <v>3610</v>
      </c>
      <c r="F614" s="18" t="s">
        <v>8</v>
      </c>
      <c r="G614" s="16" t="s">
        <v>54</v>
      </c>
      <c r="H614" s="16" t="s">
        <v>38</v>
      </c>
      <c r="I614" s="16" t="s">
        <v>17</v>
      </c>
    </row>
    <row r="615" spans="2:9" x14ac:dyDescent="0.25">
      <c r="B615" s="16" t="s">
        <v>2</v>
      </c>
      <c r="C615" s="17">
        <v>45068</v>
      </c>
      <c r="D615" s="16">
        <v>126412</v>
      </c>
      <c r="E615" s="16">
        <v>6200</v>
      </c>
      <c r="F615" s="18" t="s">
        <v>208</v>
      </c>
      <c r="G615" s="16" t="s">
        <v>1</v>
      </c>
      <c r="H615" s="16" t="s">
        <v>49</v>
      </c>
      <c r="I615" s="16" t="s">
        <v>17</v>
      </c>
    </row>
    <row r="616" spans="2:9" x14ac:dyDescent="0.25">
      <c r="B616" s="16" t="s">
        <v>22</v>
      </c>
      <c r="C616" s="17">
        <v>45068</v>
      </c>
      <c r="D616" s="16">
        <v>5059280</v>
      </c>
      <c r="E616" s="16">
        <v>15102</v>
      </c>
      <c r="F616" s="18" t="s">
        <v>160</v>
      </c>
      <c r="G616" s="16" t="s">
        <v>52</v>
      </c>
      <c r="H616" s="16" t="s">
        <v>28</v>
      </c>
      <c r="I616" s="16" t="s">
        <v>73</v>
      </c>
    </row>
    <row r="617" spans="2:9" x14ac:dyDescent="0.25">
      <c r="B617" s="16" t="s">
        <v>26</v>
      </c>
      <c r="C617" s="17">
        <v>45068</v>
      </c>
      <c r="D617" s="16">
        <v>302009</v>
      </c>
      <c r="E617" s="16">
        <v>1135</v>
      </c>
      <c r="F617" s="18" t="s">
        <v>205</v>
      </c>
      <c r="G617" s="16" t="s">
        <v>52</v>
      </c>
      <c r="H617" s="16" t="s">
        <v>28</v>
      </c>
      <c r="I617" s="16" t="s">
        <v>29</v>
      </c>
    </row>
    <row r="618" spans="2:9" x14ac:dyDescent="0.25">
      <c r="B618" s="16" t="s">
        <v>26</v>
      </c>
      <c r="C618" s="17">
        <v>45068</v>
      </c>
      <c r="D618" s="16">
        <v>973861</v>
      </c>
      <c r="E618" s="16">
        <v>9434</v>
      </c>
      <c r="F618" s="18" t="s">
        <v>23</v>
      </c>
      <c r="G618" s="16" t="s">
        <v>1</v>
      </c>
      <c r="H618" s="16" t="s">
        <v>28</v>
      </c>
      <c r="I618" s="16" t="s">
        <v>25</v>
      </c>
    </row>
    <row r="619" spans="2:9" x14ac:dyDescent="0.25">
      <c r="B619" s="16" t="s">
        <v>26</v>
      </c>
      <c r="C619" s="17">
        <v>45068</v>
      </c>
      <c r="D619" s="16">
        <v>973859</v>
      </c>
      <c r="E619" s="16">
        <v>9434</v>
      </c>
      <c r="F619" s="18" t="s">
        <v>23</v>
      </c>
      <c r="G619" s="16" t="s">
        <v>1</v>
      </c>
      <c r="H619" s="16" t="s">
        <v>28</v>
      </c>
      <c r="I619" s="16" t="s">
        <v>25</v>
      </c>
    </row>
    <row r="620" spans="2:9" x14ac:dyDescent="0.25">
      <c r="B620" s="16" t="s">
        <v>26</v>
      </c>
      <c r="C620" s="17">
        <v>45068</v>
      </c>
      <c r="D620" s="16">
        <v>161738</v>
      </c>
      <c r="E620" s="16">
        <v>2471</v>
      </c>
      <c r="F620" s="18" t="s">
        <v>207</v>
      </c>
      <c r="G620" s="16" t="s">
        <v>5</v>
      </c>
      <c r="H620" s="16" t="s">
        <v>28</v>
      </c>
      <c r="I620" s="16" t="s">
        <v>61</v>
      </c>
    </row>
    <row r="621" spans="2:9" x14ac:dyDescent="0.25">
      <c r="B621" s="16" t="s">
        <v>22</v>
      </c>
      <c r="C621" s="17">
        <v>45068</v>
      </c>
      <c r="D621" s="16">
        <v>258588</v>
      </c>
      <c r="E621" s="16">
        <v>37945</v>
      </c>
      <c r="F621" s="18" t="s">
        <v>166</v>
      </c>
      <c r="G621" s="16" t="s">
        <v>5</v>
      </c>
      <c r="H621" s="16" t="s">
        <v>28</v>
      </c>
      <c r="I621" s="16" t="s">
        <v>61</v>
      </c>
    </row>
    <row r="622" spans="2:9" x14ac:dyDescent="0.25">
      <c r="B622" s="16" t="s">
        <v>22</v>
      </c>
      <c r="C622" s="17">
        <v>45068</v>
      </c>
      <c r="D622" s="16">
        <v>258589</v>
      </c>
      <c r="E622" s="16">
        <v>37945</v>
      </c>
      <c r="F622" s="18" t="s">
        <v>166</v>
      </c>
      <c r="G622" s="16" t="s">
        <v>5</v>
      </c>
      <c r="H622" s="16" t="s">
        <v>28</v>
      </c>
      <c r="I622" s="16" t="s">
        <v>61</v>
      </c>
    </row>
    <row r="623" spans="2:9" x14ac:dyDescent="0.25">
      <c r="B623" s="16" t="s">
        <v>22</v>
      </c>
      <c r="C623" s="17">
        <v>45068</v>
      </c>
      <c r="D623" s="16">
        <v>398315</v>
      </c>
      <c r="E623" s="16">
        <v>1136</v>
      </c>
      <c r="F623" s="18" t="s">
        <v>167</v>
      </c>
      <c r="G623" s="16" t="s">
        <v>3</v>
      </c>
      <c r="H623" s="16" t="s">
        <v>28</v>
      </c>
      <c r="I623" s="16" t="s">
        <v>61</v>
      </c>
    </row>
    <row r="624" spans="2:9" x14ac:dyDescent="0.25">
      <c r="B624" s="16" t="s">
        <v>22</v>
      </c>
      <c r="C624" s="17">
        <v>45068</v>
      </c>
      <c r="D624" s="16">
        <v>398314</v>
      </c>
      <c r="E624" s="16">
        <v>1136</v>
      </c>
      <c r="F624" s="18" t="s">
        <v>167</v>
      </c>
      <c r="G624" s="16" t="s">
        <v>3</v>
      </c>
      <c r="H624" s="16" t="s">
        <v>28</v>
      </c>
      <c r="I624" s="16" t="s">
        <v>61</v>
      </c>
    </row>
    <row r="625" spans="2:9" x14ac:dyDescent="0.25">
      <c r="B625" s="16" t="s">
        <v>22</v>
      </c>
      <c r="C625" s="17">
        <v>45068</v>
      </c>
      <c r="D625" s="16">
        <v>398309</v>
      </c>
      <c r="E625" s="16">
        <v>1136</v>
      </c>
      <c r="F625" s="18" t="s">
        <v>167</v>
      </c>
      <c r="G625" s="16" t="s">
        <v>3</v>
      </c>
      <c r="H625" s="16" t="s">
        <v>28</v>
      </c>
      <c r="I625" s="16" t="s">
        <v>61</v>
      </c>
    </row>
    <row r="626" spans="2:9" x14ac:dyDescent="0.25">
      <c r="B626" s="16" t="s">
        <v>22</v>
      </c>
      <c r="C626" s="17">
        <v>45068</v>
      </c>
      <c r="D626" s="16">
        <v>398310</v>
      </c>
      <c r="E626" s="16">
        <v>1136</v>
      </c>
      <c r="F626" s="18" t="s">
        <v>167</v>
      </c>
      <c r="G626" s="16" t="s">
        <v>3</v>
      </c>
      <c r="H626" s="16" t="s">
        <v>28</v>
      </c>
      <c r="I626" s="16" t="s">
        <v>61</v>
      </c>
    </row>
    <row r="627" spans="2:9" x14ac:dyDescent="0.25">
      <c r="B627" s="16" t="s">
        <v>22</v>
      </c>
      <c r="C627" s="17">
        <v>45068</v>
      </c>
      <c r="D627" s="16">
        <v>398311</v>
      </c>
      <c r="E627" s="16">
        <v>1136</v>
      </c>
      <c r="F627" s="18" t="s">
        <v>167</v>
      </c>
      <c r="G627" s="16" t="s">
        <v>3</v>
      </c>
      <c r="H627" s="16" t="s">
        <v>28</v>
      </c>
      <c r="I627" s="16" t="s">
        <v>61</v>
      </c>
    </row>
    <row r="628" spans="2:9" x14ac:dyDescent="0.25">
      <c r="B628" s="16" t="s">
        <v>22</v>
      </c>
      <c r="C628" s="17">
        <v>45068</v>
      </c>
      <c r="D628" s="16">
        <v>398312</v>
      </c>
      <c r="E628" s="16">
        <v>1136</v>
      </c>
      <c r="F628" s="18" t="s">
        <v>167</v>
      </c>
      <c r="G628" s="16" t="s">
        <v>3</v>
      </c>
      <c r="H628" s="16" t="s">
        <v>28</v>
      </c>
      <c r="I628" s="16" t="s">
        <v>61</v>
      </c>
    </row>
    <row r="629" spans="2:9" x14ac:dyDescent="0.25">
      <c r="B629" s="16" t="s">
        <v>2</v>
      </c>
      <c r="C629" s="17">
        <v>45068</v>
      </c>
      <c r="D629" s="16">
        <v>974096</v>
      </c>
      <c r="E629" s="16">
        <v>9434</v>
      </c>
      <c r="F629" s="18" t="s">
        <v>23</v>
      </c>
      <c r="G629" s="16" t="s">
        <v>1</v>
      </c>
      <c r="H629" s="16" t="s">
        <v>28</v>
      </c>
      <c r="I629" s="16" t="s">
        <v>25</v>
      </c>
    </row>
    <row r="630" spans="2:9" x14ac:dyDescent="0.25">
      <c r="B630" s="16" t="s">
        <v>2</v>
      </c>
      <c r="C630" s="17">
        <v>45068</v>
      </c>
      <c r="D630" s="16">
        <v>974097</v>
      </c>
      <c r="E630" s="16">
        <v>9434</v>
      </c>
      <c r="F630" s="18" t="s">
        <v>23</v>
      </c>
      <c r="G630" s="16" t="s">
        <v>1</v>
      </c>
      <c r="H630" s="16" t="s">
        <v>28</v>
      </c>
      <c r="I630" s="16" t="s">
        <v>25</v>
      </c>
    </row>
    <row r="631" spans="2:9" x14ac:dyDescent="0.25">
      <c r="B631" s="16" t="s">
        <v>2</v>
      </c>
      <c r="C631" s="17">
        <v>45068</v>
      </c>
      <c r="D631" s="16">
        <v>974098</v>
      </c>
      <c r="E631" s="16">
        <v>9434</v>
      </c>
      <c r="F631" s="18" t="s">
        <v>23</v>
      </c>
      <c r="G631" s="16" t="s">
        <v>1</v>
      </c>
      <c r="H631" s="16" t="s">
        <v>28</v>
      </c>
      <c r="I631" s="16" t="s">
        <v>25</v>
      </c>
    </row>
    <row r="632" spans="2:9" x14ac:dyDescent="0.25">
      <c r="B632" s="16" t="s">
        <v>2</v>
      </c>
      <c r="C632" s="17">
        <v>45068</v>
      </c>
      <c r="D632" s="16">
        <v>974099</v>
      </c>
      <c r="E632" s="16">
        <v>9434</v>
      </c>
      <c r="F632" s="18" t="s">
        <v>23</v>
      </c>
      <c r="G632" s="16" t="s">
        <v>1</v>
      </c>
      <c r="H632" s="16" t="s">
        <v>28</v>
      </c>
      <c r="I632" s="16" t="s">
        <v>25</v>
      </c>
    </row>
    <row r="633" spans="2:9" x14ac:dyDescent="0.25">
      <c r="B633" s="16" t="s">
        <v>2</v>
      </c>
      <c r="C633" s="17">
        <v>45068</v>
      </c>
      <c r="D633" s="16">
        <v>974100</v>
      </c>
      <c r="E633" s="16">
        <v>9434</v>
      </c>
      <c r="F633" s="18" t="s">
        <v>23</v>
      </c>
      <c r="G633" s="16" t="s">
        <v>1</v>
      </c>
      <c r="H633" s="16" t="s">
        <v>28</v>
      </c>
      <c r="I633" s="16" t="s">
        <v>25</v>
      </c>
    </row>
    <row r="634" spans="2:9" x14ac:dyDescent="0.25">
      <c r="B634" s="16" t="s">
        <v>2</v>
      </c>
      <c r="C634" s="17">
        <v>45068</v>
      </c>
      <c r="D634" s="16">
        <v>974101</v>
      </c>
      <c r="E634" s="16">
        <v>9434</v>
      </c>
      <c r="F634" s="18" t="s">
        <v>23</v>
      </c>
      <c r="G634" s="16" t="s">
        <v>1</v>
      </c>
      <c r="H634" s="16" t="s">
        <v>28</v>
      </c>
      <c r="I634" s="16" t="s">
        <v>25</v>
      </c>
    </row>
    <row r="635" spans="2:9" x14ac:dyDescent="0.25">
      <c r="B635" s="16" t="s">
        <v>2</v>
      </c>
      <c r="C635" s="17">
        <v>45068</v>
      </c>
      <c r="D635" s="16">
        <v>974102</v>
      </c>
      <c r="E635" s="16">
        <v>9434</v>
      </c>
      <c r="F635" s="18" t="s">
        <v>23</v>
      </c>
      <c r="G635" s="16" t="s">
        <v>1</v>
      </c>
      <c r="H635" s="16" t="s">
        <v>28</v>
      </c>
      <c r="I635" s="16" t="s">
        <v>25</v>
      </c>
    </row>
    <row r="636" spans="2:9" x14ac:dyDescent="0.25">
      <c r="B636" s="16" t="s">
        <v>2</v>
      </c>
      <c r="C636" s="17">
        <v>45068</v>
      </c>
      <c r="D636" s="16">
        <v>974103</v>
      </c>
      <c r="E636" s="16">
        <v>9434</v>
      </c>
      <c r="F636" s="18" t="s">
        <v>23</v>
      </c>
      <c r="G636" s="16" t="s">
        <v>1</v>
      </c>
      <c r="H636" s="16" t="s">
        <v>28</v>
      </c>
      <c r="I636" s="16" t="s">
        <v>25</v>
      </c>
    </row>
    <row r="637" spans="2:9" x14ac:dyDescent="0.25">
      <c r="B637" s="16" t="s">
        <v>2</v>
      </c>
      <c r="C637" s="17">
        <v>45068</v>
      </c>
      <c r="D637" s="16">
        <v>973590</v>
      </c>
      <c r="E637" s="16">
        <v>9434</v>
      </c>
      <c r="F637" s="18" t="s">
        <v>23</v>
      </c>
      <c r="G637" s="16" t="s">
        <v>1</v>
      </c>
      <c r="H637" s="16" t="s">
        <v>28</v>
      </c>
      <c r="I637" s="16" t="s">
        <v>25</v>
      </c>
    </row>
    <row r="638" spans="2:9" x14ac:dyDescent="0.25">
      <c r="B638" s="16" t="s">
        <v>2</v>
      </c>
      <c r="C638" s="17">
        <v>45068</v>
      </c>
      <c r="D638" s="16">
        <v>973591</v>
      </c>
      <c r="E638" s="16">
        <v>9434</v>
      </c>
      <c r="F638" s="18" t="s">
        <v>23</v>
      </c>
      <c r="G638" s="16" t="s">
        <v>1</v>
      </c>
      <c r="H638" s="16" t="s">
        <v>28</v>
      </c>
      <c r="I638" s="16" t="s">
        <v>25</v>
      </c>
    </row>
    <row r="639" spans="2:9" x14ac:dyDescent="0.25">
      <c r="B639" s="16" t="s">
        <v>2</v>
      </c>
      <c r="C639" s="17">
        <v>45068</v>
      </c>
      <c r="D639" s="16">
        <v>973592</v>
      </c>
      <c r="E639" s="16">
        <v>9434</v>
      </c>
      <c r="F639" s="18" t="s">
        <v>23</v>
      </c>
      <c r="G639" s="16" t="s">
        <v>1</v>
      </c>
      <c r="H639" s="16" t="s">
        <v>28</v>
      </c>
      <c r="I639" s="16" t="s">
        <v>25</v>
      </c>
    </row>
    <row r="640" spans="2:9" x14ac:dyDescent="0.25">
      <c r="B640" s="16" t="s">
        <v>2</v>
      </c>
      <c r="C640" s="17">
        <v>45068</v>
      </c>
      <c r="D640" s="16">
        <v>398387</v>
      </c>
      <c r="E640" s="16">
        <v>1136</v>
      </c>
      <c r="F640" s="18" t="s">
        <v>167</v>
      </c>
      <c r="G640" s="16" t="s">
        <v>3</v>
      </c>
      <c r="H640" s="16" t="s">
        <v>28</v>
      </c>
      <c r="I640" s="16" t="s">
        <v>61</v>
      </c>
    </row>
    <row r="641" spans="2:9" x14ac:dyDescent="0.25">
      <c r="B641" s="16" t="s">
        <v>2</v>
      </c>
      <c r="C641" s="17">
        <v>45068</v>
      </c>
      <c r="D641" s="16">
        <v>405984</v>
      </c>
      <c r="E641" s="16">
        <v>1263</v>
      </c>
      <c r="F641" s="18" t="s">
        <v>167</v>
      </c>
      <c r="G641" s="16" t="s">
        <v>5</v>
      </c>
      <c r="H641" s="16" t="s">
        <v>28</v>
      </c>
      <c r="I641" s="16" t="s">
        <v>20</v>
      </c>
    </row>
    <row r="642" spans="2:9" x14ac:dyDescent="0.25">
      <c r="B642" s="16" t="s">
        <v>2</v>
      </c>
      <c r="C642" s="17">
        <v>45068</v>
      </c>
      <c r="D642" s="16">
        <v>368392</v>
      </c>
      <c r="E642" s="16">
        <v>1136</v>
      </c>
      <c r="F642" s="18" t="s">
        <v>167</v>
      </c>
      <c r="G642" s="16" t="s">
        <v>3</v>
      </c>
      <c r="H642" s="16" t="s">
        <v>28</v>
      </c>
      <c r="I642" s="16" t="s">
        <v>61</v>
      </c>
    </row>
    <row r="643" spans="2:9" x14ac:dyDescent="0.25">
      <c r="B643" s="16" t="s">
        <v>2</v>
      </c>
      <c r="C643" s="17">
        <v>45068</v>
      </c>
      <c r="D643" s="16">
        <v>405985</v>
      </c>
      <c r="E643" s="16">
        <v>1263</v>
      </c>
      <c r="F643" s="18" t="s">
        <v>167</v>
      </c>
      <c r="G643" s="16" t="s">
        <v>5</v>
      </c>
      <c r="H643" s="16" t="s">
        <v>28</v>
      </c>
      <c r="I643" s="16" t="s">
        <v>61</v>
      </c>
    </row>
    <row r="644" spans="2:9" x14ac:dyDescent="0.25">
      <c r="B644" s="16" t="s">
        <v>2</v>
      </c>
      <c r="C644" s="17">
        <v>45068</v>
      </c>
      <c r="D644" s="16">
        <v>25762</v>
      </c>
      <c r="E644" s="16">
        <v>11840</v>
      </c>
      <c r="F644" s="18" t="s">
        <v>129</v>
      </c>
      <c r="G644" s="16" t="s">
        <v>93</v>
      </c>
      <c r="H644" s="16" t="s">
        <v>28</v>
      </c>
      <c r="I644" s="16" t="s">
        <v>61</v>
      </c>
    </row>
    <row r="645" spans="2:9" x14ac:dyDescent="0.25">
      <c r="B645" s="16" t="s">
        <v>33</v>
      </c>
      <c r="C645" s="17">
        <v>45068</v>
      </c>
      <c r="D645" s="16">
        <v>1777544</v>
      </c>
      <c r="E645" s="16">
        <v>9480</v>
      </c>
      <c r="F645" s="18" t="s">
        <v>147</v>
      </c>
      <c r="G645" s="16" t="s">
        <v>93</v>
      </c>
      <c r="H645" s="16" t="s">
        <v>46</v>
      </c>
      <c r="I645" s="16" t="s">
        <v>17</v>
      </c>
    </row>
    <row r="646" spans="2:9" x14ac:dyDescent="0.25">
      <c r="B646" s="16" t="s">
        <v>40</v>
      </c>
      <c r="C646" s="17">
        <v>45068</v>
      </c>
      <c r="D646" s="16">
        <v>120</v>
      </c>
      <c r="E646" s="16">
        <v>70861</v>
      </c>
      <c r="F646" s="18" t="s">
        <v>194</v>
      </c>
      <c r="G646" s="16" t="s">
        <v>16</v>
      </c>
      <c r="H646" s="16" t="s">
        <v>46</v>
      </c>
      <c r="I646" s="16" t="s">
        <v>51</v>
      </c>
    </row>
    <row r="647" spans="2:9" x14ac:dyDescent="0.25">
      <c r="B647" s="16" t="s">
        <v>22</v>
      </c>
      <c r="C647" s="17">
        <v>45068</v>
      </c>
      <c r="D647" s="16">
        <v>47699</v>
      </c>
      <c r="E647" s="16">
        <v>4644</v>
      </c>
      <c r="F647" s="18" t="s">
        <v>209</v>
      </c>
      <c r="G647" s="16" t="s">
        <v>5</v>
      </c>
      <c r="H647" s="16" t="s">
        <v>89</v>
      </c>
      <c r="I647" s="16" t="s">
        <v>17</v>
      </c>
    </row>
    <row r="648" spans="2:9" x14ac:dyDescent="0.25">
      <c r="B648" s="16" t="s">
        <v>40</v>
      </c>
      <c r="C648" s="17">
        <v>45068</v>
      </c>
      <c r="D648" s="16">
        <v>1762361</v>
      </c>
      <c r="E648" s="16">
        <v>9307</v>
      </c>
      <c r="F648" s="18" t="s">
        <v>68</v>
      </c>
      <c r="G648" s="16" t="s">
        <v>4</v>
      </c>
      <c r="H648" s="16" t="s">
        <v>190</v>
      </c>
      <c r="I648" s="16" t="s">
        <v>17</v>
      </c>
    </row>
    <row r="649" spans="2:9" x14ac:dyDescent="0.25">
      <c r="B649" s="16" t="s">
        <v>40</v>
      </c>
      <c r="C649" s="17">
        <v>45068</v>
      </c>
      <c r="D649" s="16">
        <v>1363331</v>
      </c>
      <c r="E649" s="16">
        <v>13235</v>
      </c>
      <c r="F649" s="18" t="s">
        <v>99</v>
      </c>
      <c r="G649" s="16" t="s">
        <v>3</v>
      </c>
      <c r="H649" s="16" t="s">
        <v>39</v>
      </c>
      <c r="I649" s="16" t="s">
        <v>61</v>
      </c>
    </row>
    <row r="650" spans="2:9" x14ac:dyDescent="0.25">
      <c r="B650" s="16" t="s">
        <v>40</v>
      </c>
      <c r="C650" s="17">
        <v>45068</v>
      </c>
      <c r="D650" s="16">
        <v>1109746</v>
      </c>
      <c r="E650" s="16">
        <v>1139</v>
      </c>
      <c r="F650" s="18" t="s">
        <v>66</v>
      </c>
      <c r="G650" s="16" t="s">
        <v>1</v>
      </c>
      <c r="H650" s="16" t="s">
        <v>137</v>
      </c>
      <c r="I650" s="16" t="s">
        <v>25</v>
      </c>
    </row>
    <row r="651" spans="2:9" x14ac:dyDescent="0.25">
      <c r="B651" s="16" t="s">
        <v>26</v>
      </c>
      <c r="C651" s="17">
        <v>45068</v>
      </c>
      <c r="D651" s="16">
        <v>973857</v>
      </c>
      <c r="E651" s="16">
        <v>9434</v>
      </c>
      <c r="F651" s="18" t="s">
        <v>23</v>
      </c>
      <c r="G651" s="16" t="s">
        <v>5</v>
      </c>
      <c r="H651" s="16" t="s">
        <v>186</v>
      </c>
      <c r="I651" s="16" t="s">
        <v>61</v>
      </c>
    </row>
    <row r="652" spans="2:9" x14ac:dyDescent="0.25">
      <c r="B652" s="16" t="s">
        <v>22</v>
      </c>
      <c r="C652" s="17">
        <v>45068</v>
      </c>
      <c r="D652" s="16">
        <v>973852</v>
      </c>
      <c r="E652" s="16">
        <v>9434</v>
      </c>
      <c r="F652" s="18" t="s">
        <v>23</v>
      </c>
      <c r="G652" s="16" t="s">
        <v>5</v>
      </c>
      <c r="H652" s="16" t="s">
        <v>186</v>
      </c>
      <c r="I652" s="16" t="s">
        <v>61</v>
      </c>
    </row>
    <row r="653" spans="2:9" x14ac:dyDescent="0.25">
      <c r="B653" s="16" t="s">
        <v>26</v>
      </c>
      <c r="C653" s="17">
        <v>45068</v>
      </c>
      <c r="D653" s="16">
        <v>21253</v>
      </c>
      <c r="E653" s="16">
        <v>2740</v>
      </c>
      <c r="F653" s="18" t="s">
        <v>206</v>
      </c>
      <c r="G653" s="16" t="s">
        <v>1</v>
      </c>
      <c r="H653" s="16" t="s">
        <v>38</v>
      </c>
      <c r="I653" s="16" t="s">
        <v>17</v>
      </c>
    </row>
    <row r="654" spans="2:9" x14ac:dyDescent="0.25">
      <c r="B654" s="16" t="s">
        <v>26</v>
      </c>
      <c r="C654" s="17">
        <v>45068</v>
      </c>
      <c r="D654" s="16">
        <v>7993</v>
      </c>
      <c r="E654" s="16">
        <v>67955</v>
      </c>
      <c r="F654" s="18" t="s">
        <v>181</v>
      </c>
      <c r="G654" s="16" t="s">
        <v>7</v>
      </c>
      <c r="H654" s="16" t="s">
        <v>38</v>
      </c>
      <c r="I654" s="16" t="s">
        <v>17</v>
      </c>
    </row>
    <row r="655" spans="2:9" x14ac:dyDescent="0.25">
      <c r="B655" s="16" t="s">
        <v>33</v>
      </c>
      <c r="C655" s="17">
        <v>45068</v>
      </c>
      <c r="D655" s="16">
        <v>235812</v>
      </c>
      <c r="E655" s="16">
        <v>1175</v>
      </c>
      <c r="F655" s="18" t="s">
        <v>81</v>
      </c>
      <c r="G655" s="16" t="s">
        <v>7</v>
      </c>
      <c r="H655" s="16" t="s">
        <v>38</v>
      </c>
      <c r="I655" s="16" t="s">
        <v>17</v>
      </c>
    </row>
    <row r="656" spans="2:9" x14ac:dyDescent="0.25">
      <c r="B656" s="16" t="s">
        <v>40</v>
      </c>
      <c r="C656" s="17">
        <v>45068</v>
      </c>
      <c r="D656" s="16">
        <v>118141</v>
      </c>
      <c r="E656" s="16">
        <v>11604</v>
      </c>
      <c r="F656" s="18" t="s">
        <v>63</v>
      </c>
      <c r="G656" s="16" t="s">
        <v>6</v>
      </c>
      <c r="H656" s="16" t="s">
        <v>38</v>
      </c>
      <c r="I656" s="16" t="s">
        <v>17</v>
      </c>
    </row>
    <row r="657" spans="2:9" x14ac:dyDescent="0.25">
      <c r="B657" s="16" t="s">
        <v>2</v>
      </c>
      <c r="C657" s="17">
        <v>45069</v>
      </c>
      <c r="D657" s="16">
        <v>946061</v>
      </c>
      <c r="E657" s="16">
        <v>9675</v>
      </c>
      <c r="F657" s="18" t="s">
        <v>60</v>
      </c>
      <c r="G657" s="16" t="s">
        <v>1</v>
      </c>
      <c r="H657" s="16" t="s">
        <v>71</v>
      </c>
      <c r="I657" s="16" t="s">
        <v>17</v>
      </c>
    </row>
    <row r="658" spans="2:9" x14ac:dyDescent="0.25">
      <c r="B658" s="16" t="s">
        <v>2</v>
      </c>
      <c r="C658" s="17">
        <v>45069</v>
      </c>
      <c r="D658" s="16">
        <v>1763012</v>
      </c>
      <c r="E658" s="16">
        <v>9307</v>
      </c>
      <c r="F658" s="18" t="s">
        <v>68</v>
      </c>
      <c r="G658" s="16" t="s">
        <v>1</v>
      </c>
      <c r="H658" s="16" t="s">
        <v>36</v>
      </c>
      <c r="I658" s="16" t="s">
        <v>25</v>
      </c>
    </row>
    <row r="659" spans="2:9" x14ac:dyDescent="0.25">
      <c r="B659" s="16" t="s">
        <v>40</v>
      </c>
      <c r="C659" s="17">
        <v>45069</v>
      </c>
      <c r="D659" s="16">
        <v>21270</v>
      </c>
      <c r="E659" s="16">
        <v>2740</v>
      </c>
      <c r="F659" s="18" t="s">
        <v>206</v>
      </c>
      <c r="G659" s="16" t="s">
        <v>1</v>
      </c>
      <c r="H659" s="16" t="s">
        <v>36</v>
      </c>
      <c r="I659" s="16" t="s">
        <v>61</v>
      </c>
    </row>
    <row r="660" spans="2:9" x14ac:dyDescent="0.25">
      <c r="B660" s="16" t="s">
        <v>33</v>
      </c>
      <c r="C660" s="17">
        <v>45069</v>
      </c>
      <c r="D660" s="16">
        <v>95167</v>
      </c>
      <c r="E660" s="16">
        <v>2949</v>
      </c>
      <c r="F660" s="18" t="s">
        <v>212</v>
      </c>
      <c r="G660" s="16" t="s">
        <v>1</v>
      </c>
      <c r="H660" s="16" t="s">
        <v>46</v>
      </c>
      <c r="I660" s="16" t="s">
        <v>17</v>
      </c>
    </row>
    <row r="661" spans="2:9" x14ac:dyDescent="0.25">
      <c r="B661" s="16" t="s">
        <v>33</v>
      </c>
      <c r="C661" s="17">
        <v>45069</v>
      </c>
      <c r="D661" s="16">
        <v>969127</v>
      </c>
      <c r="E661" s="16">
        <v>10263</v>
      </c>
      <c r="F661" s="18" t="s">
        <v>34</v>
      </c>
      <c r="G661" s="16" t="s">
        <v>16</v>
      </c>
      <c r="H661" s="16" t="s">
        <v>46</v>
      </c>
      <c r="I661" s="16" t="s">
        <v>17</v>
      </c>
    </row>
    <row r="662" spans="2:9" x14ac:dyDescent="0.25">
      <c r="B662" s="16" t="s">
        <v>33</v>
      </c>
      <c r="C662" s="17">
        <v>45069</v>
      </c>
      <c r="D662" s="16">
        <v>969207</v>
      </c>
      <c r="E662" s="16">
        <v>10263</v>
      </c>
      <c r="F662" s="18" t="s">
        <v>34</v>
      </c>
      <c r="G662" s="16" t="s">
        <v>16</v>
      </c>
      <c r="H662" s="16" t="s">
        <v>46</v>
      </c>
      <c r="I662" s="16" t="s">
        <v>17</v>
      </c>
    </row>
    <row r="663" spans="2:9" x14ac:dyDescent="0.25">
      <c r="B663" s="16" t="s">
        <v>40</v>
      </c>
      <c r="C663" s="17">
        <v>45069</v>
      </c>
      <c r="D663" s="16">
        <v>584310</v>
      </c>
      <c r="E663" s="16">
        <v>6172</v>
      </c>
      <c r="F663" s="18" t="s">
        <v>64</v>
      </c>
      <c r="G663" s="16" t="s">
        <v>4</v>
      </c>
      <c r="H663" s="16" t="s">
        <v>41</v>
      </c>
      <c r="I663" s="16" t="s">
        <v>17</v>
      </c>
    </row>
    <row r="664" spans="2:9" x14ac:dyDescent="0.25">
      <c r="B664" s="16" t="s">
        <v>40</v>
      </c>
      <c r="C664" s="17">
        <v>45069</v>
      </c>
      <c r="D664" s="16">
        <v>584312</v>
      </c>
      <c r="E664" s="16">
        <v>6172</v>
      </c>
      <c r="F664" s="18" t="s">
        <v>64</v>
      </c>
      <c r="G664" s="16" t="s">
        <v>4</v>
      </c>
      <c r="H664" s="16" t="s">
        <v>41</v>
      </c>
      <c r="I664" s="16" t="s">
        <v>17</v>
      </c>
    </row>
    <row r="665" spans="2:9" x14ac:dyDescent="0.25">
      <c r="B665" s="16" t="s">
        <v>40</v>
      </c>
      <c r="C665" s="17">
        <v>45069</v>
      </c>
      <c r="D665" s="16">
        <v>969600</v>
      </c>
      <c r="E665" s="16">
        <v>10263</v>
      </c>
      <c r="F665" s="18" t="s">
        <v>34</v>
      </c>
      <c r="G665" s="16" t="s">
        <v>16</v>
      </c>
      <c r="H665" s="16" t="s">
        <v>75</v>
      </c>
      <c r="I665" s="16" t="s">
        <v>59</v>
      </c>
    </row>
    <row r="666" spans="2:9" x14ac:dyDescent="0.25">
      <c r="B666" s="16" t="s">
        <v>40</v>
      </c>
      <c r="C666" s="17">
        <v>45069</v>
      </c>
      <c r="D666" s="16">
        <v>969624</v>
      </c>
      <c r="E666" s="16">
        <v>10263</v>
      </c>
      <c r="F666" s="18" t="s">
        <v>34</v>
      </c>
      <c r="G666" s="16" t="s">
        <v>16</v>
      </c>
      <c r="H666" s="16" t="s">
        <v>75</v>
      </c>
      <c r="I666" s="16" t="s">
        <v>59</v>
      </c>
    </row>
    <row r="667" spans="2:9" x14ac:dyDescent="0.25">
      <c r="B667" s="16" t="s">
        <v>26</v>
      </c>
      <c r="C667" s="17">
        <v>45069</v>
      </c>
      <c r="D667" s="16">
        <v>232085</v>
      </c>
      <c r="E667" s="16">
        <v>64946</v>
      </c>
      <c r="F667" s="18" t="s">
        <v>99</v>
      </c>
      <c r="G667" s="16" t="s">
        <v>4</v>
      </c>
      <c r="H667" s="16" t="s">
        <v>75</v>
      </c>
      <c r="I667" s="16" t="s">
        <v>42</v>
      </c>
    </row>
    <row r="668" spans="2:9" x14ac:dyDescent="0.25">
      <c r="B668" s="16" t="s">
        <v>26</v>
      </c>
      <c r="C668" s="17">
        <v>45069</v>
      </c>
      <c r="D668" s="16">
        <v>969452</v>
      </c>
      <c r="E668" s="16">
        <v>10263</v>
      </c>
      <c r="F668" s="18" t="s">
        <v>34</v>
      </c>
      <c r="G668" s="16" t="s">
        <v>16</v>
      </c>
      <c r="H668" s="16" t="s">
        <v>39</v>
      </c>
      <c r="I668" s="16" t="s">
        <v>61</v>
      </c>
    </row>
    <row r="669" spans="2:9" x14ac:dyDescent="0.25">
      <c r="B669" s="16" t="s">
        <v>22</v>
      </c>
      <c r="C669" s="17">
        <v>45069</v>
      </c>
      <c r="D669" s="16">
        <v>1059306</v>
      </c>
      <c r="E669" s="16">
        <v>9378</v>
      </c>
      <c r="F669" s="18" t="s">
        <v>30</v>
      </c>
      <c r="G669" s="16" t="s">
        <v>5</v>
      </c>
      <c r="H669" s="16" t="s">
        <v>39</v>
      </c>
      <c r="I669" s="16" t="s">
        <v>61</v>
      </c>
    </row>
    <row r="670" spans="2:9" x14ac:dyDescent="0.25">
      <c r="B670" s="16" t="s">
        <v>210</v>
      </c>
      <c r="C670" s="17">
        <v>45069</v>
      </c>
      <c r="D670" s="16">
        <v>2832082</v>
      </c>
      <c r="E670" s="16">
        <v>9468</v>
      </c>
      <c r="F670" s="18" t="s">
        <v>145</v>
      </c>
      <c r="G670" s="16" t="s">
        <v>5</v>
      </c>
      <c r="H670" s="16" t="s">
        <v>184</v>
      </c>
      <c r="I670" s="16" t="s">
        <v>57</v>
      </c>
    </row>
    <row r="671" spans="2:9" x14ac:dyDescent="0.25">
      <c r="B671" s="16" t="s">
        <v>210</v>
      </c>
      <c r="C671" s="17">
        <v>45069</v>
      </c>
      <c r="D671" s="16">
        <v>1059315</v>
      </c>
      <c r="E671" s="16">
        <v>9378</v>
      </c>
      <c r="F671" s="18" t="s">
        <v>30</v>
      </c>
      <c r="G671" s="16" t="s">
        <v>5</v>
      </c>
      <c r="H671" s="16" t="s">
        <v>184</v>
      </c>
      <c r="I671" s="16" t="s">
        <v>57</v>
      </c>
    </row>
    <row r="672" spans="2:9" x14ac:dyDescent="0.25">
      <c r="B672" s="16" t="s">
        <v>33</v>
      </c>
      <c r="C672" s="17">
        <v>45069</v>
      </c>
      <c r="D672" s="16">
        <v>449453</v>
      </c>
      <c r="E672" s="16">
        <v>2563</v>
      </c>
      <c r="F672" s="18" t="s">
        <v>199</v>
      </c>
      <c r="G672" s="16" t="s">
        <v>52</v>
      </c>
      <c r="H672" s="16" t="s">
        <v>184</v>
      </c>
      <c r="I672" s="16" t="s">
        <v>29</v>
      </c>
    </row>
    <row r="673" spans="2:9" x14ac:dyDescent="0.25">
      <c r="B673" s="16" t="s">
        <v>2</v>
      </c>
      <c r="C673" s="17">
        <v>45069</v>
      </c>
      <c r="D673" s="16">
        <v>2104197</v>
      </c>
      <c r="E673" s="16">
        <v>9459</v>
      </c>
      <c r="F673" s="18" t="s">
        <v>105</v>
      </c>
      <c r="G673" s="16" t="s">
        <v>5</v>
      </c>
      <c r="H673" s="16" t="s">
        <v>184</v>
      </c>
      <c r="I673" s="16" t="s">
        <v>57</v>
      </c>
    </row>
    <row r="674" spans="2:9" x14ac:dyDescent="0.25">
      <c r="B674" s="16" t="s">
        <v>33</v>
      </c>
      <c r="C674" s="17">
        <v>45069</v>
      </c>
      <c r="D674" s="16">
        <v>969168</v>
      </c>
      <c r="E674" s="16">
        <v>10263</v>
      </c>
      <c r="F674" s="18" t="s">
        <v>34</v>
      </c>
      <c r="G674" s="16" t="s">
        <v>16</v>
      </c>
      <c r="H674" s="16" t="s">
        <v>184</v>
      </c>
      <c r="I674" s="16" t="s">
        <v>61</v>
      </c>
    </row>
    <row r="675" spans="2:9" x14ac:dyDescent="0.25">
      <c r="B675" s="16" t="s">
        <v>33</v>
      </c>
      <c r="C675" s="17">
        <v>45069</v>
      </c>
      <c r="D675" s="16">
        <v>969196</v>
      </c>
      <c r="E675" s="16">
        <v>10263</v>
      </c>
      <c r="F675" s="18" t="s">
        <v>34</v>
      </c>
      <c r="G675" s="16" t="s">
        <v>16</v>
      </c>
      <c r="H675" s="16" t="s">
        <v>184</v>
      </c>
      <c r="I675" s="16" t="s">
        <v>61</v>
      </c>
    </row>
    <row r="676" spans="2:9" x14ac:dyDescent="0.25">
      <c r="B676" s="16" t="s">
        <v>40</v>
      </c>
      <c r="C676" s="17">
        <v>45069</v>
      </c>
      <c r="D676" s="16">
        <v>969622</v>
      </c>
      <c r="E676" s="16">
        <v>10263</v>
      </c>
      <c r="F676" s="18" t="s">
        <v>34</v>
      </c>
      <c r="G676" s="16" t="s">
        <v>16</v>
      </c>
      <c r="H676" s="16" t="s">
        <v>184</v>
      </c>
      <c r="I676" s="16" t="s">
        <v>59</v>
      </c>
    </row>
    <row r="677" spans="2:9" x14ac:dyDescent="0.25">
      <c r="B677" s="16" t="s">
        <v>40</v>
      </c>
      <c r="C677" s="17">
        <v>45069</v>
      </c>
      <c r="D677" s="16">
        <v>969646</v>
      </c>
      <c r="E677" s="16">
        <v>10263</v>
      </c>
      <c r="F677" s="18" t="s">
        <v>34</v>
      </c>
      <c r="G677" s="16" t="s">
        <v>16</v>
      </c>
      <c r="H677" s="16" t="s">
        <v>184</v>
      </c>
      <c r="I677" s="16" t="s">
        <v>59</v>
      </c>
    </row>
    <row r="678" spans="2:9" x14ac:dyDescent="0.25">
      <c r="B678" s="16" t="s">
        <v>33</v>
      </c>
      <c r="C678" s="17">
        <v>45069</v>
      </c>
      <c r="D678" s="16">
        <v>232069</v>
      </c>
      <c r="E678" s="16">
        <v>64946</v>
      </c>
      <c r="F678" s="18" t="s">
        <v>99</v>
      </c>
      <c r="G678" s="16" t="s">
        <v>4</v>
      </c>
      <c r="H678" s="16" t="s">
        <v>102</v>
      </c>
      <c r="I678" s="16" t="s">
        <v>42</v>
      </c>
    </row>
    <row r="679" spans="2:9" x14ac:dyDescent="0.25">
      <c r="B679" s="16" t="s">
        <v>40</v>
      </c>
      <c r="C679" s="17">
        <v>45069</v>
      </c>
      <c r="D679" s="16">
        <v>291623</v>
      </c>
      <c r="E679" s="16">
        <v>66719</v>
      </c>
      <c r="F679" s="18" t="s">
        <v>180</v>
      </c>
      <c r="G679" s="16" t="s">
        <v>1</v>
      </c>
      <c r="H679" s="16" t="s">
        <v>114</v>
      </c>
      <c r="I679" s="16" t="s">
        <v>25</v>
      </c>
    </row>
    <row r="680" spans="2:9" x14ac:dyDescent="0.25">
      <c r="B680" s="16" t="s">
        <v>40</v>
      </c>
      <c r="C680" s="17">
        <v>45069</v>
      </c>
      <c r="D680" s="16">
        <v>235969</v>
      </c>
      <c r="E680" s="16">
        <v>1175</v>
      </c>
      <c r="F680" s="18" t="s">
        <v>81</v>
      </c>
      <c r="G680" s="16" t="s">
        <v>7</v>
      </c>
      <c r="H680" s="16" t="s">
        <v>114</v>
      </c>
      <c r="I680" s="16" t="s">
        <v>17</v>
      </c>
    </row>
    <row r="681" spans="2:9" x14ac:dyDescent="0.25">
      <c r="B681" s="16" t="s">
        <v>40</v>
      </c>
      <c r="C681" s="17">
        <v>45069</v>
      </c>
      <c r="D681" s="16">
        <v>232079</v>
      </c>
      <c r="E681" s="16">
        <v>64946</v>
      </c>
      <c r="F681" s="18" t="s">
        <v>99</v>
      </c>
      <c r="G681" s="16" t="s">
        <v>4</v>
      </c>
      <c r="H681" s="16" t="s">
        <v>114</v>
      </c>
      <c r="I681" s="16" t="s">
        <v>42</v>
      </c>
    </row>
    <row r="682" spans="2:9" x14ac:dyDescent="0.25">
      <c r="B682" s="16" t="s">
        <v>26</v>
      </c>
      <c r="C682" s="17">
        <v>45069</v>
      </c>
      <c r="D682" s="16">
        <v>52679</v>
      </c>
      <c r="E682" s="16">
        <v>10388</v>
      </c>
      <c r="F682" s="18" t="s">
        <v>211</v>
      </c>
      <c r="G682" s="16" t="s">
        <v>6</v>
      </c>
      <c r="H682" s="16" t="s">
        <v>38</v>
      </c>
      <c r="I682" s="16" t="s">
        <v>61</v>
      </c>
    </row>
    <row r="683" spans="2:9" x14ac:dyDescent="0.25">
      <c r="B683" s="16" t="s">
        <v>33</v>
      </c>
      <c r="C683" s="17">
        <v>45070</v>
      </c>
      <c r="D683" s="16">
        <v>376112</v>
      </c>
      <c r="E683" s="16">
        <v>5895</v>
      </c>
      <c r="F683" s="18" t="s">
        <v>214</v>
      </c>
      <c r="G683" s="16" t="s">
        <v>3</v>
      </c>
      <c r="H683" s="16" t="s">
        <v>215</v>
      </c>
      <c r="I683" s="16" t="s">
        <v>216</v>
      </c>
    </row>
    <row r="684" spans="2:9" x14ac:dyDescent="0.25">
      <c r="B684" s="16" t="s">
        <v>33</v>
      </c>
      <c r="C684" s="17">
        <v>45070</v>
      </c>
      <c r="D684" s="16">
        <v>376113</v>
      </c>
      <c r="E684" s="16">
        <v>5895</v>
      </c>
      <c r="F684" s="18" t="s">
        <v>214</v>
      </c>
      <c r="G684" s="16" t="s">
        <v>3</v>
      </c>
      <c r="H684" s="16" t="s">
        <v>215</v>
      </c>
      <c r="I684" s="16" t="s">
        <v>216</v>
      </c>
    </row>
    <row r="685" spans="2:9" x14ac:dyDescent="0.25">
      <c r="B685" s="16" t="s">
        <v>2</v>
      </c>
      <c r="C685" s="17">
        <v>45070</v>
      </c>
      <c r="D685" s="16">
        <v>376119</v>
      </c>
      <c r="E685" s="16">
        <v>5895</v>
      </c>
      <c r="F685" s="18" t="s">
        <v>214</v>
      </c>
      <c r="G685" s="16" t="s">
        <v>3</v>
      </c>
      <c r="H685" s="16" t="s">
        <v>220</v>
      </c>
      <c r="I685" s="16" t="s">
        <v>17</v>
      </c>
    </row>
    <row r="686" spans="2:9" x14ac:dyDescent="0.25">
      <c r="B686" s="16" t="s">
        <v>2</v>
      </c>
      <c r="C686" s="17">
        <v>45070</v>
      </c>
      <c r="D686" s="16">
        <v>376120</v>
      </c>
      <c r="E686" s="16">
        <v>5895</v>
      </c>
      <c r="F686" s="18" t="s">
        <v>214</v>
      </c>
      <c r="G686" s="16" t="s">
        <v>3</v>
      </c>
      <c r="H686" s="16" t="s">
        <v>220</v>
      </c>
      <c r="I686" s="16" t="s">
        <v>17</v>
      </c>
    </row>
    <row r="687" spans="2:9" x14ac:dyDescent="0.25">
      <c r="B687" s="16" t="s">
        <v>40</v>
      </c>
      <c r="C687" s="17">
        <v>45070</v>
      </c>
      <c r="D687" s="16">
        <v>376117</v>
      </c>
      <c r="E687" s="16">
        <v>5895</v>
      </c>
      <c r="F687" s="18" t="s">
        <v>214</v>
      </c>
      <c r="G687" s="16" t="s">
        <v>3</v>
      </c>
      <c r="H687" s="16" t="s">
        <v>45</v>
      </c>
      <c r="I687" s="16" t="s">
        <v>219</v>
      </c>
    </row>
    <row r="688" spans="2:9" x14ac:dyDescent="0.25">
      <c r="B688" s="16" t="s">
        <v>40</v>
      </c>
      <c r="C688" s="17">
        <v>45070</v>
      </c>
      <c r="D688" s="16">
        <v>376118</v>
      </c>
      <c r="E688" s="16">
        <v>5895</v>
      </c>
      <c r="F688" s="18" t="s">
        <v>214</v>
      </c>
      <c r="G688" s="16" t="s">
        <v>3</v>
      </c>
      <c r="H688" s="16" t="s">
        <v>45</v>
      </c>
      <c r="I688" s="16" t="s">
        <v>219</v>
      </c>
    </row>
    <row r="689" spans="2:9" x14ac:dyDescent="0.25">
      <c r="B689" s="16" t="s">
        <v>210</v>
      </c>
      <c r="C689" s="17">
        <v>45070</v>
      </c>
      <c r="D689" s="16">
        <v>969913</v>
      </c>
      <c r="E689" s="16">
        <v>10263</v>
      </c>
      <c r="F689" s="18" t="s">
        <v>34</v>
      </c>
      <c r="G689" s="16" t="s">
        <v>16</v>
      </c>
      <c r="H689" s="16" t="s">
        <v>36</v>
      </c>
      <c r="I689" s="16" t="s">
        <v>59</v>
      </c>
    </row>
    <row r="690" spans="2:9" x14ac:dyDescent="0.25">
      <c r="B690" s="16" t="s">
        <v>210</v>
      </c>
      <c r="C690" s="17">
        <v>45070</v>
      </c>
      <c r="D690" s="16">
        <v>1059538</v>
      </c>
      <c r="E690" s="16">
        <v>9378</v>
      </c>
      <c r="F690" s="18" t="s">
        <v>30</v>
      </c>
      <c r="G690" s="16" t="s">
        <v>3</v>
      </c>
      <c r="H690" s="16" t="s">
        <v>49</v>
      </c>
      <c r="I690" s="16" t="s">
        <v>17</v>
      </c>
    </row>
    <row r="691" spans="2:9" x14ac:dyDescent="0.25">
      <c r="B691" s="16" t="s">
        <v>22</v>
      </c>
      <c r="C691" s="17">
        <v>45070</v>
      </c>
      <c r="D691" s="16">
        <v>990237</v>
      </c>
      <c r="E691" s="16">
        <v>9398</v>
      </c>
      <c r="F691" s="18" t="s">
        <v>65</v>
      </c>
      <c r="G691" s="16" t="s">
        <v>16</v>
      </c>
      <c r="H691" s="16" t="s">
        <v>49</v>
      </c>
      <c r="I691" s="16" t="s">
        <v>17</v>
      </c>
    </row>
    <row r="692" spans="2:9" x14ac:dyDescent="0.25">
      <c r="B692" s="16" t="s">
        <v>40</v>
      </c>
      <c r="C692" s="17">
        <v>45070</v>
      </c>
      <c r="D692" s="16">
        <v>990136</v>
      </c>
      <c r="E692" s="16">
        <v>9398</v>
      </c>
      <c r="F692" s="18" t="s">
        <v>65</v>
      </c>
      <c r="G692" s="16" t="s">
        <v>16</v>
      </c>
      <c r="H692" s="16" t="s">
        <v>49</v>
      </c>
      <c r="I692" s="16" t="s">
        <v>17</v>
      </c>
    </row>
    <row r="693" spans="2:9" x14ac:dyDescent="0.25">
      <c r="B693" s="16" t="s">
        <v>40</v>
      </c>
      <c r="C693" s="17">
        <v>45070</v>
      </c>
      <c r="D693" s="16">
        <v>990137</v>
      </c>
      <c r="E693" s="16">
        <v>9398</v>
      </c>
      <c r="F693" s="18" t="s">
        <v>65</v>
      </c>
      <c r="G693" s="16" t="s">
        <v>16</v>
      </c>
      <c r="H693" s="16" t="s">
        <v>49</v>
      </c>
      <c r="I693" s="16" t="s">
        <v>17</v>
      </c>
    </row>
    <row r="694" spans="2:9" x14ac:dyDescent="0.25">
      <c r="B694" s="16" t="s">
        <v>33</v>
      </c>
      <c r="C694" s="17">
        <v>45070</v>
      </c>
      <c r="D694" s="16">
        <v>969127</v>
      </c>
      <c r="E694" s="16">
        <v>10263</v>
      </c>
      <c r="F694" s="18" t="s">
        <v>34</v>
      </c>
      <c r="G694" s="16" t="s">
        <v>16</v>
      </c>
      <c r="H694" s="16" t="s">
        <v>28</v>
      </c>
      <c r="I694" s="16" t="s">
        <v>59</v>
      </c>
    </row>
    <row r="695" spans="2:9" x14ac:dyDescent="0.25">
      <c r="B695" s="16" t="s">
        <v>33</v>
      </c>
      <c r="C695" s="17">
        <v>45070</v>
      </c>
      <c r="D695" s="16">
        <v>969207</v>
      </c>
      <c r="E695" s="16">
        <v>10263</v>
      </c>
      <c r="F695" s="18" t="s">
        <v>34</v>
      </c>
      <c r="G695" s="16" t="s">
        <v>16</v>
      </c>
      <c r="H695" s="16" t="s">
        <v>28</v>
      </c>
      <c r="I695" s="16" t="s">
        <v>59</v>
      </c>
    </row>
    <row r="696" spans="2:9" x14ac:dyDescent="0.25">
      <c r="B696" s="16" t="s">
        <v>22</v>
      </c>
      <c r="C696" s="17">
        <v>45070</v>
      </c>
      <c r="D696" s="16">
        <v>235506</v>
      </c>
      <c r="E696" s="16">
        <v>12029</v>
      </c>
      <c r="F696" s="18" t="s">
        <v>223</v>
      </c>
      <c r="G696" s="16" t="s">
        <v>52</v>
      </c>
      <c r="H696" s="16" t="s">
        <v>46</v>
      </c>
      <c r="I696" s="16" t="s">
        <v>73</v>
      </c>
    </row>
    <row r="697" spans="2:9" x14ac:dyDescent="0.25">
      <c r="B697" s="16" t="s">
        <v>210</v>
      </c>
      <c r="C697" s="17">
        <v>45070</v>
      </c>
      <c r="D697" s="16">
        <v>223</v>
      </c>
      <c r="E697" s="16">
        <v>69621</v>
      </c>
      <c r="F697" s="18" t="s">
        <v>217</v>
      </c>
      <c r="G697" s="16" t="s">
        <v>54</v>
      </c>
      <c r="H697" s="16" t="s">
        <v>41</v>
      </c>
      <c r="I697" s="16" t="s">
        <v>17</v>
      </c>
    </row>
    <row r="698" spans="2:9" x14ac:dyDescent="0.25">
      <c r="B698" s="16" t="s">
        <v>22</v>
      </c>
      <c r="C698" s="17">
        <v>45070</v>
      </c>
      <c r="D698" s="16">
        <v>990254</v>
      </c>
      <c r="E698" s="16">
        <v>9398</v>
      </c>
      <c r="F698" s="18" t="s">
        <v>65</v>
      </c>
      <c r="G698" s="16" t="s">
        <v>16</v>
      </c>
      <c r="H698" s="16" t="s">
        <v>190</v>
      </c>
      <c r="I698" s="16" t="s">
        <v>17</v>
      </c>
    </row>
    <row r="699" spans="2:9" x14ac:dyDescent="0.25">
      <c r="B699" s="16" t="s">
        <v>33</v>
      </c>
      <c r="C699" s="17">
        <v>45070</v>
      </c>
      <c r="D699" s="16">
        <v>990341</v>
      </c>
      <c r="E699" s="16">
        <v>9398</v>
      </c>
      <c r="F699" s="18" t="s">
        <v>65</v>
      </c>
      <c r="G699" s="16" t="s">
        <v>16</v>
      </c>
      <c r="H699" s="16" t="s">
        <v>190</v>
      </c>
      <c r="I699" s="16" t="s">
        <v>17</v>
      </c>
    </row>
    <row r="700" spans="2:9" x14ac:dyDescent="0.25">
      <c r="B700" s="16" t="s">
        <v>40</v>
      </c>
      <c r="C700" s="17">
        <v>45070</v>
      </c>
      <c r="D700" s="16">
        <v>990112</v>
      </c>
      <c r="E700" s="16">
        <v>9398</v>
      </c>
      <c r="F700" s="18" t="s">
        <v>65</v>
      </c>
      <c r="G700" s="16" t="s">
        <v>16</v>
      </c>
      <c r="H700" s="16" t="s">
        <v>190</v>
      </c>
      <c r="I700" s="16" t="s">
        <v>17</v>
      </c>
    </row>
    <row r="701" spans="2:9" x14ac:dyDescent="0.25">
      <c r="B701" s="16" t="s">
        <v>40</v>
      </c>
      <c r="C701" s="17">
        <v>45070</v>
      </c>
      <c r="D701" s="16">
        <v>990121</v>
      </c>
      <c r="E701" s="16">
        <v>9398</v>
      </c>
      <c r="F701" s="18" t="s">
        <v>65</v>
      </c>
      <c r="G701" s="16" t="s">
        <v>16</v>
      </c>
      <c r="H701" s="16" t="s">
        <v>190</v>
      </c>
      <c r="I701" s="16" t="s">
        <v>17</v>
      </c>
    </row>
    <row r="702" spans="2:9" x14ac:dyDescent="0.25">
      <c r="B702" s="16" t="s">
        <v>2</v>
      </c>
      <c r="C702" s="17">
        <v>45070</v>
      </c>
      <c r="D702" s="16">
        <v>990068</v>
      </c>
      <c r="E702" s="16">
        <v>9398</v>
      </c>
      <c r="F702" s="18" t="s">
        <v>65</v>
      </c>
      <c r="G702" s="16" t="s">
        <v>16</v>
      </c>
      <c r="H702" s="16" t="s">
        <v>190</v>
      </c>
      <c r="I702" s="16" t="s">
        <v>59</v>
      </c>
    </row>
    <row r="703" spans="2:9" x14ac:dyDescent="0.25">
      <c r="B703" s="16" t="s">
        <v>2</v>
      </c>
      <c r="C703" s="17">
        <v>45070</v>
      </c>
      <c r="D703" s="16">
        <v>990069</v>
      </c>
      <c r="E703" s="16">
        <v>9398</v>
      </c>
      <c r="F703" s="18" t="s">
        <v>65</v>
      </c>
      <c r="G703" s="16" t="s">
        <v>16</v>
      </c>
      <c r="H703" s="16" t="s">
        <v>190</v>
      </c>
      <c r="I703" s="16" t="s">
        <v>59</v>
      </c>
    </row>
    <row r="704" spans="2:9" x14ac:dyDescent="0.25">
      <c r="B704" s="16" t="s">
        <v>40</v>
      </c>
      <c r="C704" s="17">
        <v>45070</v>
      </c>
      <c r="D704" s="16">
        <v>1059473</v>
      </c>
      <c r="E704" s="16">
        <v>9378</v>
      </c>
      <c r="F704" s="18" t="s">
        <v>30</v>
      </c>
      <c r="G704" s="16" t="s">
        <v>5</v>
      </c>
      <c r="H704" s="16" t="s">
        <v>39</v>
      </c>
      <c r="I704" s="16" t="s">
        <v>224</v>
      </c>
    </row>
    <row r="705" spans="2:9" x14ac:dyDescent="0.25">
      <c r="B705" s="16" t="s">
        <v>40</v>
      </c>
      <c r="C705" s="17">
        <v>45070</v>
      </c>
      <c r="D705" s="16">
        <v>4820814</v>
      </c>
      <c r="E705" s="16">
        <v>9430</v>
      </c>
      <c r="F705" s="18" t="s">
        <v>185</v>
      </c>
      <c r="G705" s="16" t="s">
        <v>1</v>
      </c>
      <c r="H705" s="16" t="s">
        <v>221</v>
      </c>
      <c r="I705" s="16" t="s">
        <v>222</v>
      </c>
    </row>
    <row r="706" spans="2:9" x14ac:dyDescent="0.25">
      <c r="B706" s="16" t="s">
        <v>2</v>
      </c>
      <c r="C706" s="17">
        <v>45070</v>
      </c>
      <c r="D706" s="16">
        <v>243982</v>
      </c>
      <c r="E706" s="16">
        <v>9481</v>
      </c>
      <c r="F706" s="18" t="s">
        <v>213</v>
      </c>
      <c r="G706" s="16" t="s">
        <v>1</v>
      </c>
      <c r="H706" s="16" t="s">
        <v>137</v>
      </c>
      <c r="I706" s="16" t="s">
        <v>17</v>
      </c>
    </row>
    <row r="707" spans="2:9" x14ac:dyDescent="0.25">
      <c r="B707" s="16" t="s">
        <v>2</v>
      </c>
      <c r="C707" s="17">
        <v>45070</v>
      </c>
      <c r="D707" s="16">
        <v>243996</v>
      </c>
      <c r="E707" s="16">
        <v>9481</v>
      </c>
      <c r="F707" s="18" t="s">
        <v>213</v>
      </c>
      <c r="G707" s="16" t="s">
        <v>1</v>
      </c>
      <c r="H707" s="16" t="s">
        <v>137</v>
      </c>
      <c r="I707" s="16" t="s">
        <v>17</v>
      </c>
    </row>
    <row r="708" spans="2:9" x14ac:dyDescent="0.25">
      <c r="B708" s="16" t="s">
        <v>210</v>
      </c>
      <c r="C708" s="17">
        <v>45070</v>
      </c>
      <c r="D708" s="16">
        <v>969952</v>
      </c>
      <c r="E708" s="16">
        <v>10263</v>
      </c>
      <c r="F708" s="18" t="s">
        <v>34</v>
      </c>
      <c r="G708" s="16" t="s">
        <v>16</v>
      </c>
      <c r="H708" s="16" t="s">
        <v>186</v>
      </c>
      <c r="I708" s="16" t="s">
        <v>59</v>
      </c>
    </row>
    <row r="709" spans="2:9" x14ac:dyDescent="0.25">
      <c r="B709" s="16" t="s">
        <v>26</v>
      </c>
      <c r="C709" s="17">
        <v>45070</v>
      </c>
      <c r="D709" s="16">
        <v>8392138</v>
      </c>
      <c r="E709" s="16">
        <v>9389</v>
      </c>
      <c r="F709" s="18" t="s">
        <v>119</v>
      </c>
      <c r="G709" s="16" t="s">
        <v>52</v>
      </c>
      <c r="H709" s="16" t="s">
        <v>184</v>
      </c>
      <c r="I709" s="16" t="s">
        <v>17</v>
      </c>
    </row>
    <row r="710" spans="2:9" x14ac:dyDescent="0.25">
      <c r="B710" s="16" t="s">
        <v>33</v>
      </c>
      <c r="C710" s="17">
        <v>45070</v>
      </c>
      <c r="D710" s="16">
        <v>625997</v>
      </c>
      <c r="E710" s="16">
        <v>3610</v>
      </c>
      <c r="F710" s="18" t="s">
        <v>8</v>
      </c>
      <c r="G710" s="16" t="s">
        <v>6</v>
      </c>
      <c r="H710" s="16" t="s">
        <v>38</v>
      </c>
      <c r="I710" s="16" t="s">
        <v>17</v>
      </c>
    </row>
    <row r="711" spans="2:9" x14ac:dyDescent="0.25">
      <c r="B711" s="16" t="s">
        <v>33</v>
      </c>
      <c r="C711" s="17">
        <v>45070</v>
      </c>
      <c r="D711" s="16">
        <v>1959</v>
      </c>
      <c r="E711" s="16">
        <v>62660</v>
      </c>
      <c r="F711" s="18" t="s">
        <v>218</v>
      </c>
      <c r="G711" s="16" t="s">
        <v>4</v>
      </c>
      <c r="H711" s="16" t="s">
        <v>38</v>
      </c>
      <c r="I711" s="16" t="s">
        <v>17</v>
      </c>
    </row>
    <row r="712" spans="2:9" x14ac:dyDescent="0.25">
      <c r="B712" s="16" t="s">
        <v>22</v>
      </c>
      <c r="C712" s="17">
        <v>45071</v>
      </c>
      <c r="D712" s="16">
        <v>376116</v>
      </c>
      <c r="E712" s="16">
        <v>5895</v>
      </c>
      <c r="F712" s="18" t="s">
        <v>214</v>
      </c>
      <c r="G712" s="16" t="s">
        <v>3</v>
      </c>
      <c r="H712" s="16" t="s">
        <v>220</v>
      </c>
      <c r="I712" s="16" t="s">
        <v>17</v>
      </c>
    </row>
    <row r="713" spans="2:9" x14ac:dyDescent="0.25">
      <c r="B713" s="16" t="s">
        <v>22</v>
      </c>
      <c r="C713" s="17">
        <v>45071</v>
      </c>
      <c r="D713" s="16">
        <v>376115</v>
      </c>
      <c r="E713" s="16">
        <v>5895</v>
      </c>
      <c r="F713" s="18" t="s">
        <v>214</v>
      </c>
      <c r="G713" s="16" t="s">
        <v>3</v>
      </c>
      <c r="H713" s="16" t="s">
        <v>220</v>
      </c>
      <c r="I713" s="16" t="s">
        <v>17</v>
      </c>
    </row>
    <row r="714" spans="2:9" x14ac:dyDescent="0.25">
      <c r="B714" s="16" t="s">
        <v>33</v>
      </c>
      <c r="C714" s="17">
        <v>45071</v>
      </c>
      <c r="D714" s="16">
        <v>47917</v>
      </c>
      <c r="E714" s="16">
        <v>4644</v>
      </c>
      <c r="F714" s="18" t="s">
        <v>209</v>
      </c>
      <c r="G714" s="16" t="s">
        <v>5</v>
      </c>
      <c r="H714" s="16" t="s">
        <v>71</v>
      </c>
      <c r="I714" s="16" t="s">
        <v>17</v>
      </c>
    </row>
    <row r="715" spans="2:9" x14ac:dyDescent="0.25">
      <c r="B715" s="16" t="s">
        <v>210</v>
      </c>
      <c r="C715" s="17">
        <v>45071</v>
      </c>
      <c r="D715" s="16">
        <v>970186</v>
      </c>
      <c r="E715" s="16">
        <v>10263</v>
      </c>
      <c r="F715" s="18" t="s">
        <v>34</v>
      </c>
      <c r="G715" s="16" t="s">
        <v>16</v>
      </c>
      <c r="H715" s="16" t="s">
        <v>36</v>
      </c>
      <c r="I715" s="16" t="s">
        <v>61</v>
      </c>
    </row>
    <row r="716" spans="2:9" x14ac:dyDescent="0.25">
      <c r="B716" s="16" t="s">
        <v>26</v>
      </c>
      <c r="C716" s="17">
        <v>45071</v>
      </c>
      <c r="D716" s="16">
        <v>18524</v>
      </c>
      <c r="E716" s="16">
        <v>70485</v>
      </c>
      <c r="F716" s="18" t="s">
        <v>101</v>
      </c>
      <c r="G716" s="16" t="s">
        <v>4</v>
      </c>
      <c r="H716" s="16" t="s">
        <v>31</v>
      </c>
      <c r="I716" s="16" t="s">
        <v>32</v>
      </c>
    </row>
    <row r="717" spans="2:9" x14ac:dyDescent="0.25">
      <c r="B717" s="16" t="s">
        <v>2</v>
      </c>
      <c r="C717" s="17">
        <v>45071</v>
      </c>
      <c r="D717" s="16">
        <v>18470</v>
      </c>
      <c r="E717" s="16">
        <v>70485</v>
      </c>
      <c r="F717" s="18" t="s">
        <v>101</v>
      </c>
      <c r="G717" s="16" t="s">
        <v>4</v>
      </c>
      <c r="H717" s="16" t="s">
        <v>31</v>
      </c>
      <c r="I717" s="16" t="s">
        <v>32</v>
      </c>
    </row>
    <row r="718" spans="2:9" x14ac:dyDescent="0.25">
      <c r="B718" s="16" t="s">
        <v>22</v>
      </c>
      <c r="C718" s="17">
        <v>45071</v>
      </c>
      <c r="D718" s="16">
        <v>968984</v>
      </c>
      <c r="E718" s="16">
        <v>10263</v>
      </c>
      <c r="F718" s="18" t="s">
        <v>34</v>
      </c>
      <c r="G718" s="16" t="s">
        <v>16</v>
      </c>
      <c r="H718" s="16" t="s">
        <v>49</v>
      </c>
      <c r="I718" s="16" t="s">
        <v>59</v>
      </c>
    </row>
    <row r="719" spans="2:9" x14ac:dyDescent="0.25">
      <c r="B719" s="16" t="s">
        <v>22</v>
      </c>
      <c r="C719" s="17">
        <v>45071</v>
      </c>
      <c r="D719" s="16">
        <v>968974</v>
      </c>
      <c r="E719" s="16">
        <v>10263</v>
      </c>
      <c r="F719" s="18" t="s">
        <v>34</v>
      </c>
      <c r="G719" s="16" t="s">
        <v>16</v>
      </c>
      <c r="H719" s="16" t="s">
        <v>49</v>
      </c>
      <c r="I719" s="16" t="s">
        <v>59</v>
      </c>
    </row>
    <row r="720" spans="2:9" x14ac:dyDescent="0.25">
      <c r="B720" s="16" t="s">
        <v>22</v>
      </c>
      <c r="C720" s="17">
        <v>45071</v>
      </c>
      <c r="D720" s="16">
        <v>968976</v>
      </c>
      <c r="E720" s="16">
        <v>10263</v>
      </c>
      <c r="F720" s="18" t="s">
        <v>34</v>
      </c>
      <c r="G720" s="16" t="s">
        <v>16</v>
      </c>
      <c r="H720" s="16" t="s">
        <v>49</v>
      </c>
      <c r="I720" s="16" t="s">
        <v>59</v>
      </c>
    </row>
    <row r="721" spans="2:9" x14ac:dyDescent="0.25">
      <c r="B721" s="16" t="s">
        <v>22</v>
      </c>
      <c r="C721" s="17">
        <v>45071</v>
      </c>
      <c r="D721" s="16">
        <v>968979</v>
      </c>
      <c r="E721" s="16">
        <v>10263</v>
      </c>
      <c r="F721" s="18" t="s">
        <v>34</v>
      </c>
      <c r="G721" s="16" t="s">
        <v>16</v>
      </c>
      <c r="H721" s="16" t="s">
        <v>49</v>
      </c>
      <c r="I721" s="16" t="s">
        <v>59</v>
      </c>
    </row>
    <row r="722" spans="2:9" x14ac:dyDescent="0.25">
      <c r="B722" s="16" t="s">
        <v>26</v>
      </c>
      <c r="C722" s="17">
        <v>45071</v>
      </c>
      <c r="D722" s="16">
        <v>1122993</v>
      </c>
      <c r="E722" s="16">
        <v>9516</v>
      </c>
      <c r="F722" s="18" t="s">
        <v>110</v>
      </c>
      <c r="G722" s="16" t="s">
        <v>16</v>
      </c>
      <c r="H722" s="16" t="s">
        <v>28</v>
      </c>
      <c r="I722" s="16" t="s">
        <v>61</v>
      </c>
    </row>
    <row r="723" spans="2:9" x14ac:dyDescent="0.25">
      <c r="B723" s="16" t="s">
        <v>26</v>
      </c>
      <c r="C723" s="17">
        <v>45071</v>
      </c>
      <c r="D723" s="16">
        <v>1780100</v>
      </c>
      <c r="E723" s="16">
        <v>9480</v>
      </c>
      <c r="F723" s="18" t="s">
        <v>147</v>
      </c>
      <c r="G723" s="16" t="s">
        <v>93</v>
      </c>
      <c r="H723" s="16" t="s">
        <v>28</v>
      </c>
      <c r="I723" s="16" t="s">
        <v>73</v>
      </c>
    </row>
    <row r="724" spans="2:9" x14ac:dyDescent="0.25">
      <c r="B724" s="16" t="s">
        <v>26</v>
      </c>
      <c r="C724" s="17">
        <v>45071</v>
      </c>
      <c r="D724" s="16">
        <v>763161</v>
      </c>
      <c r="E724" s="16">
        <v>1032</v>
      </c>
      <c r="F724" s="18" t="s">
        <v>225</v>
      </c>
      <c r="G724" s="16" t="s">
        <v>93</v>
      </c>
      <c r="H724" s="16" t="s">
        <v>28</v>
      </c>
      <c r="I724" s="16" t="s">
        <v>73</v>
      </c>
    </row>
    <row r="725" spans="2:9" x14ac:dyDescent="0.25">
      <c r="B725" s="16" t="s">
        <v>210</v>
      </c>
      <c r="C725" s="17">
        <v>45071</v>
      </c>
      <c r="D725" s="16">
        <v>1123492</v>
      </c>
      <c r="E725" s="16">
        <v>9516</v>
      </c>
      <c r="F725" s="18" t="s">
        <v>110</v>
      </c>
      <c r="G725" s="16" t="s">
        <v>16</v>
      </c>
      <c r="H725" s="16" t="s">
        <v>28</v>
      </c>
      <c r="I725" s="16" t="s">
        <v>61</v>
      </c>
    </row>
    <row r="726" spans="2:9" x14ac:dyDescent="0.25">
      <c r="B726" s="16" t="s">
        <v>210</v>
      </c>
      <c r="C726" s="17">
        <v>45071</v>
      </c>
      <c r="D726" s="16">
        <v>1780928</v>
      </c>
      <c r="E726" s="16">
        <v>9480</v>
      </c>
      <c r="F726" s="18" t="s">
        <v>147</v>
      </c>
      <c r="G726" s="16" t="s">
        <v>93</v>
      </c>
      <c r="H726" s="16" t="s">
        <v>28</v>
      </c>
      <c r="I726" s="16" t="s">
        <v>17</v>
      </c>
    </row>
    <row r="727" spans="2:9" x14ac:dyDescent="0.25">
      <c r="B727" s="16" t="s">
        <v>210</v>
      </c>
      <c r="C727" s="17">
        <v>45071</v>
      </c>
      <c r="D727" s="16">
        <v>1780932</v>
      </c>
      <c r="E727" s="16">
        <v>9480</v>
      </c>
      <c r="F727" s="18" t="s">
        <v>147</v>
      </c>
      <c r="G727" s="16" t="s">
        <v>93</v>
      </c>
      <c r="H727" s="16" t="s">
        <v>28</v>
      </c>
      <c r="I727" s="16" t="s">
        <v>17</v>
      </c>
    </row>
    <row r="728" spans="2:9" x14ac:dyDescent="0.25">
      <c r="B728" s="16" t="s">
        <v>210</v>
      </c>
      <c r="C728" s="17">
        <v>45071</v>
      </c>
      <c r="D728" s="16">
        <v>1780933</v>
      </c>
      <c r="E728" s="16">
        <v>9480</v>
      </c>
      <c r="F728" s="18" t="s">
        <v>147</v>
      </c>
      <c r="G728" s="16" t="s">
        <v>93</v>
      </c>
      <c r="H728" s="16" t="s">
        <v>28</v>
      </c>
      <c r="I728" s="16" t="s">
        <v>17</v>
      </c>
    </row>
    <row r="729" spans="2:9" x14ac:dyDescent="0.25">
      <c r="B729" s="16" t="s">
        <v>210</v>
      </c>
      <c r="C729" s="17">
        <v>45071</v>
      </c>
      <c r="D729" s="16">
        <v>1780934</v>
      </c>
      <c r="E729" s="16">
        <v>9480</v>
      </c>
      <c r="F729" s="18" t="s">
        <v>147</v>
      </c>
      <c r="G729" s="16" t="s">
        <v>93</v>
      </c>
      <c r="H729" s="16" t="s">
        <v>28</v>
      </c>
      <c r="I729" s="16" t="s">
        <v>17</v>
      </c>
    </row>
    <row r="730" spans="2:9" x14ac:dyDescent="0.25">
      <c r="B730" s="16" t="s">
        <v>210</v>
      </c>
      <c r="C730" s="17">
        <v>45071</v>
      </c>
      <c r="D730" s="16">
        <v>1780935</v>
      </c>
      <c r="E730" s="16">
        <v>9480</v>
      </c>
      <c r="F730" s="18" t="s">
        <v>147</v>
      </c>
      <c r="G730" s="16" t="s">
        <v>93</v>
      </c>
      <c r="H730" s="16" t="s">
        <v>28</v>
      </c>
      <c r="I730" s="16" t="s">
        <v>17</v>
      </c>
    </row>
    <row r="731" spans="2:9" x14ac:dyDescent="0.25">
      <c r="B731" s="16" t="s">
        <v>210</v>
      </c>
      <c r="C731" s="17">
        <v>45071</v>
      </c>
      <c r="D731" s="16">
        <v>1780936</v>
      </c>
      <c r="E731" s="16">
        <v>9480</v>
      </c>
      <c r="F731" s="18" t="s">
        <v>147</v>
      </c>
      <c r="G731" s="16" t="s">
        <v>93</v>
      </c>
      <c r="H731" s="16" t="s">
        <v>28</v>
      </c>
      <c r="I731" s="16" t="s">
        <v>17</v>
      </c>
    </row>
    <row r="732" spans="2:9" x14ac:dyDescent="0.25">
      <c r="B732" s="16" t="s">
        <v>22</v>
      </c>
      <c r="C732" s="17">
        <v>45071</v>
      </c>
      <c r="D732" s="16">
        <v>26856</v>
      </c>
      <c r="E732" s="16">
        <v>13510</v>
      </c>
      <c r="F732" s="18" t="s">
        <v>140</v>
      </c>
      <c r="G732" s="16" t="s">
        <v>3</v>
      </c>
      <c r="H732" s="16" t="s">
        <v>46</v>
      </c>
      <c r="I732" s="16" t="s">
        <v>17</v>
      </c>
    </row>
    <row r="733" spans="2:9" x14ac:dyDescent="0.25">
      <c r="B733" s="16" t="s">
        <v>33</v>
      </c>
      <c r="C733" s="17">
        <v>45071</v>
      </c>
      <c r="D733" s="16">
        <v>174905</v>
      </c>
      <c r="E733" s="16">
        <v>1672</v>
      </c>
      <c r="F733" s="18" t="s">
        <v>230</v>
      </c>
      <c r="G733" s="16" t="s">
        <v>3</v>
      </c>
      <c r="H733" s="16" t="s">
        <v>46</v>
      </c>
      <c r="I733" s="16" t="s">
        <v>17</v>
      </c>
    </row>
    <row r="734" spans="2:9" x14ac:dyDescent="0.25">
      <c r="B734" s="16" t="s">
        <v>210</v>
      </c>
      <c r="C734" s="17">
        <v>45071</v>
      </c>
      <c r="D734" s="16">
        <v>119247</v>
      </c>
      <c r="E734" s="16">
        <v>63459</v>
      </c>
      <c r="F734" s="18" t="s">
        <v>231</v>
      </c>
      <c r="G734" s="16" t="s">
        <v>3</v>
      </c>
      <c r="H734" s="16" t="s">
        <v>46</v>
      </c>
      <c r="I734" s="16" t="s">
        <v>17</v>
      </c>
    </row>
    <row r="735" spans="2:9" x14ac:dyDescent="0.25">
      <c r="B735" s="16" t="s">
        <v>26</v>
      </c>
      <c r="C735" s="17">
        <v>45071</v>
      </c>
      <c r="D735" s="16">
        <v>969478</v>
      </c>
      <c r="E735" s="16">
        <v>10263</v>
      </c>
      <c r="F735" s="18" t="s">
        <v>34</v>
      </c>
      <c r="G735" s="16" t="s">
        <v>16</v>
      </c>
      <c r="H735" s="16" t="s">
        <v>75</v>
      </c>
      <c r="I735" s="16" t="s">
        <v>61</v>
      </c>
    </row>
    <row r="736" spans="2:9" x14ac:dyDescent="0.25">
      <c r="B736" s="16" t="s">
        <v>22</v>
      </c>
      <c r="C736" s="17">
        <v>45071</v>
      </c>
      <c r="D736" s="16">
        <v>968926</v>
      </c>
      <c r="E736" s="16">
        <v>10263</v>
      </c>
      <c r="F736" s="18" t="s">
        <v>34</v>
      </c>
      <c r="G736" s="16" t="s">
        <v>16</v>
      </c>
      <c r="H736" s="16" t="s">
        <v>75</v>
      </c>
      <c r="I736" s="16" t="s">
        <v>59</v>
      </c>
    </row>
    <row r="737" spans="2:9" x14ac:dyDescent="0.25">
      <c r="B737" s="16" t="s">
        <v>22</v>
      </c>
      <c r="C737" s="17">
        <v>45071</v>
      </c>
      <c r="D737" s="16">
        <v>968947</v>
      </c>
      <c r="E737" s="16">
        <v>10263</v>
      </c>
      <c r="F737" s="18" t="s">
        <v>34</v>
      </c>
      <c r="G737" s="16" t="s">
        <v>16</v>
      </c>
      <c r="H737" s="16" t="s">
        <v>75</v>
      </c>
      <c r="I737" s="16" t="s">
        <v>59</v>
      </c>
    </row>
    <row r="738" spans="2:9" x14ac:dyDescent="0.25">
      <c r="B738" s="16" t="s">
        <v>22</v>
      </c>
      <c r="C738" s="17">
        <v>45071</v>
      </c>
      <c r="D738" s="16">
        <v>968967</v>
      </c>
      <c r="E738" s="16">
        <v>10263</v>
      </c>
      <c r="F738" s="18" t="s">
        <v>34</v>
      </c>
      <c r="G738" s="16" t="s">
        <v>16</v>
      </c>
      <c r="H738" s="16" t="s">
        <v>75</v>
      </c>
      <c r="I738" s="16" t="s">
        <v>59</v>
      </c>
    </row>
    <row r="739" spans="2:9" x14ac:dyDescent="0.25">
      <c r="B739" s="16" t="s">
        <v>2</v>
      </c>
      <c r="C739" s="17">
        <v>45071</v>
      </c>
      <c r="D739" s="16">
        <v>405984</v>
      </c>
      <c r="E739" s="16">
        <v>1263</v>
      </c>
      <c r="F739" s="18" t="s">
        <v>167</v>
      </c>
      <c r="G739" s="16" t="s">
        <v>5</v>
      </c>
      <c r="H739" s="16" t="s">
        <v>228</v>
      </c>
      <c r="I739" s="16" t="s">
        <v>120</v>
      </c>
    </row>
    <row r="740" spans="2:9" x14ac:dyDescent="0.25">
      <c r="B740" s="16" t="s">
        <v>2</v>
      </c>
      <c r="C740" s="17">
        <v>45071</v>
      </c>
      <c r="D740" s="16">
        <v>405985</v>
      </c>
      <c r="E740" s="16">
        <v>1263</v>
      </c>
      <c r="F740" s="18" t="s">
        <v>167</v>
      </c>
      <c r="G740" s="16" t="s">
        <v>5</v>
      </c>
      <c r="H740" s="16" t="s">
        <v>228</v>
      </c>
      <c r="I740" s="16" t="s">
        <v>120</v>
      </c>
    </row>
    <row r="741" spans="2:9" x14ac:dyDescent="0.25">
      <c r="B741" s="16" t="s">
        <v>2</v>
      </c>
      <c r="C741" s="17">
        <v>45071</v>
      </c>
      <c r="D741" s="16">
        <v>398392</v>
      </c>
      <c r="E741" s="16">
        <v>1136</v>
      </c>
      <c r="F741" s="18" t="s">
        <v>167</v>
      </c>
      <c r="G741" s="16" t="s">
        <v>3</v>
      </c>
      <c r="H741" s="16" t="s">
        <v>228</v>
      </c>
      <c r="I741" s="16" t="s">
        <v>120</v>
      </c>
    </row>
    <row r="742" spans="2:9" x14ac:dyDescent="0.25">
      <c r="B742" s="16" t="s">
        <v>2</v>
      </c>
      <c r="C742" s="17">
        <v>45071</v>
      </c>
      <c r="D742" s="16">
        <v>398387</v>
      </c>
      <c r="E742" s="16">
        <v>1136</v>
      </c>
      <c r="F742" s="18" t="s">
        <v>167</v>
      </c>
      <c r="G742" s="16" t="s">
        <v>3</v>
      </c>
      <c r="H742" s="16" t="s">
        <v>228</v>
      </c>
      <c r="I742" s="16" t="s">
        <v>120</v>
      </c>
    </row>
    <row r="743" spans="2:9" x14ac:dyDescent="0.25">
      <c r="B743" s="16" t="s">
        <v>33</v>
      </c>
      <c r="C743" s="17">
        <v>45071</v>
      </c>
      <c r="D743" s="16">
        <v>969168</v>
      </c>
      <c r="E743" s="16">
        <v>10263</v>
      </c>
      <c r="F743" s="18" t="s">
        <v>34</v>
      </c>
      <c r="G743" s="16" t="s">
        <v>16</v>
      </c>
      <c r="H743" s="16" t="s">
        <v>39</v>
      </c>
      <c r="I743" s="16" t="s">
        <v>61</v>
      </c>
    </row>
    <row r="744" spans="2:9" x14ac:dyDescent="0.25">
      <c r="B744" s="16" t="s">
        <v>33</v>
      </c>
      <c r="C744" s="17">
        <v>45071</v>
      </c>
      <c r="D744" s="16">
        <v>969170</v>
      </c>
      <c r="E744" s="16">
        <v>10263</v>
      </c>
      <c r="F744" s="18" t="s">
        <v>34</v>
      </c>
      <c r="G744" s="16" t="s">
        <v>16</v>
      </c>
      <c r="H744" s="16" t="s">
        <v>39</v>
      </c>
      <c r="I744" s="16" t="s">
        <v>61</v>
      </c>
    </row>
    <row r="745" spans="2:9" x14ac:dyDescent="0.25">
      <c r="B745" s="16" t="s">
        <v>33</v>
      </c>
      <c r="C745" s="17">
        <v>45071</v>
      </c>
      <c r="D745" s="16">
        <v>969129</v>
      </c>
      <c r="E745" s="16">
        <v>10263</v>
      </c>
      <c r="F745" s="18" t="s">
        <v>34</v>
      </c>
      <c r="G745" s="16" t="s">
        <v>16</v>
      </c>
      <c r="H745" s="16" t="s">
        <v>39</v>
      </c>
      <c r="I745" s="16" t="s">
        <v>61</v>
      </c>
    </row>
    <row r="746" spans="2:9" x14ac:dyDescent="0.25">
      <c r="B746" s="16" t="s">
        <v>26</v>
      </c>
      <c r="C746" s="17">
        <v>45071</v>
      </c>
      <c r="D746" s="16">
        <v>969454</v>
      </c>
      <c r="E746" s="16">
        <v>10263</v>
      </c>
      <c r="F746" s="18" t="s">
        <v>34</v>
      </c>
      <c r="G746" s="16" t="s">
        <v>16</v>
      </c>
      <c r="H746" s="16" t="s">
        <v>39</v>
      </c>
      <c r="I746" s="16" t="s">
        <v>17</v>
      </c>
    </row>
    <row r="747" spans="2:9" x14ac:dyDescent="0.25">
      <c r="B747" s="16" t="s">
        <v>26</v>
      </c>
      <c r="C747" s="17">
        <v>45071</v>
      </c>
      <c r="D747" s="16">
        <v>969416</v>
      </c>
      <c r="E747" s="16">
        <v>10263</v>
      </c>
      <c r="F747" s="18" t="s">
        <v>34</v>
      </c>
      <c r="G747" s="16" t="s">
        <v>16</v>
      </c>
      <c r="H747" s="16" t="s">
        <v>39</v>
      </c>
      <c r="I747" s="16" t="s">
        <v>17</v>
      </c>
    </row>
    <row r="748" spans="2:9" x14ac:dyDescent="0.25">
      <c r="B748" s="16" t="s">
        <v>33</v>
      </c>
      <c r="C748" s="17">
        <v>45071</v>
      </c>
      <c r="D748" s="16">
        <v>974941</v>
      </c>
      <c r="E748" s="16">
        <v>9434</v>
      </c>
      <c r="F748" s="18" t="s">
        <v>23</v>
      </c>
      <c r="G748" s="16" t="s">
        <v>16</v>
      </c>
      <c r="H748" s="16" t="s">
        <v>221</v>
      </c>
      <c r="I748" s="16" t="s">
        <v>61</v>
      </c>
    </row>
    <row r="749" spans="2:9" x14ac:dyDescent="0.25">
      <c r="B749" s="16" t="s">
        <v>33</v>
      </c>
      <c r="C749" s="17">
        <v>45071</v>
      </c>
      <c r="D749" s="16">
        <v>235549</v>
      </c>
      <c r="E749" s="16">
        <v>12029</v>
      </c>
      <c r="F749" s="18" t="s">
        <v>223</v>
      </c>
      <c r="G749" s="16" t="s">
        <v>52</v>
      </c>
      <c r="H749" s="16" t="s">
        <v>137</v>
      </c>
      <c r="I749" s="16" t="s">
        <v>17</v>
      </c>
    </row>
    <row r="750" spans="2:9" x14ac:dyDescent="0.25">
      <c r="B750" s="16" t="s">
        <v>22</v>
      </c>
      <c r="C750" s="17">
        <v>45071</v>
      </c>
      <c r="D750" s="16">
        <v>302420</v>
      </c>
      <c r="E750" s="16">
        <v>1135</v>
      </c>
      <c r="F750" s="18" t="s">
        <v>205</v>
      </c>
      <c r="G750" s="16" t="s">
        <v>52</v>
      </c>
      <c r="H750" s="16" t="s">
        <v>137</v>
      </c>
      <c r="I750" s="16" t="s">
        <v>17</v>
      </c>
    </row>
    <row r="751" spans="2:9" x14ac:dyDescent="0.25">
      <c r="B751" s="16" t="s">
        <v>22</v>
      </c>
      <c r="C751" s="17">
        <v>45071</v>
      </c>
      <c r="D751" s="16">
        <v>302418</v>
      </c>
      <c r="E751" s="16">
        <v>1135</v>
      </c>
      <c r="F751" s="18" t="s">
        <v>205</v>
      </c>
      <c r="G751" s="16" t="s">
        <v>52</v>
      </c>
      <c r="H751" s="16" t="s">
        <v>137</v>
      </c>
      <c r="I751" s="16" t="s">
        <v>17</v>
      </c>
    </row>
    <row r="752" spans="2:9" x14ac:dyDescent="0.25">
      <c r="B752" s="16" t="s">
        <v>22</v>
      </c>
      <c r="C752" s="17">
        <v>45071</v>
      </c>
      <c r="D752" s="16">
        <v>195099</v>
      </c>
      <c r="E752" s="16">
        <v>1135</v>
      </c>
      <c r="F752" s="18" t="s">
        <v>205</v>
      </c>
      <c r="G752" s="16" t="s">
        <v>52</v>
      </c>
      <c r="H752" s="16" t="s">
        <v>137</v>
      </c>
      <c r="I752" s="16" t="s">
        <v>17</v>
      </c>
    </row>
    <row r="753" spans="2:9" x14ac:dyDescent="0.25">
      <c r="B753" s="16" t="s">
        <v>22</v>
      </c>
      <c r="C753" s="17">
        <v>45071</v>
      </c>
      <c r="D753" s="16">
        <v>302419</v>
      </c>
      <c r="E753" s="16">
        <v>1135</v>
      </c>
      <c r="F753" s="18" t="s">
        <v>205</v>
      </c>
      <c r="G753" s="16" t="s">
        <v>52</v>
      </c>
      <c r="H753" s="16" t="s">
        <v>137</v>
      </c>
      <c r="I753" s="16" t="s">
        <v>17</v>
      </c>
    </row>
    <row r="754" spans="2:9" x14ac:dyDescent="0.25">
      <c r="B754" s="16" t="s">
        <v>22</v>
      </c>
      <c r="C754" s="17">
        <v>45071</v>
      </c>
      <c r="D754" s="16">
        <v>195100</v>
      </c>
      <c r="E754" s="16">
        <v>1135</v>
      </c>
      <c r="F754" s="18" t="s">
        <v>205</v>
      </c>
      <c r="G754" s="16" t="s">
        <v>52</v>
      </c>
      <c r="H754" s="16" t="s">
        <v>137</v>
      </c>
      <c r="I754" s="16" t="s">
        <v>17</v>
      </c>
    </row>
    <row r="755" spans="2:9" x14ac:dyDescent="0.25">
      <c r="B755" s="16" t="s">
        <v>22</v>
      </c>
      <c r="C755" s="17">
        <v>45071</v>
      </c>
      <c r="D755" s="16">
        <v>108398</v>
      </c>
      <c r="E755" s="16">
        <v>1135</v>
      </c>
      <c r="F755" s="18" t="s">
        <v>205</v>
      </c>
      <c r="G755" s="16" t="s">
        <v>52</v>
      </c>
      <c r="H755" s="16" t="s">
        <v>137</v>
      </c>
      <c r="I755" s="16" t="s">
        <v>17</v>
      </c>
    </row>
    <row r="756" spans="2:9" x14ac:dyDescent="0.25">
      <c r="B756" s="16" t="s">
        <v>33</v>
      </c>
      <c r="C756" s="17">
        <v>45071</v>
      </c>
      <c r="D756" s="16">
        <v>969196</v>
      </c>
      <c r="E756" s="16">
        <v>10263</v>
      </c>
      <c r="F756" s="18" t="s">
        <v>34</v>
      </c>
      <c r="G756" s="16" t="s">
        <v>16</v>
      </c>
      <c r="H756" s="16" t="s">
        <v>186</v>
      </c>
      <c r="I756" s="16" t="s">
        <v>61</v>
      </c>
    </row>
    <row r="757" spans="2:9" x14ac:dyDescent="0.25">
      <c r="B757" s="16" t="s">
        <v>33</v>
      </c>
      <c r="C757" s="17">
        <v>45071</v>
      </c>
      <c r="D757" s="16">
        <v>974945</v>
      </c>
      <c r="E757" s="16">
        <v>9434</v>
      </c>
      <c r="F757" s="18" t="s">
        <v>23</v>
      </c>
      <c r="G757" s="16" t="s">
        <v>16</v>
      </c>
      <c r="H757" s="16" t="s">
        <v>186</v>
      </c>
      <c r="I757" s="16" t="s">
        <v>61</v>
      </c>
    </row>
    <row r="758" spans="2:9" x14ac:dyDescent="0.25">
      <c r="B758" s="16" t="s">
        <v>2</v>
      </c>
      <c r="C758" s="17">
        <v>45071</v>
      </c>
      <c r="D758" s="16">
        <v>974101</v>
      </c>
      <c r="E758" s="16">
        <v>9434</v>
      </c>
      <c r="F758" s="18" t="s">
        <v>23</v>
      </c>
      <c r="G758" s="16" t="s">
        <v>5</v>
      </c>
      <c r="H758" s="16" t="s">
        <v>186</v>
      </c>
      <c r="I758" s="16" t="s">
        <v>61</v>
      </c>
    </row>
    <row r="759" spans="2:9" x14ac:dyDescent="0.25">
      <c r="B759" s="16" t="s">
        <v>33</v>
      </c>
      <c r="C759" s="17">
        <v>45071</v>
      </c>
      <c r="D759" s="16">
        <v>1123456</v>
      </c>
      <c r="E759" s="16">
        <v>9516</v>
      </c>
      <c r="F759" s="18" t="s">
        <v>110</v>
      </c>
      <c r="G759" s="16" t="s">
        <v>16</v>
      </c>
      <c r="H759" s="16" t="s">
        <v>186</v>
      </c>
      <c r="I759" s="16" t="s">
        <v>61</v>
      </c>
    </row>
    <row r="760" spans="2:9" x14ac:dyDescent="0.25">
      <c r="B760" s="16" t="s">
        <v>33</v>
      </c>
      <c r="C760" s="17">
        <v>45071</v>
      </c>
      <c r="D760" s="16">
        <v>1123459</v>
      </c>
      <c r="E760" s="16">
        <v>9516</v>
      </c>
      <c r="F760" s="18" t="s">
        <v>110</v>
      </c>
      <c r="G760" s="16" t="s">
        <v>16</v>
      </c>
      <c r="H760" s="16" t="s">
        <v>186</v>
      </c>
      <c r="I760" s="16" t="s">
        <v>61</v>
      </c>
    </row>
    <row r="761" spans="2:9" x14ac:dyDescent="0.25">
      <c r="B761" s="16" t="s">
        <v>33</v>
      </c>
      <c r="C761" s="17">
        <v>45071</v>
      </c>
      <c r="D761" s="16">
        <v>1156460</v>
      </c>
      <c r="E761" s="16">
        <v>9516</v>
      </c>
      <c r="F761" s="18" t="s">
        <v>110</v>
      </c>
      <c r="G761" s="16" t="s">
        <v>16</v>
      </c>
      <c r="H761" s="16" t="s">
        <v>186</v>
      </c>
      <c r="I761" s="16" t="s">
        <v>61</v>
      </c>
    </row>
    <row r="762" spans="2:9" x14ac:dyDescent="0.25">
      <c r="B762" s="16" t="s">
        <v>40</v>
      </c>
      <c r="C762" s="17">
        <v>45071</v>
      </c>
      <c r="D762" s="16">
        <v>1123446</v>
      </c>
      <c r="E762" s="16">
        <v>9516</v>
      </c>
      <c r="F762" s="18" t="s">
        <v>110</v>
      </c>
      <c r="G762" s="16" t="s">
        <v>16</v>
      </c>
      <c r="H762" s="16" t="s">
        <v>186</v>
      </c>
      <c r="I762" s="16" t="s">
        <v>59</v>
      </c>
    </row>
    <row r="763" spans="2:9" x14ac:dyDescent="0.25">
      <c r="B763" s="16" t="s">
        <v>40</v>
      </c>
      <c r="C763" s="17">
        <v>45071</v>
      </c>
      <c r="D763" s="16">
        <v>974927</v>
      </c>
      <c r="E763" s="16">
        <v>9434</v>
      </c>
      <c r="F763" s="18" t="s">
        <v>23</v>
      </c>
      <c r="G763" s="16" t="s">
        <v>93</v>
      </c>
      <c r="H763" s="16" t="s">
        <v>186</v>
      </c>
      <c r="I763" s="16" t="s">
        <v>61</v>
      </c>
    </row>
    <row r="764" spans="2:9" x14ac:dyDescent="0.25">
      <c r="B764" s="16" t="s">
        <v>2</v>
      </c>
      <c r="C764" s="17">
        <v>45071</v>
      </c>
      <c r="D764" s="16">
        <v>974102</v>
      </c>
      <c r="E764" s="16">
        <v>9434</v>
      </c>
      <c r="F764" s="18" t="s">
        <v>23</v>
      </c>
      <c r="G764" s="16" t="s">
        <v>5</v>
      </c>
      <c r="H764" s="16" t="s">
        <v>184</v>
      </c>
      <c r="I764" s="16" t="s">
        <v>61</v>
      </c>
    </row>
    <row r="765" spans="2:9" x14ac:dyDescent="0.25">
      <c r="B765" s="16" t="s">
        <v>210</v>
      </c>
      <c r="C765" s="17">
        <v>45071</v>
      </c>
      <c r="D765" s="16">
        <v>950450</v>
      </c>
      <c r="E765" s="16">
        <v>9675</v>
      </c>
      <c r="F765" s="18" t="s">
        <v>60</v>
      </c>
      <c r="G765" s="16" t="s">
        <v>16</v>
      </c>
      <c r="H765" s="16" t="s">
        <v>184</v>
      </c>
      <c r="I765" s="16" t="s">
        <v>61</v>
      </c>
    </row>
    <row r="766" spans="2:9" x14ac:dyDescent="0.25">
      <c r="B766" s="16" t="s">
        <v>210</v>
      </c>
      <c r="C766" s="17">
        <v>45071</v>
      </c>
      <c r="D766" s="16">
        <v>1784019</v>
      </c>
      <c r="E766" s="16">
        <v>1015</v>
      </c>
      <c r="F766" s="18" t="s">
        <v>134</v>
      </c>
      <c r="G766" s="16" t="s">
        <v>55</v>
      </c>
      <c r="H766" s="16" t="s">
        <v>184</v>
      </c>
      <c r="I766" s="16" t="s">
        <v>227</v>
      </c>
    </row>
    <row r="767" spans="2:9" x14ac:dyDescent="0.25">
      <c r="B767" s="16" t="s">
        <v>40</v>
      </c>
      <c r="C767" s="17">
        <v>45071</v>
      </c>
      <c r="D767" s="16">
        <v>974930</v>
      </c>
      <c r="E767" s="16">
        <v>9434</v>
      </c>
      <c r="F767" s="18" t="s">
        <v>23</v>
      </c>
      <c r="G767" s="16" t="s">
        <v>16</v>
      </c>
      <c r="H767" s="16" t="s">
        <v>184</v>
      </c>
      <c r="I767" s="16" t="s">
        <v>61</v>
      </c>
    </row>
    <row r="768" spans="2:9" x14ac:dyDescent="0.25">
      <c r="B768" s="16" t="s">
        <v>210</v>
      </c>
      <c r="C768" s="17">
        <v>45071</v>
      </c>
      <c r="D768" s="16">
        <v>27516</v>
      </c>
      <c r="E768" s="16">
        <v>68472</v>
      </c>
      <c r="F768" s="18" t="s">
        <v>229</v>
      </c>
      <c r="G768" s="16" t="s">
        <v>3</v>
      </c>
      <c r="H768" s="16" t="s">
        <v>184</v>
      </c>
      <c r="I768" s="16" t="s">
        <v>232</v>
      </c>
    </row>
    <row r="769" spans="2:9" x14ac:dyDescent="0.25">
      <c r="B769" s="16" t="s">
        <v>210</v>
      </c>
      <c r="C769" s="17">
        <v>45071</v>
      </c>
      <c r="D769" s="16">
        <v>2104614</v>
      </c>
      <c r="E769" s="16">
        <v>9459</v>
      </c>
      <c r="F769" s="18" t="s">
        <v>105</v>
      </c>
      <c r="G769" s="16" t="s">
        <v>5</v>
      </c>
      <c r="H769" s="16" t="s">
        <v>184</v>
      </c>
      <c r="I769" s="16" t="s">
        <v>61</v>
      </c>
    </row>
    <row r="770" spans="2:9" x14ac:dyDescent="0.25">
      <c r="B770" s="16" t="s">
        <v>22</v>
      </c>
      <c r="C770" s="17">
        <v>45071</v>
      </c>
      <c r="D770" s="16">
        <v>217745</v>
      </c>
      <c r="E770" s="16">
        <v>9508</v>
      </c>
      <c r="F770" s="18" t="s">
        <v>226</v>
      </c>
      <c r="G770" s="16" t="s">
        <v>5</v>
      </c>
      <c r="H770" s="16" t="s">
        <v>114</v>
      </c>
      <c r="I770" s="16" t="s">
        <v>17</v>
      </c>
    </row>
    <row r="771" spans="2:9" x14ac:dyDescent="0.25">
      <c r="B771" s="16" t="s">
        <v>40</v>
      </c>
      <c r="C771" s="17">
        <v>45071</v>
      </c>
      <c r="D771" s="16">
        <v>559496</v>
      </c>
      <c r="E771" s="16">
        <v>2039</v>
      </c>
      <c r="F771" s="18" t="s">
        <v>122</v>
      </c>
      <c r="G771" s="16" t="s">
        <v>7</v>
      </c>
      <c r="H771" s="16" t="s">
        <v>114</v>
      </c>
      <c r="I771" s="16" t="s">
        <v>17</v>
      </c>
    </row>
    <row r="772" spans="2:9" x14ac:dyDescent="0.25">
      <c r="B772" s="16" t="s">
        <v>33</v>
      </c>
      <c r="C772" s="17">
        <v>45071</v>
      </c>
      <c r="D772" s="16">
        <v>118266</v>
      </c>
      <c r="E772" s="16">
        <v>11604</v>
      </c>
      <c r="F772" s="18" t="s">
        <v>63</v>
      </c>
      <c r="G772" s="16" t="s">
        <v>6</v>
      </c>
      <c r="H772" s="16" t="s">
        <v>38</v>
      </c>
      <c r="I772" s="16" t="s">
        <v>17</v>
      </c>
    </row>
    <row r="773" spans="2:9" x14ac:dyDescent="0.25">
      <c r="B773" s="16" t="s">
        <v>33</v>
      </c>
      <c r="C773" s="17">
        <v>45071</v>
      </c>
      <c r="D773" s="16">
        <v>1695</v>
      </c>
      <c r="E773" s="16">
        <v>70563</v>
      </c>
      <c r="F773" s="18" t="s">
        <v>233</v>
      </c>
      <c r="G773" s="16" t="s">
        <v>16</v>
      </c>
      <c r="H773" s="16" t="s">
        <v>38</v>
      </c>
      <c r="I773" s="16" t="s">
        <v>59</v>
      </c>
    </row>
    <row r="774" spans="2:9" x14ac:dyDescent="0.25">
      <c r="B774" s="16" t="s">
        <v>40</v>
      </c>
      <c r="C774" s="17">
        <v>45071</v>
      </c>
      <c r="D774" s="16">
        <v>118267</v>
      </c>
      <c r="E774" s="16">
        <v>11604</v>
      </c>
      <c r="F774" s="18" t="s">
        <v>63</v>
      </c>
      <c r="G774" s="16" t="s">
        <v>6</v>
      </c>
      <c r="H774" s="16" t="s">
        <v>38</v>
      </c>
      <c r="I774" s="16" t="s">
        <v>17</v>
      </c>
    </row>
    <row r="775" spans="2:9" x14ac:dyDescent="0.25">
      <c r="B775" s="16" t="s">
        <v>33</v>
      </c>
      <c r="C775" s="17">
        <v>45072</v>
      </c>
      <c r="D775" s="16">
        <v>14475</v>
      </c>
      <c r="E775" s="16">
        <v>70826</v>
      </c>
      <c r="F775" s="18" t="s">
        <v>238</v>
      </c>
      <c r="G775" s="16" t="s">
        <v>16</v>
      </c>
      <c r="H775" s="16" t="s">
        <v>71</v>
      </c>
      <c r="I775" s="16" t="s">
        <v>17</v>
      </c>
    </row>
    <row r="776" spans="2:9" x14ac:dyDescent="0.25">
      <c r="B776" s="16" t="s">
        <v>210</v>
      </c>
      <c r="C776" s="17">
        <v>45072</v>
      </c>
      <c r="D776" s="16">
        <v>26662</v>
      </c>
      <c r="E776" s="16">
        <v>9398</v>
      </c>
      <c r="F776" s="18" t="s">
        <v>65</v>
      </c>
      <c r="G776" s="16" t="s">
        <v>16</v>
      </c>
      <c r="H776" s="16" t="s">
        <v>49</v>
      </c>
      <c r="I776" s="16" t="s">
        <v>17</v>
      </c>
    </row>
    <row r="777" spans="2:9" x14ac:dyDescent="0.25">
      <c r="B777" s="16" t="s">
        <v>22</v>
      </c>
      <c r="C777" s="17">
        <v>45072</v>
      </c>
      <c r="D777" s="16">
        <v>1174127</v>
      </c>
      <c r="E777" s="16">
        <v>2294</v>
      </c>
      <c r="F777" s="18" t="s">
        <v>202</v>
      </c>
      <c r="G777" s="16" t="s">
        <v>16</v>
      </c>
      <c r="H777" s="16" t="s">
        <v>28</v>
      </c>
      <c r="I777" s="16" t="s">
        <v>61</v>
      </c>
    </row>
    <row r="778" spans="2:9" x14ac:dyDescent="0.25">
      <c r="B778" s="16" t="s">
        <v>26</v>
      </c>
      <c r="C778" s="17">
        <v>45072</v>
      </c>
      <c r="D778" s="16">
        <v>11097623</v>
      </c>
      <c r="E778" s="16">
        <v>9455</v>
      </c>
      <c r="F778" s="18" t="s">
        <v>151</v>
      </c>
      <c r="G778" s="16" t="s">
        <v>16</v>
      </c>
      <c r="H778" s="16" t="s">
        <v>46</v>
      </c>
      <c r="I778" s="16" t="s">
        <v>17</v>
      </c>
    </row>
    <row r="779" spans="2:9" x14ac:dyDescent="0.25">
      <c r="B779" s="16" t="s">
        <v>210</v>
      </c>
      <c r="C779" s="17">
        <v>45072</v>
      </c>
      <c r="D779" s="16">
        <v>153200</v>
      </c>
      <c r="E779" s="16">
        <v>63007</v>
      </c>
      <c r="F779" s="18" t="s">
        <v>62</v>
      </c>
      <c r="G779" s="16" t="s">
        <v>4</v>
      </c>
      <c r="H779" s="16" t="s">
        <v>46</v>
      </c>
      <c r="I779" s="16" t="s">
        <v>17</v>
      </c>
    </row>
    <row r="780" spans="2:9" x14ac:dyDescent="0.25">
      <c r="B780" s="16" t="s">
        <v>210</v>
      </c>
      <c r="C780" s="17">
        <v>45072</v>
      </c>
      <c r="D780" s="16">
        <v>336649</v>
      </c>
      <c r="E780" s="16">
        <v>6735</v>
      </c>
      <c r="F780" s="18" t="s">
        <v>144</v>
      </c>
      <c r="G780" s="16" t="s">
        <v>3</v>
      </c>
      <c r="H780" s="16" t="s">
        <v>46</v>
      </c>
      <c r="I780" s="16" t="s">
        <v>17</v>
      </c>
    </row>
    <row r="781" spans="2:9" x14ac:dyDescent="0.25">
      <c r="B781" s="16" t="s">
        <v>210</v>
      </c>
      <c r="C781" s="17">
        <v>45072</v>
      </c>
      <c r="D781" s="16">
        <v>336648</v>
      </c>
      <c r="E781" s="16">
        <v>6735</v>
      </c>
      <c r="F781" s="18" t="s">
        <v>144</v>
      </c>
      <c r="G781" s="16" t="s">
        <v>3</v>
      </c>
      <c r="H781" s="16" t="s">
        <v>46</v>
      </c>
      <c r="I781" s="16" t="s">
        <v>17</v>
      </c>
    </row>
    <row r="782" spans="2:9" x14ac:dyDescent="0.25">
      <c r="B782" s="16" t="s">
        <v>210</v>
      </c>
      <c r="C782" s="17">
        <v>45072</v>
      </c>
      <c r="D782" s="16">
        <v>8398431</v>
      </c>
      <c r="E782" s="16">
        <v>9389</v>
      </c>
      <c r="F782" s="18" t="s">
        <v>119</v>
      </c>
      <c r="G782" s="16" t="s">
        <v>4</v>
      </c>
      <c r="H782" s="16" t="s">
        <v>46</v>
      </c>
      <c r="I782" s="16" t="s">
        <v>17</v>
      </c>
    </row>
    <row r="783" spans="2:9" x14ac:dyDescent="0.25">
      <c r="B783" s="16" t="s">
        <v>210</v>
      </c>
      <c r="C783" s="17">
        <v>45072</v>
      </c>
      <c r="D783" s="16">
        <v>56806</v>
      </c>
      <c r="E783" s="16">
        <v>9389</v>
      </c>
      <c r="F783" s="18" t="s">
        <v>119</v>
      </c>
      <c r="G783" s="16" t="s">
        <v>4</v>
      </c>
      <c r="H783" s="16" t="s">
        <v>46</v>
      </c>
      <c r="I783" s="16" t="s">
        <v>17</v>
      </c>
    </row>
    <row r="784" spans="2:9" x14ac:dyDescent="0.25">
      <c r="B784" s="16" t="s">
        <v>210</v>
      </c>
      <c r="C784" s="17">
        <v>45072</v>
      </c>
      <c r="D784" s="16">
        <v>8398430</v>
      </c>
      <c r="E784" s="16">
        <v>9389</v>
      </c>
      <c r="F784" s="18" t="s">
        <v>119</v>
      </c>
      <c r="G784" s="16" t="s">
        <v>4</v>
      </c>
      <c r="H784" s="16" t="s">
        <v>46</v>
      </c>
      <c r="I784" s="16" t="s">
        <v>17</v>
      </c>
    </row>
    <row r="785" spans="2:9" x14ac:dyDescent="0.25">
      <c r="B785" s="16" t="s">
        <v>210</v>
      </c>
      <c r="C785" s="17">
        <v>45072</v>
      </c>
      <c r="D785" s="16">
        <v>56805</v>
      </c>
      <c r="E785" s="16">
        <v>9389</v>
      </c>
      <c r="F785" s="18" t="s">
        <v>119</v>
      </c>
      <c r="G785" s="16" t="s">
        <v>4</v>
      </c>
      <c r="H785" s="16" t="s">
        <v>46</v>
      </c>
      <c r="I785" s="16" t="s">
        <v>17</v>
      </c>
    </row>
    <row r="786" spans="2:9" x14ac:dyDescent="0.25">
      <c r="B786" s="16" t="s">
        <v>40</v>
      </c>
      <c r="C786" s="17">
        <v>45072</v>
      </c>
      <c r="D786" s="16">
        <v>867872</v>
      </c>
      <c r="E786" s="16">
        <v>1019</v>
      </c>
      <c r="F786" s="18" t="s">
        <v>158</v>
      </c>
      <c r="G786" s="16" t="s">
        <v>5</v>
      </c>
      <c r="H786" s="16" t="s">
        <v>190</v>
      </c>
      <c r="I786" s="16" t="s">
        <v>17</v>
      </c>
    </row>
    <row r="787" spans="2:9" x14ac:dyDescent="0.25">
      <c r="B787" s="16" t="s">
        <v>40</v>
      </c>
      <c r="C787" s="17">
        <v>45072</v>
      </c>
      <c r="D787" s="16">
        <v>867876</v>
      </c>
      <c r="E787" s="16">
        <v>1019</v>
      </c>
      <c r="F787" s="18" t="s">
        <v>158</v>
      </c>
      <c r="G787" s="16" t="s">
        <v>5</v>
      </c>
      <c r="H787" s="16" t="s">
        <v>190</v>
      </c>
      <c r="I787" s="16" t="s">
        <v>17</v>
      </c>
    </row>
    <row r="788" spans="2:9" x14ac:dyDescent="0.25">
      <c r="B788" s="16" t="s">
        <v>33</v>
      </c>
      <c r="C788" s="17">
        <v>45072</v>
      </c>
      <c r="D788" s="16">
        <v>1174128</v>
      </c>
      <c r="E788" s="16">
        <v>2294</v>
      </c>
      <c r="F788" s="18" t="s">
        <v>202</v>
      </c>
      <c r="G788" s="16" t="s">
        <v>16</v>
      </c>
      <c r="H788" s="16" t="s">
        <v>186</v>
      </c>
      <c r="I788" s="16" t="s">
        <v>61</v>
      </c>
    </row>
    <row r="789" spans="2:9" x14ac:dyDescent="0.25">
      <c r="B789" s="16" t="s">
        <v>33</v>
      </c>
      <c r="C789" s="17">
        <v>45072</v>
      </c>
      <c r="D789" s="16">
        <v>831766</v>
      </c>
      <c r="E789" s="16">
        <v>3438</v>
      </c>
      <c r="F789" s="18" t="s">
        <v>200</v>
      </c>
      <c r="G789" s="16" t="s">
        <v>5</v>
      </c>
      <c r="H789" s="16" t="s">
        <v>186</v>
      </c>
      <c r="I789" s="16" t="s">
        <v>61</v>
      </c>
    </row>
    <row r="790" spans="2:9" x14ac:dyDescent="0.25">
      <c r="B790" s="16" t="s">
        <v>33</v>
      </c>
      <c r="C790" s="17">
        <v>45072</v>
      </c>
      <c r="D790" s="16">
        <v>831765</v>
      </c>
      <c r="E790" s="16">
        <v>3438</v>
      </c>
      <c r="F790" s="18" t="s">
        <v>200</v>
      </c>
      <c r="G790" s="16" t="s">
        <v>5</v>
      </c>
      <c r="H790" s="16" t="s">
        <v>186</v>
      </c>
      <c r="I790" s="16" t="s">
        <v>61</v>
      </c>
    </row>
    <row r="791" spans="2:9" x14ac:dyDescent="0.25">
      <c r="B791" s="16" t="s">
        <v>33</v>
      </c>
      <c r="C791" s="17">
        <v>45072</v>
      </c>
      <c r="D791" s="16">
        <v>5107</v>
      </c>
      <c r="E791" s="16">
        <v>65259</v>
      </c>
      <c r="F791" s="18" t="s">
        <v>236</v>
      </c>
      <c r="G791" s="16" t="s">
        <v>16</v>
      </c>
      <c r="H791" s="16" t="s">
        <v>186</v>
      </c>
      <c r="I791" s="16" t="s">
        <v>61</v>
      </c>
    </row>
    <row r="792" spans="2:9" x14ac:dyDescent="0.25">
      <c r="B792" s="16" t="s">
        <v>26</v>
      </c>
      <c r="C792" s="17">
        <v>45072</v>
      </c>
      <c r="D792" s="16">
        <v>53168</v>
      </c>
      <c r="E792" s="16">
        <v>9451</v>
      </c>
      <c r="F792" s="18" t="s">
        <v>195</v>
      </c>
      <c r="G792" s="16" t="s">
        <v>16</v>
      </c>
      <c r="H792" s="16" t="s">
        <v>186</v>
      </c>
      <c r="I792" s="16" t="s">
        <v>61</v>
      </c>
    </row>
    <row r="793" spans="2:9" x14ac:dyDescent="0.25">
      <c r="B793" s="16" t="s">
        <v>26</v>
      </c>
      <c r="C793" s="17">
        <v>45072</v>
      </c>
      <c r="D793" s="16">
        <v>8398448</v>
      </c>
      <c r="E793" s="16">
        <v>9389</v>
      </c>
      <c r="F793" s="18" t="s">
        <v>119</v>
      </c>
      <c r="G793" s="16" t="s">
        <v>52</v>
      </c>
      <c r="H793" s="16" t="s">
        <v>186</v>
      </c>
      <c r="I793" s="16" t="s">
        <v>61</v>
      </c>
    </row>
    <row r="794" spans="2:9" x14ac:dyDescent="0.25">
      <c r="B794" s="16" t="s">
        <v>2</v>
      </c>
      <c r="C794" s="17">
        <v>45072</v>
      </c>
      <c r="D794" s="16">
        <v>3680</v>
      </c>
      <c r="E794" s="16">
        <v>9963</v>
      </c>
      <c r="F794" s="18" t="s">
        <v>234</v>
      </c>
      <c r="G794" s="16" t="s">
        <v>3</v>
      </c>
      <c r="H794" s="16" t="s">
        <v>184</v>
      </c>
      <c r="I794" s="16" t="s">
        <v>235</v>
      </c>
    </row>
    <row r="795" spans="2:9" x14ac:dyDescent="0.25">
      <c r="B795" s="16" t="s">
        <v>210</v>
      </c>
      <c r="C795" s="17">
        <v>45072</v>
      </c>
      <c r="D795" s="16">
        <v>1765426</v>
      </c>
      <c r="E795" s="16">
        <v>9307</v>
      </c>
      <c r="F795" s="18" t="s">
        <v>68</v>
      </c>
      <c r="G795" s="16" t="s">
        <v>16</v>
      </c>
      <c r="H795" s="16" t="s">
        <v>184</v>
      </c>
      <c r="I795" s="16" t="s">
        <v>61</v>
      </c>
    </row>
    <row r="796" spans="2:9" x14ac:dyDescent="0.25">
      <c r="B796" s="16" t="s">
        <v>33</v>
      </c>
      <c r="C796" s="17">
        <v>45072</v>
      </c>
      <c r="D796" s="16">
        <v>184035</v>
      </c>
      <c r="E796" s="16">
        <v>8689</v>
      </c>
      <c r="F796" s="18" t="s">
        <v>237</v>
      </c>
      <c r="G796" s="16" t="s">
        <v>5</v>
      </c>
      <c r="H796" s="16" t="s">
        <v>184</v>
      </c>
      <c r="I796" s="16" t="s">
        <v>57</v>
      </c>
    </row>
    <row r="797" spans="2:9" x14ac:dyDescent="0.25">
      <c r="B797" s="16" t="s">
        <v>33</v>
      </c>
      <c r="C797" s="17">
        <v>45072</v>
      </c>
      <c r="D797" s="16">
        <v>8398429</v>
      </c>
      <c r="E797" s="16">
        <v>9389</v>
      </c>
      <c r="F797" s="18" t="s">
        <v>119</v>
      </c>
      <c r="G797" s="16" t="s">
        <v>52</v>
      </c>
      <c r="H797" s="16" t="s">
        <v>184</v>
      </c>
      <c r="I797" s="16" t="s">
        <v>29</v>
      </c>
    </row>
    <row r="798" spans="2:9" x14ac:dyDescent="0.25">
      <c r="B798" s="16" t="s">
        <v>40</v>
      </c>
      <c r="C798" s="17">
        <v>45072</v>
      </c>
      <c r="D798" s="16">
        <v>181637</v>
      </c>
      <c r="E798" s="16">
        <v>9016</v>
      </c>
      <c r="F798" s="18" t="s">
        <v>111</v>
      </c>
      <c r="G798" s="16" t="s">
        <v>7</v>
      </c>
      <c r="H798" s="16" t="s">
        <v>114</v>
      </c>
      <c r="I798" s="16" t="s">
        <v>17</v>
      </c>
    </row>
    <row r="799" spans="2:9" x14ac:dyDescent="0.25">
      <c r="B799" s="16" t="s">
        <v>2</v>
      </c>
      <c r="C799" s="17">
        <v>45072</v>
      </c>
      <c r="D799" s="16">
        <v>118297</v>
      </c>
      <c r="E799" s="16">
        <v>11604</v>
      </c>
      <c r="F799" s="18" t="s">
        <v>63</v>
      </c>
      <c r="G799" s="16" t="s">
        <v>54</v>
      </c>
      <c r="H799" s="16" t="s">
        <v>38</v>
      </c>
      <c r="I799" s="16" t="s">
        <v>17</v>
      </c>
    </row>
    <row r="800" spans="2:9" x14ac:dyDescent="0.25">
      <c r="B800" s="16" t="s">
        <v>40</v>
      </c>
      <c r="C800" s="17">
        <v>45072</v>
      </c>
      <c r="D800" s="16">
        <v>118298</v>
      </c>
      <c r="E800" s="16">
        <v>11604</v>
      </c>
      <c r="F800" s="18" t="s">
        <v>63</v>
      </c>
      <c r="G800" s="16" t="s">
        <v>6</v>
      </c>
      <c r="H800" s="16" t="s">
        <v>38</v>
      </c>
      <c r="I800" s="16" t="s">
        <v>17</v>
      </c>
    </row>
    <row r="801" spans="2:9" x14ac:dyDescent="0.25">
      <c r="B801" s="16" t="s">
        <v>26</v>
      </c>
      <c r="C801" s="17">
        <v>45073</v>
      </c>
      <c r="D801" s="16">
        <v>118342</v>
      </c>
      <c r="E801" s="16">
        <v>11604</v>
      </c>
      <c r="F801" s="18" t="s">
        <v>63</v>
      </c>
      <c r="G801" s="16" t="s">
        <v>54</v>
      </c>
      <c r="H801" s="16" t="s">
        <v>114</v>
      </c>
      <c r="I801" s="16" t="s">
        <v>17</v>
      </c>
    </row>
    <row r="802" spans="2:9" x14ac:dyDescent="0.25">
      <c r="B802" s="16" t="s">
        <v>26</v>
      </c>
      <c r="C802" s="17">
        <v>45073</v>
      </c>
      <c r="D802" s="16">
        <v>47793</v>
      </c>
      <c r="E802" s="16">
        <v>10348</v>
      </c>
      <c r="F802" s="18" t="s">
        <v>76</v>
      </c>
      <c r="G802" s="16" t="s">
        <v>7</v>
      </c>
      <c r="H802" s="16" t="s">
        <v>38</v>
      </c>
      <c r="I802" s="16" t="s">
        <v>17</v>
      </c>
    </row>
    <row r="803" spans="2:9" x14ac:dyDescent="0.25">
      <c r="B803" s="16" t="s">
        <v>2</v>
      </c>
      <c r="C803" s="17">
        <v>45075</v>
      </c>
      <c r="D803" s="16">
        <v>1841</v>
      </c>
      <c r="E803" s="16">
        <v>70670</v>
      </c>
      <c r="F803" s="18" t="s">
        <v>101</v>
      </c>
      <c r="G803" s="16" t="s">
        <v>3</v>
      </c>
      <c r="H803" s="16" t="s">
        <v>97</v>
      </c>
      <c r="I803" s="16" t="s">
        <v>17</v>
      </c>
    </row>
    <row r="804" spans="2:9" x14ac:dyDescent="0.25">
      <c r="B804" s="16" t="s">
        <v>2</v>
      </c>
      <c r="C804" s="17">
        <v>45075</v>
      </c>
      <c r="D804" s="16">
        <v>1842</v>
      </c>
      <c r="E804" s="16">
        <v>70670</v>
      </c>
      <c r="F804" s="18" t="s">
        <v>101</v>
      </c>
      <c r="G804" s="16" t="s">
        <v>3</v>
      </c>
      <c r="H804" s="16" t="s">
        <v>97</v>
      </c>
      <c r="I804" s="16" t="s">
        <v>17</v>
      </c>
    </row>
    <row r="805" spans="2:9" x14ac:dyDescent="0.25">
      <c r="B805" s="16" t="s">
        <v>26</v>
      </c>
      <c r="C805" s="17">
        <v>45075</v>
      </c>
      <c r="D805" s="16">
        <v>301172</v>
      </c>
      <c r="E805" s="16">
        <v>68353</v>
      </c>
      <c r="F805" s="18" t="s">
        <v>116</v>
      </c>
      <c r="G805" s="16" t="s">
        <v>16</v>
      </c>
      <c r="H805" s="16" t="s">
        <v>71</v>
      </c>
      <c r="I805" s="16" t="s">
        <v>17</v>
      </c>
    </row>
    <row r="806" spans="2:9" x14ac:dyDescent="0.25">
      <c r="B806" s="16" t="s">
        <v>26</v>
      </c>
      <c r="C806" s="17">
        <v>45075</v>
      </c>
      <c r="D806" s="16">
        <v>404507</v>
      </c>
      <c r="E806" s="16">
        <v>1216</v>
      </c>
      <c r="F806" s="18" t="s">
        <v>47</v>
      </c>
      <c r="G806" s="16" t="s">
        <v>5</v>
      </c>
      <c r="H806" s="16" t="s">
        <v>71</v>
      </c>
      <c r="I806" s="16" t="s">
        <v>17</v>
      </c>
    </row>
    <row r="807" spans="2:9" x14ac:dyDescent="0.25">
      <c r="B807" s="16" t="s">
        <v>210</v>
      </c>
      <c r="C807" s="17">
        <v>45075</v>
      </c>
      <c r="D807" s="16">
        <v>57019</v>
      </c>
      <c r="E807" s="16">
        <v>11787</v>
      </c>
      <c r="F807" s="18" t="s">
        <v>244</v>
      </c>
      <c r="G807" s="16" t="s">
        <v>16</v>
      </c>
      <c r="H807" s="16" t="s">
        <v>36</v>
      </c>
      <c r="I807" s="16" t="s">
        <v>61</v>
      </c>
    </row>
    <row r="808" spans="2:9" x14ac:dyDescent="0.25">
      <c r="B808" s="16" t="s">
        <v>210</v>
      </c>
      <c r="C808" s="17">
        <v>45075</v>
      </c>
      <c r="D808" s="16">
        <v>1785435</v>
      </c>
      <c r="E808" s="16">
        <v>1015</v>
      </c>
      <c r="F808" s="18" t="s">
        <v>134</v>
      </c>
      <c r="G808" s="16" t="s">
        <v>4</v>
      </c>
      <c r="H808" s="16" t="s">
        <v>31</v>
      </c>
      <c r="I808" s="16" t="s">
        <v>132</v>
      </c>
    </row>
    <row r="809" spans="2:9" x14ac:dyDescent="0.25">
      <c r="B809" s="16" t="s">
        <v>26</v>
      </c>
      <c r="C809" s="17">
        <v>45075</v>
      </c>
      <c r="D809" s="16">
        <v>125319</v>
      </c>
      <c r="E809" s="16">
        <v>1754</v>
      </c>
      <c r="F809" s="18" t="s">
        <v>240</v>
      </c>
      <c r="G809" s="16" t="s">
        <v>93</v>
      </c>
      <c r="H809" s="16" t="s">
        <v>28</v>
      </c>
      <c r="I809" s="16" t="s">
        <v>84</v>
      </c>
    </row>
    <row r="810" spans="2:9" x14ac:dyDescent="0.25">
      <c r="B810" s="16" t="s">
        <v>26</v>
      </c>
      <c r="C810" s="17">
        <v>45075</v>
      </c>
      <c r="D810" s="16">
        <v>295768</v>
      </c>
      <c r="E810" s="16">
        <v>66719</v>
      </c>
      <c r="F810" s="18" t="s">
        <v>180</v>
      </c>
      <c r="G810" s="16" t="s">
        <v>16</v>
      </c>
      <c r="H810" s="16" t="s">
        <v>28</v>
      </c>
      <c r="I810" s="16" t="s">
        <v>61</v>
      </c>
    </row>
    <row r="811" spans="2:9" x14ac:dyDescent="0.25">
      <c r="B811" s="16" t="s">
        <v>22</v>
      </c>
      <c r="C811" s="17">
        <v>45075</v>
      </c>
      <c r="D811" s="16">
        <v>125163</v>
      </c>
      <c r="E811" s="16">
        <v>1754</v>
      </c>
      <c r="F811" s="18" t="s">
        <v>240</v>
      </c>
      <c r="G811" s="16" t="s">
        <v>93</v>
      </c>
      <c r="H811" s="16" t="s">
        <v>28</v>
      </c>
      <c r="I811" s="16" t="s">
        <v>84</v>
      </c>
    </row>
    <row r="812" spans="2:9" x14ac:dyDescent="0.25">
      <c r="B812" s="16" t="s">
        <v>33</v>
      </c>
      <c r="C812" s="17">
        <v>45075</v>
      </c>
      <c r="D812" s="16">
        <v>958059</v>
      </c>
      <c r="E812" s="16">
        <v>9403</v>
      </c>
      <c r="F812" s="18" t="s">
        <v>153</v>
      </c>
      <c r="G812" s="16" t="s">
        <v>16</v>
      </c>
      <c r="H812" s="16" t="s">
        <v>28</v>
      </c>
      <c r="I812" s="16" t="s">
        <v>61</v>
      </c>
    </row>
    <row r="813" spans="2:9" x14ac:dyDescent="0.25">
      <c r="B813" s="16" t="s">
        <v>210</v>
      </c>
      <c r="C813" s="17">
        <v>45075</v>
      </c>
      <c r="D813" s="16">
        <v>1226474</v>
      </c>
      <c r="E813" s="16">
        <v>9797</v>
      </c>
      <c r="F813" s="18" t="s">
        <v>136</v>
      </c>
      <c r="G813" s="16" t="s">
        <v>5</v>
      </c>
      <c r="H813" s="16" t="s">
        <v>28</v>
      </c>
      <c r="I813" s="16" t="s">
        <v>61</v>
      </c>
    </row>
    <row r="814" spans="2:9" x14ac:dyDescent="0.25">
      <c r="B814" s="16" t="s">
        <v>210</v>
      </c>
      <c r="C814" s="17">
        <v>45075</v>
      </c>
      <c r="D814" s="16">
        <v>1226475</v>
      </c>
      <c r="E814" s="16">
        <v>9797</v>
      </c>
      <c r="F814" s="18" t="s">
        <v>136</v>
      </c>
      <c r="G814" s="16" t="s">
        <v>5</v>
      </c>
      <c r="H814" s="16" t="s">
        <v>28</v>
      </c>
      <c r="I814" s="16" t="s">
        <v>61</v>
      </c>
    </row>
    <row r="815" spans="2:9" x14ac:dyDescent="0.25">
      <c r="B815" s="16" t="s">
        <v>210</v>
      </c>
      <c r="C815" s="17">
        <v>45075</v>
      </c>
      <c r="D815" s="16">
        <v>1226476</v>
      </c>
      <c r="E815" s="16">
        <v>9797</v>
      </c>
      <c r="F815" s="18" t="s">
        <v>136</v>
      </c>
      <c r="G815" s="16" t="s">
        <v>5</v>
      </c>
      <c r="H815" s="16" t="s">
        <v>28</v>
      </c>
      <c r="I815" s="16" t="s">
        <v>61</v>
      </c>
    </row>
    <row r="816" spans="2:9" x14ac:dyDescent="0.25">
      <c r="B816" s="16" t="s">
        <v>210</v>
      </c>
      <c r="C816" s="17">
        <v>45075</v>
      </c>
      <c r="D816" s="16">
        <v>1226477</v>
      </c>
      <c r="E816" s="16">
        <v>9797</v>
      </c>
      <c r="F816" s="18" t="s">
        <v>136</v>
      </c>
      <c r="G816" s="16" t="s">
        <v>5</v>
      </c>
      <c r="H816" s="16" t="s">
        <v>28</v>
      </c>
      <c r="I816" s="16" t="s">
        <v>61</v>
      </c>
    </row>
    <row r="817" spans="2:9" x14ac:dyDescent="0.25">
      <c r="B817" s="16" t="s">
        <v>40</v>
      </c>
      <c r="C817" s="17">
        <v>45075</v>
      </c>
      <c r="D817" s="16">
        <v>410308</v>
      </c>
      <c r="E817" s="16">
        <v>9397</v>
      </c>
      <c r="F817" s="18" t="s">
        <v>133</v>
      </c>
      <c r="G817" s="16" t="s">
        <v>93</v>
      </c>
      <c r="H817" s="16" t="s">
        <v>28</v>
      </c>
      <c r="I817" s="16" t="s">
        <v>61</v>
      </c>
    </row>
    <row r="818" spans="2:9" x14ac:dyDescent="0.25">
      <c r="B818" s="16" t="s">
        <v>40</v>
      </c>
      <c r="C818" s="17">
        <v>45075</v>
      </c>
      <c r="D818" s="16">
        <v>403989</v>
      </c>
      <c r="E818" s="16">
        <v>1216</v>
      </c>
      <c r="F818" s="18" t="s">
        <v>47</v>
      </c>
      <c r="G818" s="16" t="s">
        <v>3</v>
      </c>
      <c r="H818" s="16" t="s">
        <v>28</v>
      </c>
      <c r="I818" s="16" t="s">
        <v>61</v>
      </c>
    </row>
    <row r="819" spans="2:9" x14ac:dyDescent="0.25">
      <c r="B819" s="16" t="s">
        <v>26</v>
      </c>
      <c r="C819" s="17">
        <v>45075</v>
      </c>
      <c r="D819" s="16">
        <v>236299</v>
      </c>
      <c r="E819" s="16">
        <v>10776</v>
      </c>
      <c r="F819" s="18" t="s">
        <v>239</v>
      </c>
      <c r="G819" s="16" t="s">
        <v>3</v>
      </c>
      <c r="H819" s="16" t="s">
        <v>46</v>
      </c>
      <c r="I819" s="16" t="s">
        <v>51</v>
      </c>
    </row>
    <row r="820" spans="2:9" x14ac:dyDescent="0.25">
      <c r="B820" s="16" t="s">
        <v>26</v>
      </c>
      <c r="C820" s="17">
        <v>45075</v>
      </c>
      <c r="D820" s="16">
        <v>236300</v>
      </c>
      <c r="E820" s="16">
        <v>10776</v>
      </c>
      <c r="F820" s="18" t="s">
        <v>239</v>
      </c>
      <c r="G820" s="16" t="s">
        <v>3</v>
      </c>
      <c r="H820" s="16" t="s">
        <v>46</v>
      </c>
      <c r="I820" s="16" t="s">
        <v>51</v>
      </c>
    </row>
    <row r="821" spans="2:9" x14ac:dyDescent="0.25">
      <c r="B821" s="16" t="s">
        <v>26</v>
      </c>
      <c r="C821" s="17">
        <v>45075</v>
      </c>
      <c r="D821" s="16">
        <v>161738</v>
      </c>
      <c r="E821" s="16">
        <v>2471</v>
      </c>
      <c r="F821" s="18" t="s">
        <v>207</v>
      </c>
      <c r="G821" s="16" t="s">
        <v>5</v>
      </c>
      <c r="H821" s="16" t="s">
        <v>46</v>
      </c>
      <c r="I821" s="16" t="s">
        <v>51</v>
      </c>
    </row>
    <row r="822" spans="2:9" x14ac:dyDescent="0.25">
      <c r="B822" s="16" t="s">
        <v>26</v>
      </c>
      <c r="C822" s="17">
        <v>45075</v>
      </c>
      <c r="D822" s="16">
        <v>1110648</v>
      </c>
      <c r="E822" s="16">
        <v>1139</v>
      </c>
      <c r="F822" s="18" t="s">
        <v>66</v>
      </c>
      <c r="G822" s="16" t="s">
        <v>16</v>
      </c>
      <c r="H822" s="16" t="s">
        <v>46</v>
      </c>
      <c r="I822" s="16" t="s">
        <v>17</v>
      </c>
    </row>
    <row r="823" spans="2:9" x14ac:dyDescent="0.25">
      <c r="B823" s="16" t="s">
        <v>26</v>
      </c>
      <c r="C823" s="17">
        <v>45075</v>
      </c>
      <c r="D823" s="16">
        <v>1840</v>
      </c>
      <c r="E823" s="16">
        <v>70670</v>
      </c>
      <c r="F823" s="18" t="s">
        <v>101</v>
      </c>
      <c r="G823" s="16" t="s">
        <v>3</v>
      </c>
      <c r="H823" s="16" t="s">
        <v>46</v>
      </c>
      <c r="I823" s="16" t="s">
        <v>17</v>
      </c>
    </row>
    <row r="824" spans="2:9" x14ac:dyDescent="0.25">
      <c r="B824" s="16" t="s">
        <v>2</v>
      </c>
      <c r="C824" s="17">
        <v>45075</v>
      </c>
      <c r="D824" s="16">
        <v>532778</v>
      </c>
      <c r="E824" s="16">
        <v>1008</v>
      </c>
      <c r="F824" s="18" t="s">
        <v>74</v>
      </c>
      <c r="G824" s="16" t="s">
        <v>16</v>
      </c>
      <c r="H824" s="16" t="s">
        <v>46</v>
      </c>
      <c r="I824" s="16" t="s">
        <v>17</v>
      </c>
    </row>
    <row r="825" spans="2:9" x14ac:dyDescent="0.25">
      <c r="B825" s="16" t="s">
        <v>2</v>
      </c>
      <c r="C825" s="17">
        <v>45075</v>
      </c>
      <c r="D825" s="16">
        <v>532779</v>
      </c>
      <c r="E825" s="16">
        <v>1008</v>
      </c>
      <c r="F825" s="18" t="s">
        <v>74</v>
      </c>
      <c r="G825" s="16" t="s">
        <v>16</v>
      </c>
      <c r="H825" s="16" t="s">
        <v>46</v>
      </c>
      <c r="I825" s="16" t="s">
        <v>17</v>
      </c>
    </row>
    <row r="826" spans="2:9" x14ac:dyDescent="0.25">
      <c r="B826" s="16" t="s">
        <v>26</v>
      </c>
      <c r="C826" s="17">
        <v>45075</v>
      </c>
      <c r="D826" s="16">
        <v>172607</v>
      </c>
      <c r="E826" s="16">
        <v>9599</v>
      </c>
      <c r="F826" s="18" t="s">
        <v>43</v>
      </c>
      <c r="G826" s="16" t="s">
        <v>16</v>
      </c>
      <c r="H826" s="16" t="s">
        <v>46</v>
      </c>
      <c r="I826" s="16" t="s">
        <v>17</v>
      </c>
    </row>
    <row r="827" spans="2:9" x14ac:dyDescent="0.25">
      <c r="B827" s="16" t="s">
        <v>26</v>
      </c>
      <c r="C827" s="17">
        <v>45075</v>
      </c>
      <c r="D827" s="16">
        <v>172608</v>
      </c>
      <c r="E827" s="16">
        <v>9599</v>
      </c>
      <c r="F827" s="18" t="s">
        <v>43</v>
      </c>
      <c r="G827" s="16" t="s">
        <v>16</v>
      </c>
      <c r="H827" s="16" t="s">
        <v>46</v>
      </c>
      <c r="I827" s="16" t="s">
        <v>17</v>
      </c>
    </row>
    <row r="828" spans="2:9" x14ac:dyDescent="0.25">
      <c r="B828" s="16" t="s">
        <v>40</v>
      </c>
      <c r="C828" s="17">
        <v>45075</v>
      </c>
      <c r="D828" s="16">
        <v>36141</v>
      </c>
      <c r="E828" s="16">
        <v>7341</v>
      </c>
      <c r="F828" s="18" t="s">
        <v>56</v>
      </c>
      <c r="G828" s="16" t="s">
        <v>93</v>
      </c>
      <c r="H828" s="16" t="s">
        <v>46</v>
      </c>
      <c r="I828" s="16" t="s">
        <v>51</v>
      </c>
    </row>
    <row r="829" spans="2:9" x14ac:dyDescent="0.25">
      <c r="B829" s="16" t="s">
        <v>40</v>
      </c>
      <c r="C829" s="17">
        <v>45075</v>
      </c>
      <c r="D829" s="16">
        <v>36282</v>
      </c>
      <c r="E829" s="16">
        <v>7341</v>
      </c>
      <c r="F829" s="18" t="s">
        <v>56</v>
      </c>
      <c r="G829" s="16" t="s">
        <v>93</v>
      </c>
      <c r="H829" s="16" t="s">
        <v>46</v>
      </c>
      <c r="I829" s="16" t="s">
        <v>51</v>
      </c>
    </row>
    <row r="830" spans="2:9" x14ac:dyDescent="0.25">
      <c r="B830" s="16" t="s">
        <v>210</v>
      </c>
      <c r="C830" s="17">
        <v>45075</v>
      </c>
      <c r="D830" s="16">
        <v>825455</v>
      </c>
      <c r="E830" s="16">
        <v>3040</v>
      </c>
      <c r="F830" s="16" t="s">
        <v>250</v>
      </c>
      <c r="G830" s="16" t="s">
        <v>3</v>
      </c>
      <c r="H830" s="16" t="s">
        <v>39</v>
      </c>
      <c r="I830" s="16" t="s">
        <v>232</v>
      </c>
    </row>
    <row r="831" spans="2:9" x14ac:dyDescent="0.25">
      <c r="B831" s="16" t="s">
        <v>210</v>
      </c>
      <c r="C831" s="17">
        <v>45075</v>
      </c>
      <c r="D831" s="16">
        <v>825454</v>
      </c>
      <c r="E831" s="16">
        <v>3040</v>
      </c>
      <c r="F831" s="16" t="s">
        <v>250</v>
      </c>
      <c r="G831" s="16" t="s">
        <v>3</v>
      </c>
      <c r="H831" s="16" t="s">
        <v>39</v>
      </c>
      <c r="I831" s="16" t="s">
        <v>232</v>
      </c>
    </row>
    <row r="832" spans="2:9" x14ac:dyDescent="0.25">
      <c r="B832" s="16" t="s">
        <v>2</v>
      </c>
      <c r="C832" s="17">
        <v>45075</v>
      </c>
      <c r="D832" s="16">
        <v>962644</v>
      </c>
      <c r="E832" s="16">
        <v>9403</v>
      </c>
      <c r="F832" s="18" t="s">
        <v>153</v>
      </c>
      <c r="G832" s="16" t="s">
        <v>5</v>
      </c>
      <c r="H832" s="16" t="s">
        <v>221</v>
      </c>
      <c r="I832" s="16" t="s">
        <v>57</v>
      </c>
    </row>
    <row r="833" spans="2:9" x14ac:dyDescent="0.25">
      <c r="B833" s="16" t="s">
        <v>26</v>
      </c>
      <c r="C833" s="17">
        <v>45075</v>
      </c>
      <c r="D833" s="16">
        <v>53189</v>
      </c>
      <c r="E833" s="16">
        <v>9451</v>
      </c>
      <c r="F833" s="18" t="s">
        <v>195</v>
      </c>
      <c r="G833" s="16" t="s">
        <v>16</v>
      </c>
      <c r="H833" s="16" t="s">
        <v>186</v>
      </c>
      <c r="I833" s="16" t="s">
        <v>61</v>
      </c>
    </row>
    <row r="834" spans="2:9" x14ac:dyDescent="0.25">
      <c r="B834" s="16" t="s">
        <v>22</v>
      </c>
      <c r="C834" s="17">
        <v>45075</v>
      </c>
      <c r="D834" s="16">
        <v>8398440</v>
      </c>
      <c r="E834" s="16">
        <v>9389</v>
      </c>
      <c r="F834" s="18" t="s">
        <v>119</v>
      </c>
      <c r="G834" s="16" t="s">
        <v>52</v>
      </c>
      <c r="H834" s="16" t="s">
        <v>186</v>
      </c>
      <c r="I834" s="16" t="s">
        <v>61</v>
      </c>
    </row>
    <row r="835" spans="2:9" x14ac:dyDescent="0.25">
      <c r="B835" s="16" t="s">
        <v>33</v>
      </c>
      <c r="C835" s="17">
        <v>45075</v>
      </c>
      <c r="D835" s="16">
        <v>410333</v>
      </c>
      <c r="E835" s="16">
        <v>9397</v>
      </c>
      <c r="F835" s="18" t="s">
        <v>133</v>
      </c>
      <c r="G835" s="16" t="s">
        <v>93</v>
      </c>
      <c r="H835" s="16" t="s">
        <v>186</v>
      </c>
      <c r="I835" s="16" t="s">
        <v>242</v>
      </c>
    </row>
    <row r="836" spans="2:9" x14ac:dyDescent="0.25">
      <c r="B836" s="16" t="s">
        <v>33</v>
      </c>
      <c r="C836" s="17">
        <v>45075</v>
      </c>
      <c r="D836" s="16">
        <v>53188</v>
      </c>
      <c r="E836" s="16">
        <v>9451</v>
      </c>
      <c r="F836" s="18" t="s">
        <v>195</v>
      </c>
      <c r="G836" s="16" t="s">
        <v>16</v>
      </c>
      <c r="H836" s="16" t="s">
        <v>186</v>
      </c>
      <c r="I836" s="16" t="s">
        <v>61</v>
      </c>
    </row>
    <row r="837" spans="2:9" x14ac:dyDescent="0.25">
      <c r="B837" s="16" t="s">
        <v>40</v>
      </c>
      <c r="C837" s="17">
        <v>45075</v>
      </c>
      <c r="D837" s="16">
        <v>975753</v>
      </c>
      <c r="E837" s="16">
        <v>9434</v>
      </c>
      <c r="F837" s="18" t="s">
        <v>23</v>
      </c>
      <c r="G837" s="16" t="s">
        <v>16</v>
      </c>
      <c r="H837" s="16" t="s">
        <v>186</v>
      </c>
      <c r="I837" s="16" t="s">
        <v>61</v>
      </c>
    </row>
    <row r="838" spans="2:9" x14ac:dyDescent="0.25">
      <c r="B838" s="16" t="s">
        <v>26</v>
      </c>
      <c r="C838" s="17">
        <v>45075</v>
      </c>
      <c r="D838" s="16">
        <v>1124921</v>
      </c>
      <c r="E838" s="16">
        <v>9516</v>
      </c>
      <c r="F838" s="18" t="s">
        <v>110</v>
      </c>
      <c r="G838" s="16" t="s">
        <v>16</v>
      </c>
      <c r="H838" s="16" t="s">
        <v>184</v>
      </c>
      <c r="I838" s="16" t="s">
        <v>61</v>
      </c>
    </row>
    <row r="839" spans="2:9" x14ac:dyDescent="0.25">
      <c r="B839" s="16" t="s">
        <v>2</v>
      </c>
      <c r="C839" s="17">
        <v>45075</v>
      </c>
      <c r="D839" s="16">
        <v>1266638</v>
      </c>
      <c r="E839" s="16">
        <v>9388</v>
      </c>
      <c r="F839" s="18" t="s">
        <v>165</v>
      </c>
      <c r="G839" s="16" t="s">
        <v>5</v>
      </c>
      <c r="H839" s="16" t="s">
        <v>184</v>
      </c>
      <c r="I839" s="16" t="s">
        <v>243</v>
      </c>
    </row>
    <row r="840" spans="2:9" x14ac:dyDescent="0.25">
      <c r="B840" s="16" t="s">
        <v>40</v>
      </c>
      <c r="C840" s="17">
        <v>45075</v>
      </c>
      <c r="D840" s="16">
        <v>975758</v>
      </c>
      <c r="E840" s="16">
        <v>9434</v>
      </c>
      <c r="F840" s="18" t="s">
        <v>23</v>
      </c>
      <c r="G840" s="16" t="s">
        <v>5</v>
      </c>
      <c r="H840" s="16" t="s">
        <v>184</v>
      </c>
      <c r="I840" s="16" t="s">
        <v>61</v>
      </c>
    </row>
    <row r="841" spans="2:9" x14ac:dyDescent="0.25">
      <c r="B841" s="16" t="s">
        <v>26</v>
      </c>
      <c r="C841" s="17">
        <v>45075</v>
      </c>
      <c r="D841" s="16">
        <v>124175</v>
      </c>
      <c r="E841" s="16">
        <v>13090</v>
      </c>
      <c r="F841" s="18" t="s">
        <v>241</v>
      </c>
      <c r="G841" s="16" t="s">
        <v>7</v>
      </c>
      <c r="H841" s="16" t="s">
        <v>114</v>
      </c>
      <c r="I841" s="16" t="s">
        <v>17</v>
      </c>
    </row>
    <row r="842" spans="2:9" x14ac:dyDescent="0.25">
      <c r="B842" s="16" t="s">
        <v>33</v>
      </c>
      <c r="C842" s="17">
        <v>45075</v>
      </c>
      <c r="D842" s="16">
        <v>236419</v>
      </c>
      <c r="E842" s="16">
        <v>1175</v>
      </c>
      <c r="F842" s="18" t="s">
        <v>81</v>
      </c>
      <c r="G842" s="16" t="s">
        <v>7</v>
      </c>
      <c r="H842" s="16" t="s">
        <v>38</v>
      </c>
      <c r="I842" s="16" t="s">
        <v>17</v>
      </c>
    </row>
    <row r="843" spans="2:9" x14ac:dyDescent="0.25">
      <c r="B843" s="16" t="s">
        <v>40</v>
      </c>
      <c r="C843" s="17">
        <v>45075</v>
      </c>
      <c r="D843" s="16">
        <v>236417</v>
      </c>
      <c r="E843" s="16">
        <v>1175</v>
      </c>
      <c r="F843" s="18" t="s">
        <v>81</v>
      </c>
      <c r="G843" s="16" t="s">
        <v>7</v>
      </c>
      <c r="H843" s="16" t="s">
        <v>38</v>
      </c>
      <c r="I843" s="16" t="s">
        <v>17</v>
      </c>
    </row>
    <row r="844" spans="2:9" x14ac:dyDescent="0.25">
      <c r="B844" s="16" t="s">
        <v>33</v>
      </c>
      <c r="C844" s="17">
        <v>45076</v>
      </c>
      <c r="D844" s="16">
        <v>36390</v>
      </c>
      <c r="E844" s="16">
        <v>7341</v>
      </c>
      <c r="F844" s="18" t="s">
        <v>56</v>
      </c>
      <c r="G844" s="16" t="s">
        <v>5</v>
      </c>
      <c r="H844" s="16" t="s">
        <v>71</v>
      </c>
      <c r="I844" s="16" t="s">
        <v>17</v>
      </c>
    </row>
    <row r="845" spans="2:9" x14ac:dyDescent="0.25">
      <c r="B845" s="16" t="s">
        <v>33</v>
      </c>
      <c r="C845" s="17">
        <v>45076</v>
      </c>
      <c r="D845" s="16">
        <v>36284</v>
      </c>
      <c r="E845" s="16">
        <v>7341</v>
      </c>
      <c r="F845" s="18" t="s">
        <v>56</v>
      </c>
      <c r="G845" s="16" t="s">
        <v>5</v>
      </c>
      <c r="H845" s="16" t="s">
        <v>71</v>
      </c>
      <c r="I845" s="16" t="s">
        <v>17</v>
      </c>
    </row>
    <row r="846" spans="2:9" x14ac:dyDescent="0.25">
      <c r="B846" s="16" t="s">
        <v>33</v>
      </c>
      <c r="C846" s="17">
        <v>45076</v>
      </c>
      <c r="D846" s="16">
        <v>587110</v>
      </c>
      <c r="E846" s="16">
        <v>6172</v>
      </c>
      <c r="F846" s="18" t="s">
        <v>64</v>
      </c>
      <c r="G846" s="16" t="s">
        <v>4</v>
      </c>
      <c r="H846" s="16" t="s">
        <v>71</v>
      </c>
      <c r="I846" s="16" t="s">
        <v>17</v>
      </c>
    </row>
    <row r="847" spans="2:9" x14ac:dyDescent="0.25">
      <c r="B847" s="16" t="s">
        <v>40</v>
      </c>
      <c r="C847" s="17">
        <v>45076</v>
      </c>
      <c r="D847" s="16">
        <v>831763</v>
      </c>
      <c r="E847" s="16">
        <v>3438</v>
      </c>
      <c r="F847" s="18" t="s">
        <v>200</v>
      </c>
      <c r="G847" s="16" t="s">
        <v>5</v>
      </c>
      <c r="H847" s="16" t="s">
        <v>71</v>
      </c>
      <c r="I847" s="16" t="s">
        <v>17</v>
      </c>
    </row>
    <row r="848" spans="2:9" x14ac:dyDescent="0.25">
      <c r="B848" s="16" t="s">
        <v>40</v>
      </c>
      <c r="C848" s="17">
        <v>45076</v>
      </c>
      <c r="D848" s="16">
        <v>831764</v>
      </c>
      <c r="E848" s="16">
        <v>3438</v>
      </c>
      <c r="F848" s="18" t="s">
        <v>200</v>
      </c>
      <c r="G848" s="16" t="s">
        <v>5</v>
      </c>
      <c r="H848" s="16" t="s">
        <v>71</v>
      </c>
      <c r="I848" s="16" t="s">
        <v>17</v>
      </c>
    </row>
    <row r="849" spans="2:9" x14ac:dyDescent="0.25">
      <c r="B849" s="16" t="s">
        <v>40</v>
      </c>
      <c r="C849" s="17">
        <v>45076</v>
      </c>
      <c r="D849" s="16">
        <v>2835359</v>
      </c>
      <c r="E849" s="16">
        <v>9468</v>
      </c>
      <c r="F849" s="18" t="s">
        <v>145</v>
      </c>
      <c r="G849" s="16" t="s">
        <v>5</v>
      </c>
      <c r="H849" s="16" t="s">
        <v>71</v>
      </c>
      <c r="I849" s="16" t="s">
        <v>17</v>
      </c>
    </row>
    <row r="850" spans="2:9" x14ac:dyDescent="0.25">
      <c r="B850" s="16" t="s">
        <v>40</v>
      </c>
      <c r="C850" s="17">
        <v>45076</v>
      </c>
      <c r="D850" s="16">
        <v>2835360</v>
      </c>
      <c r="E850" s="16">
        <v>9468</v>
      </c>
      <c r="F850" s="18" t="s">
        <v>145</v>
      </c>
      <c r="G850" s="16" t="s">
        <v>5</v>
      </c>
      <c r="H850" s="16" t="s">
        <v>71</v>
      </c>
      <c r="I850" s="16" t="s">
        <v>17</v>
      </c>
    </row>
    <row r="851" spans="2:9" x14ac:dyDescent="0.25">
      <c r="B851" s="16" t="s">
        <v>2</v>
      </c>
      <c r="C851" s="17">
        <v>45076</v>
      </c>
      <c r="D851" s="16">
        <v>971918</v>
      </c>
      <c r="E851" s="16">
        <v>10263</v>
      </c>
      <c r="F851" s="18" t="s">
        <v>34</v>
      </c>
      <c r="G851" s="16" t="s">
        <v>16</v>
      </c>
      <c r="H851" s="16" t="s">
        <v>36</v>
      </c>
      <c r="I851" s="16" t="s">
        <v>61</v>
      </c>
    </row>
    <row r="852" spans="2:9" x14ac:dyDescent="0.25">
      <c r="B852" s="16" t="s">
        <v>33</v>
      </c>
      <c r="C852" s="17">
        <v>45076</v>
      </c>
      <c r="D852" s="16">
        <v>972131</v>
      </c>
      <c r="E852" s="16">
        <v>10263</v>
      </c>
      <c r="F852" s="18" t="s">
        <v>34</v>
      </c>
      <c r="G852" s="16" t="s">
        <v>16</v>
      </c>
      <c r="H852" s="16" t="s">
        <v>36</v>
      </c>
      <c r="I852" s="16" t="s">
        <v>61</v>
      </c>
    </row>
    <row r="853" spans="2:9" x14ac:dyDescent="0.25">
      <c r="B853" s="16" t="s">
        <v>40</v>
      </c>
      <c r="C853" s="17">
        <v>45076</v>
      </c>
      <c r="D853" s="16">
        <v>971995</v>
      </c>
      <c r="E853" s="16">
        <v>10263</v>
      </c>
      <c r="F853" s="18" t="s">
        <v>34</v>
      </c>
      <c r="G853" s="16" t="s">
        <v>16</v>
      </c>
      <c r="H853" s="16" t="s">
        <v>36</v>
      </c>
      <c r="I853" s="16" t="s">
        <v>61</v>
      </c>
    </row>
    <row r="854" spans="2:9" x14ac:dyDescent="0.25">
      <c r="B854" s="16" t="s">
        <v>26</v>
      </c>
      <c r="C854" s="17">
        <v>45076</v>
      </c>
      <c r="D854" s="16">
        <v>972078</v>
      </c>
      <c r="E854" s="16">
        <v>10263</v>
      </c>
      <c r="F854" s="18" t="s">
        <v>34</v>
      </c>
      <c r="G854" s="16" t="s">
        <v>16</v>
      </c>
      <c r="H854" s="16" t="s">
        <v>49</v>
      </c>
      <c r="I854" s="16" t="s">
        <v>17</v>
      </c>
    </row>
    <row r="855" spans="2:9" x14ac:dyDescent="0.25">
      <c r="B855" s="16" t="s">
        <v>26</v>
      </c>
      <c r="C855" s="17">
        <v>45076</v>
      </c>
      <c r="D855" s="16">
        <v>236300</v>
      </c>
      <c r="E855" s="16">
        <v>10776</v>
      </c>
      <c r="F855" s="18" t="s">
        <v>239</v>
      </c>
      <c r="G855" s="16" t="s">
        <v>3</v>
      </c>
      <c r="H855" s="16" t="s">
        <v>49</v>
      </c>
      <c r="I855" s="16" t="s">
        <v>17</v>
      </c>
    </row>
    <row r="856" spans="2:9" x14ac:dyDescent="0.25">
      <c r="B856" s="16" t="s">
        <v>33</v>
      </c>
      <c r="C856" s="17">
        <v>45076</v>
      </c>
      <c r="D856" s="16">
        <v>972138</v>
      </c>
      <c r="E856" s="16">
        <v>10263</v>
      </c>
      <c r="F856" s="18" t="s">
        <v>34</v>
      </c>
      <c r="G856" s="16" t="s">
        <v>16</v>
      </c>
      <c r="H856" s="16" t="s">
        <v>49</v>
      </c>
      <c r="I856" s="16" t="s">
        <v>17</v>
      </c>
    </row>
    <row r="857" spans="2:9" x14ac:dyDescent="0.25">
      <c r="B857" s="16" t="s">
        <v>210</v>
      </c>
      <c r="C857" s="17">
        <v>45076</v>
      </c>
      <c r="D857" s="16">
        <v>8404199</v>
      </c>
      <c r="E857" s="16">
        <v>9389</v>
      </c>
      <c r="F857" s="18" t="s">
        <v>119</v>
      </c>
      <c r="G857" s="16" t="s">
        <v>3</v>
      </c>
      <c r="H857" s="16" t="s">
        <v>49</v>
      </c>
      <c r="I857" s="16" t="s">
        <v>17</v>
      </c>
    </row>
    <row r="858" spans="2:9" x14ac:dyDescent="0.25">
      <c r="B858" s="16" t="s">
        <v>33</v>
      </c>
      <c r="C858" s="17">
        <v>45076</v>
      </c>
      <c r="D858" s="16">
        <v>410333</v>
      </c>
      <c r="E858" s="16">
        <v>9397</v>
      </c>
      <c r="F858" s="18" t="s">
        <v>133</v>
      </c>
      <c r="G858" s="16" t="s">
        <v>93</v>
      </c>
      <c r="H858" s="16" t="s">
        <v>28</v>
      </c>
      <c r="I858" s="16" t="s">
        <v>17</v>
      </c>
    </row>
    <row r="859" spans="2:9" x14ac:dyDescent="0.25">
      <c r="B859" s="16" t="s">
        <v>22</v>
      </c>
      <c r="C859" s="17">
        <v>45076</v>
      </c>
      <c r="D859" s="16">
        <v>195101</v>
      </c>
      <c r="E859" s="16">
        <v>4949</v>
      </c>
      <c r="F859" s="18" t="s">
        <v>205</v>
      </c>
      <c r="G859" s="16" t="s">
        <v>52</v>
      </c>
      <c r="H859" s="16" t="s">
        <v>28</v>
      </c>
      <c r="I859" s="16" t="s">
        <v>245</v>
      </c>
    </row>
    <row r="860" spans="2:9" x14ac:dyDescent="0.25">
      <c r="B860" s="16" t="s">
        <v>22</v>
      </c>
      <c r="C860" s="17">
        <v>45076</v>
      </c>
      <c r="D860" s="16">
        <v>195099</v>
      </c>
      <c r="E860" s="16">
        <v>4949</v>
      </c>
      <c r="F860" s="18" t="s">
        <v>205</v>
      </c>
      <c r="G860" s="16" t="s">
        <v>52</v>
      </c>
      <c r="H860" s="16" t="s">
        <v>28</v>
      </c>
      <c r="I860" s="16" t="s">
        <v>245</v>
      </c>
    </row>
    <row r="861" spans="2:9" x14ac:dyDescent="0.25">
      <c r="B861" s="16" t="s">
        <v>22</v>
      </c>
      <c r="C861" s="17">
        <v>45076</v>
      </c>
      <c r="D861" s="16">
        <v>302419</v>
      </c>
      <c r="E861" s="16">
        <v>4949</v>
      </c>
      <c r="F861" s="18" t="s">
        <v>205</v>
      </c>
      <c r="G861" s="16" t="s">
        <v>52</v>
      </c>
      <c r="H861" s="16" t="s">
        <v>28</v>
      </c>
      <c r="I861" s="16" t="s">
        <v>245</v>
      </c>
    </row>
    <row r="862" spans="2:9" x14ac:dyDescent="0.25">
      <c r="B862" s="16" t="s">
        <v>22</v>
      </c>
      <c r="C862" s="17">
        <v>45076</v>
      </c>
      <c r="D862" s="16">
        <v>195100</v>
      </c>
      <c r="E862" s="16">
        <v>4949</v>
      </c>
      <c r="F862" s="18" t="s">
        <v>205</v>
      </c>
      <c r="G862" s="16" t="s">
        <v>52</v>
      </c>
      <c r="H862" s="16" t="s">
        <v>28</v>
      </c>
      <c r="I862" s="16" t="s">
        <v>245</v>
      </c>
    </row>
    <row r="863" spans="2:9" x14ac:dyDescent="0.25">
      <c r="B863" s="16" t="s">
        <v>22</v>
      </c>
      <c r="C863" s="17">
        <v>45076</v>
      </c>
      <c r="D863" s="16">
        <v>108398</v>
      </c>
      <c r="E863" s="16">
        <v>4949</v>
      </c>
      <c r="F863" s="18" t="s">
        <v>205</v>
      </c>
      <c r="G863" s="16" t="s">
        <v>52</v>
      </c>
      <c r="H863" s="16" t="s">
        <v>28</v>
      </c>
      <c r="I863" s="16" t="s">
        <v>245</v>
      </c>
    </row>
    <row r="864" spans="2:9" x14ac:dyDescent="0.25">
      <c r="B864" s="16" t="s">
        <v>22</v>
      </c>
      <c r="C864" s="17">
        <v>45076</v>
      </c>
      <c r="D864" s="16">
        <v>302420</v>
      </c>
      <c r="E864" s="16">
        <v>4949</v>
      </c>
      <c r="F864" s="18" t="s">
        <v>205</v>
      </c>
      <c r="G864" s="16" t="s">
        <v>52</v>
      </c>
      <c r="H864" s="16" t="s">
        <v>28</v>
      </c>
      <c r="I864" s="16" t="s">
        <v>245</v>
      </c>
    </row>
    <row r="865" spans="2:9" x14ac:dyDescent="0.25">
      <c r="B865" s="16" t="s">
        <v>2</v>
      </c>
      <c r="C865" s="17">
        <v>45076</v>
      </c>
      <c r="D865" s="16">
        <v>341270</v>
      </c>
      <c r="E865" s="16">
        <v>4638</v>
      </c>
      <c r="F865" s="18" t="s">
        <v>247</v>
      </c>
      <c r="G865" s="16" t="s">
        <v>16</v>
      </c>
      <c r="H865" s="16" t="s">
        <v>46</v>
      </c>
      <c r="I865" s="16" t="s">
        <v>17</v>
      </c>
    </row>
    <row r="866" spans="2:9" x14ac:dyDescent="0.25">
      <c r="B866" s="16" t="s">
        <v>26</v>
      </c>
      <c r="C866" s="17">
        <v>45076</v>
      </c>
      <c r="D866" s="16">
        <v>972114</v>
      </c>
      <c r="E866" s="16">
        <v>10263</v>
      </c>
      <c r="F866" s="18" t="s">
        <v>34</v>
      </c>
      <c r="G866" s="16" t="s">
        <v>16</v>
      </c>
      <c r="H866" s="16" t="s">
        <v>75</v>
      </c>
      <c r="I866" s="16" t="s">
        <v>61</v>
      </c>
    </row>
    <row r="867" spans="2:9" x14ac:dyDescent="0.25">
      <c r="B867" s="16" t="s">
        <v>40</v>
      </c>
      <c r="C867" s="17">
        <v>45076</v>
      </c>
      <c r="D867" s="16">
        <v>161734</v>
      </c>
      <c r="E867" s="16">
        <v>2471</v>
      </c>
      <c r="F867" s="18" t="s">
        <v>207</v>
      </c>
      <c r="G867" s="16" t="s">
        <v>5</v>
      </c>
      <c r="H867" s="16" t="s">
        <v>75</v>
      </c>
      <c r="I867" s="16" t="s">
        <v>17</v>
      </c>
    </row>
    <row r="868" spans="2:9" x14ac:dyDescent="0.25">
      <c r="B868" s="16" t="s">
        <v>40</v>
      </c>
      <c r="C868" s="17">
        <v>45076</v>
      </c>
      <c r="D868" s="16">
        <v>161526</v>
      </c>
      <c r="E868" s="16">
        <v>2471</v>
      </c>
      <c r="F868" s="18" t="s">
        <v>207</v>
      </c>
      <c r="G868" s="16" t="s">
        <v>5</v>
      </c>
      <c r="H868" s="16" t="s">
        <v>75</v>
      </c>
      <c r="I868" s="16" t="s">
        <v>17</v>
      </c>
    </row>
    <row r="869" spans="2:9" x14ac:dyDescent="0.25">
      <c r="B869" s="16" t="s">
        <v>40</v>
      </c>
      <c r="C869" s="17">
        <v>45076</v>
      </c>
      <c r="D869" s="16">
        <v>972051</v>
      </c>
      <c r="E869" s="16">
        <v>10263</v>
      </c>
      <c r="F869" s="18" t="s">
        <v>34</v>
      </c>
      <c r="G869" s="16" t="s">
        <v>16</v>
      </c>
      <c r="H869" s="16" t="s">
        <v>75</v>
      </c>
      <c r="I869" s="16" t="s">
        <v>73</v>
      </c>
    </row>
    <row r="870" spans="2:9" x14ac:dyDescent="0.25">
      <c r="B870" s="16" t="s">
        <v>33</v>
      </c>
      <c r="C870" s="17">
        <v>45076</v>
      </c>
      <c r="D870" s="16">
        <v>36143</v>
      </c>
      <c r="E870" s="16">
        <v>7341</v>
      </c>
      <c r="F870" s="18" t="s">
        <v>56</v>
      </c>
      <c r="G870" s="16" t="s">
        <v>5</v>
      </c>
      <c r="H870" s="16" t="s">
        <v>176</v>
      </c>
      <c r="I870" s="16" t="s">
        <v>32</v>
      </c>
    </row>
    <row r="871" spans="2:9" x14ac:dyDescent="0.25">
      <c r="B871" s="16" t="s">
        <v>26</v>
      </c>
      <c r="C871" s="17">
        <v>45076</v>
      </c>
      <c r="D871" s="16">
        <v>972091</v>
      </c>
      <c r="E871" s="16">
        <v>10263</v>
      </c>
      <c r="F871" s="18" t="s">
        <v>34</v>
      </c>
      <c r="G871" s="16" t="s">
        <v>16</v>
      </c>
      <c r="H871" s="16" t="s">
        <v>39</v>
      </c>
      <c r="I871" s="16" t="s">
        <v>61</v>
      </c>
    </row>
    <row r="872" spans="2:9" x14ac:dyDescent="0.25">
      <c r="B872" s="16" t="s">
        <v>33</v>
      </c>
      <c r="C872" s="17">
        <v>45076</v>
      </c>
      <c r="D872" s="16">
        <v>278737</v>
      </c>
      <c r="E872" s="16">
        <v>9519</v>
      </c>
      <c r="F872" s="18" t="s">
        <v>95</v>
      </c>
      <c r="G872" s="16" t="s">
        <v>5</v>
      </c>
      <c r="H872" s="16" t="s">
        <v>221</v>
      </c>
      <c r="I872" s="16" t="s">
        <v>61</v>
      </c>
    </row>
    <row r="873" spans="2:9" x14ac:dyDescent="0.25">
      <c r="B873" s="16" t="s">
        <v>22</v>
      </c>
      <c r="C873" s="17">
        <v>45076</v>
      </c>
      <c r="D873" s="16">
        <v>262499</v>
      </c>
      <c r="E873" s="16">
        <v>37945</v>
      </c>
      <c r="F873" s="18" t="s">
        <v>166</v>
      </c>
      <c r="G873" s="16" t="s">
        <v>5</v>
      </c>
      <c r="H873" s="16" t="s">
        <v>186</v>
      </c>
      <c r="I873" s="16" t="s">
        <v>57</v>
      </c>
    </row>
    <row r="874" spans="2:9" x14ac:dyDescent="0.25">
      <c r="B874" s="16" t="s">
        <v>33</v>
      </c>
      <c r="C874" s="17">
        <v>45076</v>
      </c>
      <c r="D874" s="16">
        <v>262426</v>
      </c>
      <c r="E874" s="16">
        <v>37945</v>
      </c>
      <c r="F874" s="18" t="s">
        <v>166</v>
      </c>
      <c r="G874" s="16" t="s">
        <v>5</v>
      </c>
      <c r="H874" s="16" t="s">
        <v>186</v>
      </c>
      <c r="I874" s="16" t="s">
        <v>61</v>
      </c>
    </row>
    <row r="875" spans="2:9" x14ac:dyDescent="0.25">
      <c r="B875" s="16" t="s">
        <v>2</v>
      </c>
      <c r="C875" s="17">
        <v>45076</v>
      </c>
      <c r="D875" s="16">
        <v>975713</v>
      </c>
      <c r="E875" s="16">
        <v>9434</v>
      </c>
      <c r="F875" s="18" t="s">
        <v>23</v>
      </c>
      <c r="G875" s="16" t="s">
        <v>6</v>
      </c>
      <c r="H875" s="16" t="s">
        <v>186</v>
      </c>
      <c r="I875" s="16" t="s">
        <v>61</v>
      </c>
    </row>
    <row r="876" spans="2:9" x14ac:dyDescent="0.25">
      <c r="B876" s="16" t="s">
        <v>33</v>
      </c>
      <c r="C876" s="17">
        <v>45076</v>
      </c>
      <c r="D876" s="16">
        <v>972157</v>
      </c>
      <c r="E876" s="16">
        <v>10263</v>
      </c>
      <c r="F876" s="18" t="s">
        <v>34</v>
      </c>
      <c r="G876" s="16" t="s">
        <v>16</v>
      </c>
      <c r="H876" s="16" t="s">
        <v>186</v>
      </c>
      <c r="I876" s="16" t="s">
        <v>61</v>
      </c>
    </row>
    <row r="877" spans="2:9" x14ac:dyDescent="0.25">
      <c r="B877" s="16" t="s">
        <v>33</v>
      </c>
      <c r="C877" s="17">
        <v>45076</v>
      </c>
      <c r="D877" s="16">
        <v>972180</v>
      </c>
      <c r="E877" s="16">
        <v>10263</v>
      </c>
      <c r="F877" s="18" t="s">
        <v>34</v>
      </c>
      <c r="G877" s="16" t="s">
        <v>16</v>
      </c>
      <c r="H877" s="16" t="s">
        <v>186</v>
      </c>
      <c r="I877" s="16" t="s">
        <v>61</v>
      </c>
    </row>
    <row r="878" spans="2:9" x14ac:dyDescent="0.25">
      <c r="B878" s="16" t="s">
        <v>33</v>
      </c>
      <c r="C878" s="17">
        <v>45076</v>
      </c>
      <c r="D878" s="16">
        <v>278751</v>
      </c>
      <c r="E878" s="16">
        <v>9519</v>
      </c>
      <c r="F878" s="18" t="s">
        <v>95</v>
      </c>
      <c r="G878" s="16" t="s">
        <v>5</v>
      </c>
      <c r="H878" s="16" t="s">
        <v>186</v>
      </c>
      <c r="I878" s="16" t="s">
        <v>61</v>
      </c>
    </row>
    <row r="879" spans="2:9" x14ac:dyDescent="0.25">
      <c r="B879" s="16" t="s">
        <v>210</v>
      </c>
      <c r="C879" s="17">
        <v>45076</v>
      </c>
      <c r="D879" s="16">
        <v>4827304</v>
      </c>
      <c r="E879" s="16">
        <v>9430</v>
      </c>
      <c r="F879" s="18" t="s">
        <v>185</v>
      </c>
      <c r="G879" s="16" t="s">
        <v>16</v>
      </c>
      <c r="H879" s="16" t="s">
        <v>186</v>
      </c>
      <c r="I879" s="16" t="s">
        <v>59</v>
      </c>
    </row>
    <row r="880" spans="2:9" x14ac:dyDescent="0.25">
      <c r="B880" s="16" t="s">
        <v>2</v>
      </c>
      <c r="C880" s="17">
        <v>45076</v>
      </c>
      <c r="D880" s="16">
        <v>3071</v>
      </c>
      <c r="E880" s="16">
        <v>70670</v>
      </c>
      <c r="F880" s="18" t="s">
        <v>101</v>
      </c>
      <c r="G880" s="16" t="s">
        <v>3</v>
      </c>
      <c r="H880" s="16" t="s">
        <v>184</v>
      </c>
      <c r="I880" s="16" t="s">
        <v>61</v>
      </c>
    </row>
    <row r="881" spans="2:9" x14ac:dyDescent="0.25">
      <c r="B881" s="16" t="s">
        <v>210</v>
      </c>
      <c r="C881" s="17">
        <v>45076</v>
      </c>
      <c r="D881" s="16">
        <v>262564</v>
      </c>
      <c r="E881" s="16">
        <v>37945</v>
      </c>
      <c r="F881" s="18" t="s">
        <v>166</v>
      </c>
      <c r="G881" s="16" t="s">
        <v>5</v>
      </c>
      <c r="H881" s="16" t="s">
        <v>184</v>
      </c>
      <c r="I881" s="16" t="s">
        <v>235</v>
      </c>
    </row>
    <row r="882" spans="2:9" x14ac:dyDescent="0.25">
      <c r="B882" s="16" t="s">
        <v>2</v>
      </c>
      <c r="C882" s="17">
        <v>45076</v>
      </c>
      <c r="D882" s="16">
        <v>971950</v>
      </c>
      <c r="E882" s="16">
        <v>10263</v>
      </c>
      <c r="F882" s="18" t="s">
        <v>34</v>
      </c>
      <c r="G882" s="16" t="s">
        <v>16</v>
      </c>
      <c r="H882" s="16" t="s">
        <v>184</v>
      </c>
      <c r="I882" s="16" t="s">
        <v>61</v>
      </c>
    </row>
    <row r="883" spans="2:9" x14ac:dyDescent="0.25">
      <c r="B883" s="16" t="s">
        <v>2</v>
      </c>
      <c r="C883" s="17">
        <v>45076</v>
      </c>
      <c r="D883" s="16">
        <v>971972</v>
      </c>
      <c r="E883" s="16">
        <v>10263</v>
      </c>
      <c r="F883" s="18" t="s">
        <v>34</v>
      </c>
      <c r="G883" s="16" t="s">
        <v>16</v>
      </c>
      <c r="H883" s="16" t="s">
        <v>184</v>
      </c>
      <c r="I883" s="16" t="s">
        <v>61</v>
      </c>
    </row>
    <row r="884" spans="2:9" x14ac:dyDescent="0.25">
      <c r="B884" s="16" t="s">
        <v>40</v>
      </c>
      <c r="C884" s="17">
        <v>45076</v>
      </c>
      <c r="D884" s="16">
        <v>972025</v>
      </c>
      <c r="E884" s="16">
        <v>10263</v>
      </c>
      <c r="F884" s="18" t="s">
        <v>34</v>
      </c>
      <c r="G884" s="16" t="s">
        <v>16</v>
      </c>
      <c r="H884" s="16" t="s">
        <v>184</v>
      </c>
      <c r="I884" s="16" t="s">
        <v>61</v>
      </c>
    </row>
    <row r="885" spans="2:9" x14ac:dyDescent="0.25">
      <c r="B885" s="16" t="s">
        <v>22</v>
      </c>
      <c r="C885" s="17">
        <v>45076</v>
      </c>
      <c r="D885" s="16">
        <v>971695</v>
      </c>
      <c r="E885" s="16">
        <v>10263</v>
      </c>
      <c r="F885" s="18" t="s">
        <v>34</v>
      </c>
      <c r="G885" s="16" t="s">
        <v>16</v>
      </c>
      <c r="H885" s="16" t="s">
        <v>184</v>
      </c>
      <c r="I885" s="16" t="s">
        <v>61</v>
      </c>
    </row>
    <row r="886" spans="2:9" x14ac:dyDescent="0.25">
      <c r="B886" s="16" t="s">
        <v>22</v>
      </c>
      <c r="C886" s="17">
        <v>45076</v>
      </c>
      <c r="D886" s="16">
        <v>971688</v>
      </c>
      <c r="E886" s="16">
        <v>10263</v>
      </c>
      <c r="F886" s="18" t="s">
        <v>34</v>
      </c>
      <c r="G886" s="16" t="s">
        <v>16</v>
      </c>
      <c r="H886" s="16" t="s">
        <v>184</v>
      </c>
      <c r="I886" s="16" t="s">
        <v>61</v>
      </c>
    </row>
    <row r="887" spans="2:9" x14ac:dyDescent="0.25">
      <c r="B887" s="16" t="s">
        <v>22</v>
      </c>
      <c r="C887" s="17">
        <v>45076</v>
      </c>
      <c r="D887" s="16">
        <v>971663</v>
      </c>
      <c r="E887" s="16">
        <v>10263</v>
      </c>
      <c r="F887" s="18" t="s">
        <v>34</v>
      </c>
      <c r="G887" s="16" t="s">
        <v>16</v>
      </c>
      <c r="H887" s="16" t="s">
        <v>184</v>
      </c>
      <c r="I887" s="16" t="s">
        <v>61</v>
      </c>
    </row>
    <row r="888" spans="2:9" x14ac:dyDescent="0.25">
      <c r="B888" s="16" t="s">
        <v>40</v>
      </c>
      <c r="C888" s="17">
        <v>45076</v>
      </c>
      <c r="D888" s="16">
        <v>262453</v>
      </c>
      <c r="E888" s="16">
        <v>37945</v>
      </c>
      <c r="F888" s="18" t="s">
        <v>166</v>
      </c>
      <c r="G888" s="16" t="s">
        <v>5</v>
      </c>
      <c r="H888" s="16" t="s">
        <v>184</v>
      </c>
      <c r="I888" s="16" t="s">
        <v>61</v>
      </c>
    </row>
    <row r="889" spans="2:9" x14ac:dyDescent="0.25">
      <c r="B889" s="16" t="s">
        <v>210</v>
      </c>
      <c r="C889" s="17">
        <v>45076</v>
      </c>
      <c r="D889" s="16">
        <v>57019</v>
      </c>
      <c r="E889" s="16">
        <v>11787</v>
      </c>
      <c r="F889" s="18" t="s">
        <v>244</v>
      </c>
      <c r="G889" s="16" t="s">
        <v>16</v>
      </c>
      <c r="H889" s="16" t="s">
        <v>114</v>
      </c>
      <c r="I889" s="16" t="s">
        <v>246</v>
      </c>
    </row>
    <row r="890" spans="2:9" x14ac:dyDescent="0.25">
      <c r="B890" s="16" t="s">
        <v>26</v>
      </c>
      <c r="C890" s="17">
        <v>45076</v>
      </c>
      <c r="D890" s="16">
        <v>8169</v>
      </c>
      <c r="E890" s="16">
        <v>67955</v>
      </c>
      <c r="F890" s="18" t="s">
        <v>181</v>
      </c>
      <c r="G890" s="16" t="s">
        <v>7</v>
      </c>
      <c r="H890" s="16" t="s">
        <v>38</v>
      </c>
      <c r="I890" s="16" t="s">
        <v>17</v>
      </c>
    </row>
    <row r="891" spans="2:9" x14ac:dyDescent="0.25">
      <c r="B891" s="16" t="s">
        <v>26</v>
      </c>
      <c r="C891" s="17">
        <v>45077</v>
      </c>
      <c r="D891" s="16">
        <v>48019</v>
      </c>
      <c r="E891" s="16">
        <v>4644</v>
      </c>
      <c r="F891" s="18" t="s">
        <v>209</v>
      </c>
      <c r="G891" s="16" t="s">
        <v>5</v>
      </c>
      <c r="H891" s="16" t="s">
        <v>71</v>
      </c>
      <c r="I891" s="16" t="s">
        <v>17</v>
      </c>
    </row>
    <row r="892" spans="2:9" x14ac:dyDescent="0.25">
      <c r="B892" s="16" t="s">
        <v>26</v>
      </c>
      <c r="C892" s="17">
        <v>45077</v>
      </c>
      <c r="D892" s="16">
        <v>482781</v>
      </c>
      <c r="E892" s="16">
        <v>9453</v>
      </c>
      <c r="F892" s="18" t="s">
        <v>249</v>
      </c>
      <c r="G892" s="16" t="s">
        <v>5</v>
      </c>
      <c r="H892" s="16" t="s">
        <v>71</v>
      </c>
      <c r="I892" s="16" t="s">
        <v>17</v>
      </c>
    </row>
    <row r="893" spans="2:9" x14ac:dyDescent="0.25">
      <c r="B893" s="16" t="s">
        <v>26</v>
      </c>
      <c r="C893" s="17">
        <v>45077</v>
      </c>
      <c r="D893" s="16">
        <v>483493</v>
      </c>
      <c r="E893" s="16">
        <v>9453</v>
      </c>
      <c r="F893" s="18" t="s">
        <v>249</v>
      </c>
      <c r="G893" s="16" t="s">
        <v>5</v>
      </c>
      <c r="H893" s="16" t="s">
        <v>71</v>
      </c>
      <c r="I893" s="16" t="s">
        <v>17</v>
      </c>
    </row>
    <row r="894" spans="2:9" x14ac:dyDescent="0.25">
      <c r="B894" s="16" t="s">
        <v>2</v>
      </c>
      <c r="C894" s="17">
        <v>45077</v>
      </c>
      <c r="D894" s="16">
        <v>297634</v>
      </c>
      <c r="E894" s="16">
        <v>66719</v>
      </c>
      <c r="F894" s="18" t="s">
        <v>180</v>
      </c>
      <c r="G894" s="16" t="s">
        <v>16</v>
      </c>
      <c r="H894" s="16" t="s">
        <v>36</v>
      </c>
      <c r="I894" s="16" t="s">
        <v>61</v>
      </c>
    </row>
    <row r="895" spans="2:9" x14ac:dyDescent="0.25">
      <c r="B895" s="16" t="s">
        <v>22</v>
      </c>
      <c r="C895" s="17">
        <v>45077</v>
      </c>
      <c r="D895" s="16">
        <v>2986</v>
      </c>
      <c r="E895" s="16">
        <v>70670</v>
      </c>
      <c r="F895" s="18" t="s">
        <v>101</v>
      </c>
      <c r="G895" s="16" t="s">
        <v>4</v>
      </c>
      <c r="H895" s="16" t="s">
        <v>49</v>
      </c>
      <c r="I895" s="16" t="s">
        <v>17</v>
      </c>
    </row>
    <row r="896" spans="2:9" x14ac:dyDescent="0.25">
      <c r="B896" s="16" t="s">
        <v>33</v>
      </c>
      <c r="C896" s="17">
        <v>45077</v>
      </c>
      <c r="D896" s="16">
        <v>19542</v>
      </c>
      <c r="E896" s="16">
        <v>70670</v>
      </c>
      <c r="F896" s="18" t="s">
        <v>101</v>
      </c>
      <c r="G896" s="16" t="s">
        <v>4</v>
      </c>
      <c r="H896" s="16" t="s">
        <v>46</v>
      </c>
      <c r="I896" s="16" t="s">
        <v>17</v>
      </c>
    </row>
    <row r="897" spans="2:9" x14ac:dyDescent="0.25">
      <c r="B897" s="16" t="s">
        <v>40</v>
      </c>
      <c r="C897" s="17">
        <v>45077</v>
      </c>
      <c r="D897" s="16">
        <v>50792</v>
      </c>
      <c r="E897" s="16">
        <v>9398</v>
      </c>
      <c r="F897" s="18" t="s">
        <v>65</v>
      </c>
      <c r="G897" s="16" t="s">
        <v>16</v>
      </c>
      <c r="H897" s="16" t="s">
        <v>41</v>
      </c>
      <c r="I897" s="16" t="s">
        <v>17</v>
      </c>
    </row>
    <row r="898" spans="2:9" x14ac:dyDescent="0.25">
      <c r="B898" s="16" t="s">
        <v>26</v>
      </c>
      <c r="C898" s="17">
        <v>45077</v>
      </c>
      <c r="D898" s="16">
        <v>59885</v>
      </c>
      <c r="E898" s="16">
        <v>10604</v>
      </c>
      <c r="F898" s="18" t="s">
        <v>248</v>
      </c>
      <c r="G898" s="16" t="s">
        <v>3</v>
      </c>
      <c r="H898" s="16" t="s">
        <v>228</v>
      </c>
      <c r="I898" s="16" t="s">
        <v>17</v>
      </c>
    </row>
    <row r="899" spans="2:9" x14ac:dyDescent="0.25">
      <c r="B899" s="16" t="s">
        <v>33</v>
      </c>
      <c r="C899" s="17">
        <v>45077</v>
      </c>
      <c r="D899" s="16">
        <v>50952</v>
      </c>
      <c r="E899" s="16">
        <v>9398</v>
      </c>
      <c r="F899" s="18" t="s">
        <v>65</v>
      </c>
      <c r="G899" s="16" t="s">
        <v>16</v>
      </c>
      <c r="H899" s="16" t="s">
        <v>190</v>
      </c>
      <c r="I899" s="16" t="s">
        <v>17</v>
      </c>
    </row>
    <row r="900" spans="2:9" x14ac:dyDescent="0.25">
      <c r="B900" s="16" t="s">
        <v>2</v>
      </c>
      <c r="C900" s="17">
        <v>45077</v>
      </c>
      <c r="D900" s="16">
        <v>50701</v>
      </c>
      <c r="E900" s="16">
        <v>9398</v>
      </c>
      <c r="F900" s="18" t="s">
        <v>65</v>
      </c>
      <c r="G900" s="16" t="s">
        <v>16</v>
      </c>
      <c r="H900" s="16" t="s">
        <v>190</v>
      </c>
      <c r="I900" s="16" t="s">
        <v>59</v>
      </c>
    </row>
    <row r="901" spans="2:9" x14ac:dyDescent="0.25">
      <c r="B901" s="16" t="s">
        <v>40</v>
      </c>
      <c r="C901" s="17">
        <v>45077</v>
      </c>
      <c r="D901" s="16">
        <v>8407125</v>
      </c>
      <c r="E901" s="16">
        <v>9389</v>
      </c>
      <c r="F901" s="18" t="s">
        <v>119</v>
      </c>
      <c r="G901" s="16" t="s">
        <v>4</v>
      </c>
      <c r="H901" s="16" t="s">
        <v>221</v>
      </c>
      <c r="I901" s="16" t="s">
        <v>61</v>
      </c>
    </row>
    <row r="902" spans="2:9" x14ac:dyDescent="0.25">
      <c r="B902" s="16" t="s">
        <v>33</v>
      </c>
      <c r="C902" s="17">
        <v>45077</v>
      </c>
      <c r="D902" s="16">
        <v>172815</v>
      </c>
      <c r="E902" s="16">
        <v>9599</v>
      </c>
      <c r="F902" s="18" t="s">
        <v>43</v>
      </c>
      <c r="G902" s="16" t="s">
        <v>5</v>
      </c>
      <c r="H902" s="16" t="s">
        <v>137</v>
      </c>
      <c r="I902" s="16" t="s">
        <v>17</v>
      </c>
    </row>
    <row r="903" spans="2:9" x14ac:dyDescent="0.25">
      <c r="B903" s="16" t="s">
        <v>26</v>
      </c>
      <c r="C903" s="17">
        <v>45077</v>
      </c>
      <c r="D903" s="16">
        <v>262668</v>
      </c>
      <c r="E903" s="16">
        <v>37945</v>
      </c>
      <c r="F903" s="18" t="s">
        <v>166</v>
      </c>
      <c r="G903" s="16" t="s">
        <v>5</v>
      </c>
      <c r="H903" s="16" t="s">
        <v>186</v>
      </c>
      <c r="I903" s="16" t="s">
        <v>57</v>
      </c>
    </row>
    <row r="904" spans="2:9" x14ac:dyDescent="0.25">
      <c r="B904" s="16" t="s">
        <v>2</v>
      </c>
      <c r="C904" s="17">
        <v>45077</v>
      </c>
      <c r="D904" s="16">
        <v>21352</v>
      </c>
      <c r="E904" s="16">
        <v>2740</v>
      </c>
      <c r="F904" s="18" t="s">
        <v>206</v>
      </c>
      <c r="G904" s="16" t="s">
        <v>16</v>
      </c>
      <c r="H904" s="16" t="s">
        <v>186</v>
      </c>
      <c r="I904" s="16" t="s">
        <v>61</v>
      </c>
    </row>
    <row r="905" spans="2:9" x14ac:dyDescent="0.25">
      <c r="B905" s="16" t="s">
        <v>2</v>
      </c>
      <c r="C905" s="17">
        <v>45077</v>
      </c>
      <c r="D905" s="16">
        <v>21353</v>
      </c>
      <c r="E905" s="16">
        <v>2740</v>
      </c>
      <c r="F905" s="18" t="s">
        <v>206</v>
      </c>
      <c r="G905" s="16" t="s">
        <v>16</v>
      </c>
      <c r="H905" s="16" t="s">
        <v>186</v>
      </c>
      <c r="I905" s="16" t="s">
        <v>61</v>
      </c>
    </row>
    <row r="906" spans="2:9" x14ac:dyDescent="0.25">
      <c r="B906" s="16" t="s">
        <v>26</v>
      </c>
      <c r="C906" s="17">
        <v>45077</v>
      </c>
      <c r="D906" s="16">
        <v>50643</v>
      </c>
      <c r="E906" s="16">
        <v>9398</v>
      </c>
      <c r="F906" s="18" t="s">
        <v>65</v>
      </c>
      <c r="G906" s="16" t="s">
        <v>16</v>
      </c>
      <c r="H906" s="16" t="s">
        <v>186</v>
      </c>
      <c r="I906" s="16" t="s">
        <v>61</v>
      </c>
    </row>
    <row r="907" spans="2:9" x14ac:dyDescent="0.25">
      <c r="B907" s="16" t="s">
        <v>26</v>
      </c>
      <c r="C907" s="17">
        <v>45077</v>
      </c>
      <c r="D907" s="16">
        <v>50644</v>
      </c>
      <c r="E907" s="16">
        <v>9398</v>
      </c>
      <c r="F907" s="18" t="s">
        <v>65</v>
      </c>
      <c r="G907" s="16" t="s">
        <v>16</v>
      </c>
      <c r="H907" s="16" t="s">
        <v>186</v>
      </c>
      <c r="I907" s="16" t="s">
        <v>61</v>
      </c>
    </row>
    <row r="908" spans="2:9" x14ac:dyDescent="0.25">
      <c r="B908" s="16" t="s">
        <v>40</v>
      </c>
      <c r="C908" s="17">
        <v>45077</v>
      </c>
      <c r="D908" s="16">
        <v>21350</v>
      </c>
      <c r="E908" s="16">
        <v>2740</v>
      </c>
      <c r="F908" s="18" t="s">
        <v>206</v>
      </c>
      <c r="G908" s="16" t="s">
        <v>16</v>
      </c>
      <c r="H908" s="16" t="s">
        <v>186</v>
      </c>
      <c r="I908" s="16" t="s">
        <v>61</v>
      </c>
    </row>
    <row r="909" spans="2:9" x14ac:dyDescent="0.25">
      <c r="B909" s="16" t="s">
        <v>40</v>
      </c>
      <c r="C909" s="17">
        <v>45077</v>
      </c>
      <c r="D909" s="16">
        <v>21351</v>
      </c>
      <c r="E909" s="16">
        <v>2740</v>
      </c>
      <c r="F909" s="18" t="s">
        <v>206</v>
      </c>
      <c r="G909" s="16" t="s">
        <v>16</v>
      </c>
      <c r="H909" s="16" t="s">
        <v>186</v>
      </c>
      <c r="I909" s="16" t="s">
        <v>61</v>
      </c>
    </row>
    <row r="910" spans="2:9" x14ac:dyDescent="0.25">
      <c r="B910" s="16" t="s">
        <v>33</v>
      </c>
      <c r="C910" s="17">
        <v>45077</v>
      </c>
      <c r="D910" s="16">
        <v>53211</v>
      </c>
      <c r="E910" s="16">
        <v>9451</v>
      </c>
      <c r="F910" s="18" t="s">
        <v>195</v>
      </c>
      <c r="G910" s="16" t="s">
        <v>16</v>
      </c>
      <c r="H910" s="16" t="s">
        <v>184</v>
      </c>
      <c r="I910" s="16" t="s">
        <v>61</v>
      </c>
    </row>
    <row r="911" spans="2:9" x14ac:dyDescent="0.25">
      <c r="B911" s="16" t="s">
        <v>33</v>
      </c>
      <c r="C911" s="17">
        <v>45077</v>
      </c>
      <c r="D911" s="16">
        <v>118485</v>
      </c>
      <c r="E911" s="16">
        <v>11604</v>
      </c>
      <c r="F911" s="18" t="s">
        <v>63</v>
      </c>
      <c r="G911" s="16" t="s">
        <v>6</v>
      </c>
      <c r="H911" s="16" t="s">
        <v>38</v>
      </c>
      <c r="I911" s="16" t="s">
        <v>17</v>
      </c>
    </row>
    <row r="912" spans="2:9" x14ac:dyDescent="0.25">
      <c r="B912" s="16" t="s">
        <v>40</v>
      </c>
      <c r="C912" s="17">
        <v>45077</v>
      </c>
      <c r="D912" s="16">
        <v>297958</v>
      </c>
      <c r="E912" s="16">
        <v>66719</v>
      </c>
      <c r="F912" s="18" t="s">
        <v>180</v>
      </c>
      <c r="G912" s="16" t="s">
        <v>16</v>
      </c>
      <c r="H912" s="16" t="s">
        <v>38</v>
      </c>
      <c r="I912" s="16" t="s">
        <v>61</v>
      </c>
    </row>
    <row r="913" spans="2:12" x14ac:dyDescent="0.25">
      <c r="B913" s="16" t="s">
        <v>26</v>
      </c>
      <c r="C913" s="17">
        <v>45077</v>
      </c>
      <c r="D913" s="16">
        <v>47855</v>
      </c>
      <c r="E913" s="16">
        <v>10348</v>
      </c>
      <c r="F913" s="18" t="s">
        <v>76</v>
      </c>
      <c r="G913" s="16" t="s">
        <v>7</v>
      </c>
      <c r="H913" s="16" t="s">
        <v>38</v>
      </c>
      <c r="I913" s="16" t="s">
        <v>17</v>
      </c>
    </row>
    <row r="914" spans="2:12" x14ac:dyDescent="0.25">
      <c r="B914" s="16" t="s">
        <v>33</v>
      </c>
      <c r="C914" s="17">
        <v>45078</v>
      </c>
      <c r="D914" s="16">
        <v>208443</v>
      </c>
      <c r="E914" s="16">
        <v>10910</v>
      </c>
      <c r="F914" s="18" t="s">
        <v>157</v>
      </c>
      <c r="G914" s="16" t="s">
        <v>3</v>
      </c>
      <c r="H914" s="16" t="s">
        <v>71</v>
      </c>
      <c r="I914" s="16" t="s">
        <v>17</v>
      </c>
    </row>
    <row r="915" spans="2:12" x14ac:dyDescent="0.25">
      <c r="B915" s="16" t="s">
        <v>33</v>
      </c>
      <c r="C915" s="17">
        <v>45078</v>
      </c>
      <c r="D915" s="16">
        <v>3122</v>
      </c>
      <c r="E915" s="16">
        <v>70670</v>
      </c>
      <c r="F915" s="18" t="s">
        <v>101</v>
      </c>
      <c r="G915" s="16" t="s">
        <v>3</v>
      </c>
      <c r="H915" s="16" t="s">
        <v>71</v>
      </c>
      <c r="I915" s="16" t="s">
        <v>17</v>
      </c>
    </row>
    <row r="916" spans="2:12" x14ac:dyDescent="0.25">
      <c r="B916" s="16" t="s">
        <v>33</v>
      </c>
      <c r="C916" s="17">
        <v>45078</v>
      </c>
      <c r="D916" s="16">
        <v>3123</v>
      </c>
      <c r="E916" s="16">
        <v>70670</v>
      </c>
      <c r="F916" s="18" t="s">
        <v>101</v>
      </c>
      <c r="G916" s="16" t="s">
        <v>3</v>
      </c>
      <c r="H916" s="16" t="s">
        <v>71</v>
      </c>
      <c r="I916" s="16" t="s">
        <v>17</v>
      </c>
    </row>
    <row r="917" spans="2:12" x14ac:dyDescent="0.25">
      <c r="B917" s="16" t="s">
        <v>33</v>
      </c>
      <c r="C917" s="17">
        <v>45078</v>
      </c>
      <c r="D917" s="16">
        <v>3121</v>
      </c>
      <c r="E917" s="16">
        <v>70670</v>
      </c>
      <c r="F917" s="18" t="s">
        <v>101</v>
      </c>
      <c r="G917" s="16" t="s">
        <v>3</v>
      </c>
      <c r="H917" s="16" t="s">
        <v>71</v>
      </c>
      <c r="I917" s="16" t="s">
        <v>17</v>
      </c>
    </row>
    <row r="918" spans="2:12" x14ac:dyDescent="0.25">
      <c r="B918" s="16" t="s">
        <v>33</v>
      </c>
      <c r="C918" s="17">
        <v>45078</v>
      </c>
      <c r="D918" s="16">
        <v>3120</v>
      </c>
      <c r="E918" s="16">
        <v>70670</v>
      </c>
      <c r="F918" s="18" t="s">
        <v>101</v>
      </c>
      <c r="G918" s="16" t="s">
        <v>3</v>
      </c>
      <c r="H918" s="16" t="s">
        <v>71</v>
      </c>
      <c r="I918" s="16" t="s">
        <v>17</v>
      </c>
      <c r="L918" t="s">
        <v>186</v>
      </c>
    </row>
    <row r="919" spans="2:12" x14ac:dyDescent="0.25">
      <c r="B919" s="16" t="s">
        <v>40</v>
      </c>
      <c r="C919" s="17">
        <v>45078</v>
      </c>
      <c r="D919" s="16">
        <v>263283</v>
      </c>
      <c r="E919" s="16">
        <v>37945</v>
      </c>
      <c r="F919" s="18" t="s">
        <v>166</v>
      </c>
      <c r="G919" s="16" t="s">
        <v>5</v>
      </c>
      <c r="H919" s="16" t="s">
        <v>71</v>
      </c>
      <c r="I919" s="16" t="s">
        <v>17</v>
      </c>
      <c r="L919" t="s">
        <v>184</v>
      </c>
    </row>
    <row r="920" spans="2:12" x14ac:dyDescent="0.25">
      <c r="B920" s="16" t="s">
        <v>2</v>
      </c>
      <c r="C920" s="17">
        <v>45078</v>
      </c>
      <c r="D920" s="16">
        <v>406455</v>
      </c>
      <c r="E920" s="16">
        <v>1263</v>
      </c>
      <c r="F920" s="18" t="s">
        <v>167</v>
      </c>
      <c r="G920" s="16" t="s">
        <v>52</v>
      </c>
      <c r="H920" s="16" t="s">
        <v>36</v>
      </c>
      <c r="I920" s="16" t="s">
        <v>61</v>
      </c>
    </row>
    <row r="921" spans="2:12" x14ac:dyDescent="0.25">
      <c r="B921" s="16" t="s">
        <v>40</v>
      </c>
      <c r="C921" s="17">
        <v>45078</v>
      </c>
      <c r="D921" s="16">
        <v>320</v>
      </c>
      <c r="E921" s="16">
        <v>71064</v>
      </c>
      <c r="F921" s="18" t="s">
        <v>174</v>
      </c>
      <c r="G921" s="16" t="s">
        <v>7</v>
      </c>
      <c r="H921" s="16" t="s">
        <v>49</v>
      </c>
      <c r="I921" s="16" t="s">
        <v>17</v>
      </c>
      <c r="L921" t="s">
        <v>282</v>
      </c>
    </row>
    <row r="922" spans="2:12" x14ac:dyDescent="0.25">
      <c r="B922" s="16" t="s">
        <v>2</v>
      </c>
      <c r="C922" s="17">
        <v>45078</v>
      </c>
      <c r="D922" s="16">
        <v>1126805</v>
      </c>
      <c r="E922" s="16">
        <v>9516</v>
      </c>
      <c r="F922" s="18" t="s">
        <v>110</v>
      </c>
      <c r="G922" s="16" t="s">
        <v>16</v>
      </c>
      <c r="H922" s="16" t="s">
        <v>28</v>
      </c>
      <c r="I922" s="16" t="s">
        <v>61</v>
      </c>
      <c r="L922" t="s">
        <v>184</v>
      </c>
    </row>
    <row r="923" spans="2:12" x14ac:dyDescent="0.25">
      <c r="B923" s="16" t="s">
        <v>22</v>
      </c>
      <c r="C923" s="17">
        <v>45078</v>
      </c>
      <c r="D923" s="16">
        <v>74737</v>
      </c>
      <c r="E923" s="16">
        <v>64460</v>
      </c>
      <c r="F923" s="18" t="s">
        <v>139</v>
      </c>
      <c r="G923" s="16" t="s">
        <v>93</v>
      </c>
      <c r="H923" s="16" t="s">
        <v>28</v>
      </c>
      <c r="I923" s="16" t="s">
        <v>84</v>
      </c>
    </row>
    <row r="924" spans="2:12" x14ac:dyDescent="0.25">
      <c r="B924" s="16" t="s">
        <v>26</v>
      </c>
      <c r="C924" s="17">
        <v>45078</v>
      </c>
      <c r="D924" s="16">
        <v>1126820</v>
      </c>
      <c r="E924" s="16">
        <v>9516</v>
      </c>
      <c r="F924" s="18" t="s">
        <v>110</v>
      </c>
      <c r="G924" s="16" t="s">
        <v>16</v>
      </c>
      <c r="H924" s="16" t="s">
        <v>28</v>
      </c>
      <c r="I924" s="16" t="s">
        <v>59</v>
      </c>
    </row>
    <row r="925" spans="2:12" x14ac:dyDescent="0.25">
      <c r="B925" s="16" t="s">
        <v>26</v>
      </c>
      <c r="C925" s="17">
        <v>45078</v>
      </c>
      <c r="D925" s="16">
        <v>483493</v>
      </c>
      <c r="E925" s="16">
        <v>9453</v>
      </c>
      <c r="F925" s="18" t="s">
        <v>249</v>
      </c>
      <c r="G925" s="16" t="s">
        <v>5</v>
      </c>
      <c r="H925" s="16" t="s">
        <v>28</v>
      </c>
      <c r="I925" s="16" t="s">
        <v>73</v>
      </c>
    </row>
    <row r="926" spans="2:12" x14ac:dyDescent="0.25">
      <c r="B926" s="16" t="s">
        <v>26</v>
      </c>
      <c r="C926" s="17">
        <v>45078</v>
      </c>
      <c r="D926" s="16">
        <v>482781</v>
      </c>
      <c r="E926" s="16">
        <v>9453</v>
      </c>
      <c r="F926" s="18" t="s">
        <v>249</v>
      </c>
      <c r="G926" s="16" t="s">
        <v>5</v>
      </c>
      <c r="H926" s="16" t="s">
        <v>28</v>
      </c>
      <c r="I926" s="16" t="s">
        <v>73</v>
      </c>
    </row>
    <row r="927" spans="2:12" x14ac:dyDescent="0.25">
      <c r="B927" s="16" t="s">
        <v>33</v>
      </c>
      <c r="C927" s="17">
        <v>45078</v>
      </c>
      <c r="D927" s="16">
        <v>53233</v>
      </c>
      <c r="E927" s="16">
        <v>9451</v>
      </c>
      <c r="F927" s="18" t="s">
        <v>195</v>
      </c>
      <c r="G927" s="16" t="s">
        <v>16</v>
      </c>
      <c r="H927" s="16" t="s">
        <v>46</v>
      </c>
      <c r="I927" s="16" t="s">
        <v>17</v>
      </c>
    </row>
    <row r="928" spans="2:12" x14ac:dyDescent="0.25">
      <c r="B928" s="16" t="s">
        <v>22</v>
      </c>
      <c r="C928" s="17">
        <v>45078</v>
      </c>
      <c r="D928" s="16">
        <v>258574</v>
      </c>
      <c r="E928" s="16">
        <v>12899</v>
      </c>
      <c r="F928" s="18" t="s">
        <v>204</v>
      </c>
      <c r="G928" s="16" t="s">
        <v>16</v>
      </c>
      <c r="H928" s="16" t="s">
        <v>75</v>
      </c>
      <c r="I928" s="16" t="s">
        <v>59</v>
      </c>
    </row>
    <row r="929" spans="2:9" x14ac:dyDescent="0.25">
      <c r="B929" s="16" t="s">
        <v>22</v>
      </c>
      <c r="C929" s="17">
        <v>45078</v>
      </c>
      <c r="D929" s="16">
        <v>50868</v>
      </c>
      <c r="E929" s="16">
        <v>9398</v>
      </c>
      <c r="F929" s="18" t="s">
        <v>65</v>
      </c>
      <c r="G929" s="16" t="s">
        <v>16</v>
      </c>
      <c r="H929" s="16" t="s">
        <v>21</v>
      </c>
      <c r="I929" s="16" t="s">
        <v>17</v>
      </c>
    </row>
    <row r="930" spans="2:9" x14ac:dyDescent="0.25">
      <c r="B930" s="16" t="s">
        <v>26</v>
      </c>
      <c r="C930" s="17">
        <v>45078</v>
      </c>
      <c r="D930" s="16">
        <v>400139</v>
      </c>
      <c r="E930" s="16">
        <v>1136</v>
      </c>
      <c r="F930" s="18" t="s">
        <v>167</v>
      </c>
      <c r="G930" s="16" t="s">
        <v>52</v>
      </c>
      <c r="H930" s="16" t="s">
        <v>24</v>
      </c>
      <c r="I930" s="16" t="s">
        <v>29</v>
      </c>
    </row>
    <row r="931" spans="2:9" x14ac:dyDescent="0.25">
      <c r="B931" s="16" t="s">
        <v>26</v>
      </c>
      <c r="C931" s="17">
        <v>45078</v>
      </c>
      <c r="D931" s="16">
        <v>400138</v>
      </c>
      <c r="E931" s="16">
        <v>1136</v>
      </c>
      <c r="F931" s="18" t="s">
        <v>167</v>
      </c>
      <c r="G931" s="16" t="s">
        <v>52</v>
      </c>
      <c r="H931" s="16" t="s">
        <v>24</v>
      </c>
      <c r="I931" s="16" t="s">
        <v>29</v>
      </c>
    </row>
    <row r="932" spans="2:9" x14ac:dyDescent="0.25">
      <c r="B932" s="16" t="s">
        <v>26</v>
      </c>
      <c r="C932" s="17">
        <v>45078</v>
      </c>
      <c r="D932" s="16">
        <v>258589</v>
      </c>
      <c r="E932" s="16">
        <v>71433</v>
      </c>
      <c r="F932" s="18" t="s">
        <v>251</v>
      </c>
      <c r="G932" s="16" t="s">
        <v>5</v>
      </c>
      <c r="H932" s="16" t="s">
        <v>24</v>
      </c>
      <c r="I932" s="16" t="s">
        <v>61</v>
      </c>
    </row>
    <row r="933" spans="2:9" x14ac:dyDescent="0.25">
      <c r="B933" s="16" t="s">
        <v>22</v>
      </c>
      <c r="C933" s="17">
        <v>45078</v>
      </c>
      <c r="D933" s="16">
        <v>258565</v>
      </c>
      <c r="E933" s="16">
        <v>71433</v>
      </c>
      <c r="F933" s="18" t="s">
        <v>251</v>
      </c>
      <c r="G933" s="16" t="s">
        <v>5</v>
      </c>
      <c r="H933" s="16" t="s">
        <v>24</v>
      </c>
      <c r="I933" s="16" t="s">
        <v>61</v>
      </c>
    </row>
    <row r="934" spans="2:9" x14ac:dyDescent="0.25">
      <c r="B934" s="16" t="s">
        <v>22</v>
      </c>
      <c r="C934" s="17">
        <v>45078</v>
      </c>
      <c r="D934" s="16">
        <v>258602</v>
      </c>
      <c r="E934" s="16">
        <v>71433</v>
      </c>
      <c r="F934" s="18" t="s">
        <v>251</v>
      </c>
      <c r="G934" s="16" t="s">
        <v>5</v>
      </c>
      <c r="H934" s="16" t="s">
        <v>24</v>
      </c>
      <c r="I934" s="16" t="s">
        <v>61</v>
      </c>
    </row>
    <row r="935" spans="2:9" x14ac:dyDescent="0.25">
      <c r="B935" s="16" t="s">
        <v>33</v>
      </c>
      <c r="C935" s="17">
        <v>45078</v>
      </c>
      <c r="D935" s="16">
        <v>258576</v>
      </c>
      <c r="E935" s="16">
        <v>71433</v>
      </c>
      <c r="F935" s="18" t="s">
        <v>251</v>
      </c>
      <c r="G935" s="16" t="s">
        <v>5</v>
      </c>
      <c r="H935" s="16" t="s">
        <v>24</v>
      </c>
      <c r="I935" s="16" t="s">
        <v>61</v>
      </c>
    </row>
    <row r="936" spans="2:9" x14ac:dyDescent="0.25">
      <c r="B936" s="16" t="s">
        <v>33</v>
      </c>
      <c r="C936" s="17">
        <v>45078</v>
      </c>
      <c r="D936" s="16">
        <v>258610</v>
      </c>
      <c r="E936" s="16">
        <v>71433</v>
      </c>
      <c r="F936" s="18" t="s">
        <v>251</v>
      </c>
      <c r="G936" s="16" t="s">
        <v>5</v>
      </c>
      <c r="H936" s="16" t="s">
        <v>24</v>
      </c>
      <c r="I936" s="16" t="s">
        <v>192</v>
      </c>
    </row>
    <row r="937" spans="2:9" x14ac:dyDescent="0.25">
      <c r="B937" s="16" t="s">
        <v>210</v>
      </c>
      <c r="C937" s="17">
        <v>45078</v>
      </c>
      <c r="D937" s="16">
        <v>3232</v>
      </c>
      <c r="E937" s="16">
        <v>70670</v>
      </c>
      <c r="F937" s="18" t="s">
        <v>101</v>
      </c>
      <c r="G937" s="16" t="s">
        <v>52</v>
      </c>
      <c r="H937" s="16" t="s">
        <v>24</v>
      </c>
      <c r="I937" s="16" t="s">
        <v>235</v>
      </c>
    </row>
    <row r="938" spans="2:9" x14ac:dyDescent="0.25">
      <c r="B938" s="16" t="s">
        <v>33</v>
      </c>
      <c r="C938" s="17">
        <v>45078</v>
      </c>
      <c r="D938" s="16">
        <v>3824881</v>
      </c>
      <c r="E938" s="16">
        <v>3506</v>
      </c>
      <c r="F938" s="18" t="s">
        <v>77</v>
      </c>
      <c r="G938" s="16" t="s">
        <v>16</v>
      </c>
      <c r="H938" s="16" t="s">
        <v>24</v>
      </c>
      <c r="I938" s="16" t="s">
        <v>61</v>
      </c>
    </row>
    <row r="939" spans="2:9" x14ac:dyDescent="0.25">
      <c r="B939" s="16" t="s">
        <v>210</v>
      </c>
      <c r="C939" s="17">
        <v>45078</v>
      </c>
      <c r="D939" s="16">
        <v>258541</v>
      </c>
      <c r="E939" s="16">
        <v>71433</v>
      </c>
      <c r="F939" s="18" t="s">
        <v>251</v>
      </c>
      <c r="G939" s="16" t="s">
        <v>5</v>
      </c>
      <c r="H939" s="16" t="s">
        <v>24</v>
      </c>
      <c r="I939" s="16" t="s">
        <v>235</v>
      </c>
    </row>
    <row r="940" spans="2:9" x14ac:dyDescent="0.25">
      <c r="B940" s="16" t="s">
        <v>210</v>
      </c>
      <c r="C940" s="17">
        <v>45078</v>
      </c>
      <c r="D940" s="16">
        <v>57229</v>
      </c>
      <c r="E940" s="16">
        <v>11787</v>
      </c>
      <c r="F940" s="18" t="s">
        <v>244</v>
      </c>
      <c r="G940" s="16" t="s">
        <v>16</v>
      </c>
      <c r="H940" s="16" t="s">
        <v>24</v>
      </c>
      <c r="I940" s="16" t="s">
        <v>246</v>
      </c>
    </row>
    <row r="941" spans="2:9" x14ac:dyDescent="0.25">
      <c r="B941" s="16" t="s">
        <v>40</v>
      </c>
      <c r="C941" s="17">
        <v>45078</v>
      </c>
      <c r="D941" s="16">
        <v>400222</v>
      </c>
      <c r="E941" s="16">
        <v>1136</v>
      </c>
      <c r="F941" s="18" t="s">
        <v>167</v>
      </c>
      <c r="G941" s="16" t="s">
        <v>52</v>
      </c>
      <c r="H941" s="16" t="s">
        <v>24</v>
      </c>
      <c r="I941" s="16" t="s">
        <v>29</v>
      </c>
    </row>
    <row r="942" spans="2:9" x14ac:dyDescent="0.25">
      <c r="B942" s="16" t="s">
        <v>2</v>
      </c>
      <c r="C942" s="17">
        <v>45078</v>
      </c>
      <c r="D942" s="16">
        <v>57022</v>
      </c>
      <c r="E942" s="16">
        <v>11787</v>
      </c>
      <c r="F942" s="18" t="s">
        <v>244</v>
      </c>
      <c r="G942" s="16" t="s">
        <v>16</v>
      </c>
      <c r="H942" s="16" t="s">
        <v>102</v>
      </c>
      <c r="I942" s="16" t="s">
        <v>192</v>
      </c>
    </row>
    <row r="943" spans="2:9" x14ac:dyDescent="0.25">
      <c r="B943" s="16" t="s">
        <v>2</v>
      </c>
      <c r="C943" s="17">
        <v>45078</v>
      </c>
      <c r="D943" s="16">
        <v>47875</v>
      </c>
      <c r="E943" s="16">
        <v>10348</v>
      </c>
      <c r="F943" s="18" t="s">
        <v>76</v>
      </c>
      <c r="G943" s="16" t="s">
        <v>7</v>
      </c>
      <c r="H943" s="16" t="s">
        <v>114</v>
      </c>
      <c r="I943" s="16" t="s">
        <v>17</v>
      </c>
    </row>
    <row r="944" spans="2:9" x14ac:dyDescent="0.25">
      <c r="B944" s="16" t="s">
        <v>33</v>
      </c>
      <c r="C944" s="17">
        <v>45078</v>
      </c>
      <c r="D944" s="16">
        <v>81824</v>
      </c>
      <c r="E944" s="16">
        <v>3636</v>
      </c>
      <c r="F944" s="18" t="s">
        <v>253</v>
      </c>
      <c r="G944" s="16" t="s">
        <v>55</v>
      </c>
      <c r="H944" s="16" t="s">
        <v>114</v>
      </c>
      <c r="I944" s="16" t="s">
        <v>17</v>
      </c>
    </row>
    <row r="945" spans="2:9" x14ac:dyDescent="0.25">
      <c r="B945" s="16" t="s">
        <v>26</v>
      </c>
      <c r="C945" s="17">
        <v>45078</v>
      </c>
      <c r="D945" s="16">
        <v>22328</v>
      </c>
      <c r="E945" s="16">
        <v>10512</v>
      </c>
      <c r="F945" s="18" t="s">
        <v>252</v>
      </c>
      <c r="G945" s="16" t="s">
        <v>4</v>
      </c>
      <c r="H945" s="16" t="s">
        <v>38</v>
      </c>
      <c r="I945" s="16" t="s">
        <v>42</v>
      </c>
    </row>
    <row r="946" spans="2:9" x14ac:dyDescent="0.25">
      <c r="B946" s="16" t="s">
        <v>26</v>
      </c>
      <c r="C946" s="17">
        <v>45079</v>
      </c>
      <c r="D946" s="16">
        <v>1107331</v>
      </c>
      <c r="E946" s="16">
        <v>6037</v>
      </c>
      <c r="F946" s="18" t="s">
        <v>257</v>
      </c>
      <c r="G946" s="16" t="s">
        <v>16</v>
      </c>
      <c r="H946" s="16" t="s">
        <v>215</v>
      </c>
      <c r="I946" s="16" t="s">
        <v>17</v>
      </c>
    </row>
    <row r="947" spans="2:9" x14ac:dyDescent="0.25">
      <c r="B947" s="16" t="s">
        <v>2</v>
      </c>
      <c r="C947" s="17">
        <v>45079</v>
      </c>
      <c r="D947" s="16">
        <v>268090</v>
      </c>
      <c r="E947" s="16">
        <v>3578</v>
      </c>
      <c r="F947" s="18" t="s">
        <v>161</v>
      </c>
      <c r="G947" s="16" t="s">
        <v>55</v>
      </c>
      <c r="H947" s="16" t="s">
        <v>71</v>
      </c>
      <c r="I947" s="16" t="s">
        <v>17</v>
      </c>
    </row>
    <row r="948" spans="2:9" x14ac:dyDescent="0.25">
      <c r="B948" s="16" t="s">
        <v>26</v>
      </c>
      <c r="C948" s="17">
        <v>45079</v>
      </c>
      <c r="D948" s="16">
        <v>184782</v>
      </c>
      <c r="E948" s="16">
        <v>8689</v>
      </c>
      <c r="F948" s="18" t="s">
        <v>237</v>
      </c>
      <c r="G948" s="16" t="s">
        <v>93</v>
      </c>
      <c r="H948" s="16" t="s">
        <v>71</v>
      </c>
      <c r="I948" s="16" t="s">
        <v>17</v>
      </c>
    </row>
    <row r="949" spans="2:9" x14ac:dyDescent="0.25">
      <c r="B949" s="16" t="s">
        <v>26</v>
      </c>
      <c r="C949" s="17">
        <v>45079</v>
      </c>
      <c r="D949" s="16">
        <v>184783</v>
      </c>
      <c r="E949" s="16">
        <v>8689</v>
      </c>
      <c r="F949" s="18" t="s">
        <v>237</v>
      </c>
      <c r="G949" s="16" t="s">
        <v>93</v>
      </c>
      <c r="H949" s="16" t="s">
        <v>71</v>
      </c>
      <c r="I949" s="16" t="s">
        <v>17</v>
      </c>
    </row>
    <row r="950" spans="2:9" x14ac:dyDescent="0.25">
      <c r="B950" s="16" t="s">
        <v>26</v>
      </c>
      <c r="C950" s="17">
        <v>45079</v>
      </c>
      <c r="D950" s="16">
        <v>208440</v>
      </c>
      <c r="E950" s="16">
        <v>10910</v>
      </c>
      <c r="F950" s="18" t="s">
        <v>157</v>
      </c>
      <c r="G950" s="16" t="s">
        <v>3</v>
      </c>
      <c r="H950" s="16" t="s">
        <v>71</v>
      </c>
      <c r="I950" s="16" t="s">
        <v>17</v>
      </c>
    </row>
    <row r="951" spans="2:9" x14ac:dyDescent="0.25">
      <c r="B951" s="16" t="s">
        <v>26</v>
      </c>
      <c r="C951" s="17">
        <v>45079</v>
      </c>
      <c r="D951" s="16">
        <v>262914</v>
      </c>
      <c r="E951" s="16">
        <v>37945</v>
      </c>
      <c r="F951" s="18" t="s">
        <v>166</v>
      </c>
      <c r="G951" s="16" t="s">
        <v>5</v>
      </c>
      <c r="H951" s="16" t="s">
        <v>71</v>
      </c>
      <c r="I951" s="16" t="s">
        <v>17</v>
      </c>
    </row>
    <row r="952" spans="2:9" x14ac:dyDescent="0.25">
      <c r="B952" s="16" t="s">
        <v>2</v>
      </c>
      <c r="C952" s="17">
        <v>45079</v>
      </c>
      <c r="D952" s="16">
        <v>377328</v>
      </c>
      <c r="E952" s="16">
        <v>5895</v>
      </c>
      <c r="F952" s="18" t="s">
        <v>214</v>
      </c>
      <c r="G952" s="16" t="s">
        <v>3</v>
      </c>
      <c r="H952" s="16" t="s">
        <v>71</v>
      </c>
      <c r="I952" s="16" t="s">
        <v>17</v>
      </c>
    </row>
    <row r="953" spans="2:9" x14ac:dyDescent="0.25">
      <c r="B953" s="16" t="s">
        <v>2</v>
      </c>
      <c r="C953" s="17">
        <v>45079</v>
      </c>
      <c r="D953" s="16">
        <v>377294</v>
      </c>
      <c r="E953" s="16">
        <v>5895</v>
      </c>
      <c r="F953" s="18" t="s">
        <v>214</v>
      </c>
      <c r="G953" s="16" t="s">
        <v>3</v>
      </c>
      <c r="H953" s="16" t="s">
        <v>71</v>
      </c>
      <c r="I953" s="16" t="s">
        <v>17</v>
      </c>
    </row>
    <row r="954" spans="2:9" x14ac:dyDescent="0.25">
      <c r="B954" s="16" t="s">
        <v>2</v>
      </c>
      <c r="C954" s="17">
        <v>45079</v>
      </c>
      <c r="D954" s="16">
        <v>377293</v>
      </c>
      <c r="E954" s="16">
        <v>5895</v>
      </c>
      <c r="F954" s="18" t="s">
        <v>214</v>
      </c>
      <c r="G954" s="16" t="s">
        <v>3</v>
      </c>
      <c r="H954" s="16" t="s">
        <v>71</v>
      </c>
      <c r="I954" s="16" t="s">
        <v>17</v>
      </c>
    </row>
    <row r="955" spans="2:9" x14ac:dyDescent="0.25">
      <c r="B955" s="16" t="s">
        <v>2</v>
      </c>
      <c r="C955" s="17">
        <v>45079</v>
      </c>
      <c r="D955" s="16">
        <v>377292</v>
      </c>
      <c r="E955" s="16">
        <v>5895</v>
      </c>
      <c r="F955" s="18" t="s">
        <v>214</v>
      </c>
      <c r="G955" s="16" t="s">
        <v>3</v>
      </c>
      <c r="H955" s="16" t="s">
        <v>71</v>
      </c>
      <c r="I955" s="16" t="s">
        <v>17</v>
      </c>
    </row>
    <row r="956" spans="2:9" x14ac:dyDescent="0.25">
      <c r="B956" s="16" t="s">
        <v>2</v>
      </c>
      <c r="C956" s="17">
        <v>45079</v>
      </c>
      <c r="D956" s="16">
        <v>377329</v>
      </c>
      <c r="E956" s="16">
        <v>5895</v>
      </c>
      <c r="F956" s="18" t="s">
        <v>214</v>
      </c>
      <c r="G956" s="16" t="s">
        <v>3</v>
      </c>
      <c r="H956" s="16" t="s">
        <v>71</v>
      </c>
      <c r="I956" s="16" t="s">
        <v>17</v>
      </c>
    </row>
    <row r="957" spans="2:9" x14ac:dyDescent="0.25">
      <c r="B957" s="16" t="s">
        <v>40</v>
      </c>
      <c r="C957" s="17">
        <v>45079</v>
      </c>
      <c r="D957" s="16">
        <v>5077556</v>
      </c>
      <c r="E957" s="16">
        <v>15102</v>
      </c>
      <c r="F957" s="18" t="s">
        <v>160</v>
      </c>
      <c r="G957" s="16" t="s">
        <v>3</v>
      </c>
      <c r="H957" s="16" t="s">
        <v>31</v>
      </c>
      <c r="I957" s="16" t="s">
        <v>275</v>
      </c>
    </row>
    <row r="958" spans="2:9" x14ac:dyDescent="0.25">
      <c r="B958" s="16" t="s">
        <v>33</v>
      </c>
      <c r="C958" s="17">
        <v>45079</v>
      </c>
      <c r="D958" s="16">
        <v>3120</v>
      </c>
      <c r="E958" s="16">
        <v>70670</v>
      </c>
      <c r="F958" s="18" t="s">
        <v>101</v>
      </c>
      <c r="G958" s="16" t="s">
        <v>3</v>
      </c>
      <c r="H958" s="16" t="s">
        <v>49</v>
      </c>
      <c r="I958" s="16" t="s">
        <v>17</v>
      </c>
    </row>
    <row r="959" spans="2:9" x14ac:dyDescent="0.25">
      <c r="B959" s="16" t="s">
        <v>33</v>
      </c>
      <c r="C959" s="17">
        <v>45079</v>
      </c>
      <c r="D959" s="16">
        <v>3121</v>
      </c>
      <c r="E959" s="16">
        <v>70670</v>
      </c>
      <c r="F959" s="18" t="s">
        <v>101</v>
      </c>
      <c r="G959" s="16" t="s">
        <v>3</v>
      </c>
      <c r="H959" s="16" t="s">
        <v>49</v>
      </c>
      <c r="I959" s="16" t="s">
        <v>17</v>
      </c>
    </row>
    <row r="960" spans="2:9" x14ac:dyDescent="0.25">
      <c r="B960" s="16" t="s">
        <v>2</v>
      </c>
      <c r="C960" s="17">
        <v>45079</v>
      </c>
      <c r="D960" s="16">
        <v>182557</v>
      </c>
      <c r="E960" s="16">
        <v>9016</v>
      </c>
      <c r="F960" s="18" t="s">
        <v>111</v>
      </c>
      <c r="G960" s="16" t="s">
        <v>7</v>
      </c>
      <c r="H960" s="16" t="s">
        <v>41</v>
      </c>
      <c r="I960" s="16" t="s">
        <v>17</v>
      </c>
    </row>
    <row r="961" spans="2:9" x14ac:dyDescent="0.25">
      <c r="B961" s="16" t="s">
        <v>40</v>
      </c>
      <c r="C961" s="17">
        <v>45079</v>
      </c>
      <c r="D961" s="16">
        <v>59172</v>
      </c>
      <c r="E961" s="16">
        <v>9398</v>
      </c>
      <c r="F961" s="18" t="s">
        <v>65</v>
      </c>
      <c r="G961" s="16" t="s">
        <v>16</v>
      </c>
      <c r="H961" s="16" t="s">
        <v>41</v>
      </c>
      <c r="I961" s="16" t="s">
        <v>17</v>
      </c>
    </row>
    <row r="962" spans="2:9" x14ac:dyDescent="0.25">
      <c r="B962" s="16" t="s">
        <v>33</v>
      </c>
      <c r="C962" s="17">
        <v>45079</v>
      </c>
      <c r="D962" s="16">
        <v>1375233</v>
      </c>
      <c r="E962" s="16">
        <v>13235</v>
      </c>
      <c r="F962" s="18" t="s">
        <v>99</v>
      </c>
      <c r="G962" s="16" t="s">
        <v>3</v>
      </c>
      <c r="H962" s="16" t="s">
        <v>54</v>
      </c>
      <c r="I962" s="16" t="s">
        <v>20</v>
      </c>
    </row>
    <row r="963" spans="2:9" x14ac:dyDescent="0.25">
      <c r="B963" s="16" t="s">
        <v>2</v>
      </c>
      <c r="C963" s="17">
        <v>45079</v>
      </c>
      <c r="D963" s="16">
        <v>4320248</v>
      </c>
      <c r="E963" s="16">
        <v>1174</v>
      </c>
      <c r="F963" s="18" t="s">
        <v>100</v>
      </c>
      <c r="G963" s="16" t="s">
        <v>4</v>
      </c>
      <c r="H963" s="16" t="s">
        <v>190</v>
      </c>
      <c r="I963" s="16" t="s">
        <v>17</v>
      </c>
    </row>
    <row r="964" spans="2:9" x14ac:dyDescent="0.25">
      <c r="B964" s="16" t="s">
        <v>2</v>
      </c>
      <c r="C964" s="17">
        <v>45079</v>
      </c>
      <c r="D964" s="16">
        <v>59144</v>
      </c>
      <c r="E964" s="16">
        <v>9398</v>
      </c>
      <c r="F964" s="18" t="s">
        <v>65</v>
      </c>
      <c r="G964" s="16" t="s">
        <v>16</v>
      </c>
      <c r="H964" s="16" t="s">
        <v>190</v>
      </c>
      <c r="I964" s="16" t="s">
        <v>17</v>
      </c>
    </row>
    <row r="965" spans="2:9" x14ac:dyDescent="0.25">
      <c r="B965" s="16" t="s">
        <v>26</v>
      </c>
      <c r="C965" s="17">
        <v>45079</v>
      </c>
      <c r="D965" s="16">
        <v>48963</v>
      </c>
      <c r="E965" s="16">
        <v>69317</v>
      </c>
      <c r="F965" s="18" t="s">
        <v>255</v>
      </c>
      <c r="G965" s="16" t="s">
        <v>3</v>
      </c>
      <c r="H965" s="16" t="s">
        <v>39</v>
      </c>
      <c r="I965" s="16" t="s">
        <v>61</v>
      </c>
    </row>
    <row r="966" spans="2:9" x14ac:dyDescent="0.25">
      <c r="B966" s="16" t="s">
        <v>210</v>
      </c>
      <c r="C966" s="17">
        <v>45079</v>
      </c>
      <c r="D966" s="16">
        <v>148338</v>
      </c>
      <c r="E966" s="16">
        <v>8918</v>
      </c>
      <c r="F966" s="18" t="s">
        <v>256</v>
      </c>
      <c r="G966" s="16" t="s">
        <v>3</v>
      </c>
      <c r="H966" s="16" t="s">
        <v>39</v>
      </c>
      <c r="I966" s="16" t="s">
        <v>232</v>
      </c>
    </row>
    <row r="967" spans="2:9" x14ac:dyDescent="0.25">
      <c r="B967" s="16" t="s">
        <v>2</v>
      </c>
      <c r="C967" s="17">
        <v>45079</v>
      </c>
      <c r="D967" s="16">
        <v>584509</v>
      </c>
      <c r="E967" s="16">
        <v>3873</v>
      </c>
      <c r="F967" s="18" t="s">
        <v>254</v>
      </c>
      <c r="G967" s="16" t="s">
        <v>3</v>
      </c>
      <c r="H967" s="16" t="s">
        <v>221</v>
      </c>
      <c r="I967" s="16" t="s">
        <v>61</v>
      </c>
    </row>
    <row r="968" spans="2:9" x14ac:dyDescent="0.25">
      <c r="B968" s="16" t="s">
        <v>2</v>
      </c>
      <c r="C968" s="17">
        <v>45079</v>
      </c>
      <c r="D968" s="16">
        <v>927580</v>
      </c>
      <c r="E968" s="16"/>
      <c r="F968" s="18" t="s">
        <v>20</v>
      </c>
      <c r="G968" s="16" t="s">
        <v>16</v>
      </c>
      <c r="H968" s="16" t="s">
        <v>137</v>
      </c>
      <c r="I968" s="16" t="s">
        <v>17</v>
      </c>
    </row>
    <row r="969" spans="2:9" x14ac:dyDescent="0.25">
      <c r="B969" s="16" t="s">
        <v>2</v>
      </c>
      <c r="C969" s="17">
        <v>45079</v>
      </c>
      <c r="D969" s="16">
        <v>927580</v>
      </c>
      <c r="E969" s="16">
        <v>15116</v>
      </c>
      <c r="F969" s="18" t="s">
        <v>50</v>
      </c>
      <c r="G969" s="16" t="s">
        <v>16</v>
      </c>
      <c r="H969" s="16" t="s">
        <v>137</v>
      </c>
      <c r="I969" s="16" t="s">
        <v>17</v>
      </c>
    </row>
    <row r="970" spans="2:9" x14ac:dyDescent="0.25">
      <c r="B970" s="16" t="s">
        <v>33</v>
      </c>
      <c r="C970" s="17">
        <v>45079</v>
      </c>
      <c r="D970" s="16">
        <v>572776</v>
      </c>
      <c r="E970" s="16">
        <v>9500</v>
      </c>
      <c r="F970" s="18" t="s">
        <v>112</v>
      </c>
      <c r="G970" s="16" t="s">
        <v>16</v>
      </c>
      <c r="H970" s="16" t="s">
        <v>137</v>
      </c>
      <c r="I970" s="16" t="s">
        <v>17</v>
      </c>
    </row>
    <row r="971" spans="2:9" x14ac:dyDescent="0.25">
      <c r="B971" s="16" t="s">
        <v>33</v>
      </c>
      <c r="C971" s="17">
        <v>45079</v>
      </c>
      <c r="D971" s="16">
        <v>572777</v>
      </c>
      <c r="E971" s="16">
        <v>9500</v>
      </c>
      <c r="F971" s="18" t="s">
        <v>112</v>
      </c>
      <c r="G971" s="16" t="s">
        <v>16</v>
      </c>
      <c r="H971" s="16" t="s">
        <v>137</v>
      </c>
      <c r="I971" s="16" t="s">
        <v>17</v>
      </c>
    </row>
    <row r="972" spans="2:9" x14ac:dyDescent="0.25">
      <c r="B972" s="16" t="s">
        <v>33</v>
      </c>
      <c r="C972" s="17">
        <v>45079</v>
      </c>
      <c r="D972" s="16">
        <v>572778</v>
      </c>
      <c r="E972" s="16">
        <v>9500</v>
      </c>
      <c r="F972" s="18" t="s">
        <v>112</v>
      </c>
      <c r="G972" s="16" t="s">
        <v>16</v>
      </c>
      <c r="H972" s="16" t="s">
        <v>137</v>
      </c>
      <c r="I972" s="16" t="s">
        <v>17</v>
      </c>
    </row>
    <row r="973" spans="2:9" x14ac:dyDescent="0.25">
      <c r="B973" s="16" t="s">
        <v>33</v>
      </c>
      <c r="C973" s="17">
        <v>45079</v>
      </c>
      <c r="D973" s="16">
        <v>572779</v>
      </c>
      <c r="E973" s="16">
        <v>9500</v>
      </c>
      <c r="F973" s="18" t="s">
        <v>112</v>
      </c>
      <c r="G973" s="16" t="s">
        <v>16</v>
      </c>
      <c r="H973" s="16" t="s">
        <v>137</v>
      </c>
      <c r="I973" s="16" t="s">
        <v>17</v>
      </c>
    </row>
    <row r="974" spans="2:9" x14ac:dyDescent="0.25">
      <c r="B974" s="16" t="s">
        <v>33</v>
      </c>
      <c r="C974" s="17">
        <v>45079</v>
      </c>
      <c r="D974" s="16">
        <v>572780</v>
      </c>
      <c r="E974" s="16">
        <v>9500</v>
      </c>
      <c r="F974" s="18" t="s">
        <v>112</v>
      </c>
      <c r="G974" s="16" t="s">
        <v>16</v>
      </c>
      <c r="H974" s="16" t="s">
        <v>137</v>
      </c>
      <c r="I974" s="16" t="s">
        <v>17</v>
      </c>
    </row>
    <row r="975" spans="2:9" x14ac:dyDescent="0.25">
      <c r="B975" s="16" t="s">
        <v>33</v>
      </c>
      <c r="C975" s="17">
        <v>45079</v>
      </c>
      <c r="D975" s="16">
        <v>572781</v>
      </c>
      <c r="E975" s="16">
        <v>9500</v>
      </c>
      <c r="F975" s="18" t="s">
        <v>112</v>
      </c>
      <c r="G975" s="16" t="s">
        <v>16</v>
      </c>
      <c r="H975" s="16" t="s">
        <v>137</v>
      </c>
      <c r="I975" s="16" t="s">
        <v>17</v>
      </c>
    </row>
    <row r="976" spans="2:9" x14ac:dyDescent="0.25">
      <c r="B976" s="16" t="s">
        <v>22</v>
      </c>
      <c r="C976" s="17">
        <v>45079</v>
      </c>
      <c r="D976" s="16">
        <v>5106</v>
      </c>
      <c r="E976" s="16">
        <v>65259</v>
      </c>
      <c r="F976" s="18" t="s">
        <v>236</v>
      </c>
      <c r="G976" s="16" t="s">
        <v>16</v>
      </c>
      <c r="H976" s="16" t="s">
        <v>186</v>
      </c>
      <c r="I976" s="16" t="s">
        <v>61</v>
      </c>
    </row>
    <row r="977" spans="2:9" x14ac:dyDescent="0.25">
      <c r="B977" s="16" t="s">
        <v>2</v>
      </c>
      <c r="C977" s="17">
        <v>45079</v>
      </c>
      <c r="D977" s="16">
        <v>584507</v>
      </c>
      <c r="E977" s="16">
        <v>3873</v>
      </c>
      <c r="F977" s="18" t="s">
        <v>254</v>
      </c>
      <c r="G977" s="16" t="s">
        <v>3</v>
      </c>
      <c r="H977" s="16" t="s">
        <v>184</v>
      </c>
      <c r="I977" s="16" t="s">
        <v>61</v>
      </c>
    </row>
    <row r="978" spans="2:9" x14ac:dyDescent="0.25">
      <c r="B978" s="16" t="s">
        <v>2</v>
      </c>
      <c r="C978" s="17">
        <v>45079</v>
      </c>
      <c r="D978" s="16">
        <v>53254</v>
      </c>
      <c r="E978" s="16">
        <v>9451</v>
      </c>
      <c r="F978" s="18" t="s">
        <v>195</v>
      </c>
      <c r="G978" s="16" t="s">
        <v>16</v>
      </c>
      <c r="H978" s="16" t="s">
        <v>184</v>
      </c>
      <c r="I978" s="16" t="s">
        <v>61</v>
      </c>
    </row>
    <row r="979" spans="2:9" x14ac:dyDescent="0.25">
      <c r="B979" s="16" t="s">
        <v>40</v>
      </c>
      <c r="C979" s="17">
        <v>45079</v>
      </c>
      <c r="D979" s="16">
        <v>584517</v>
      </c>
      <c r="E979" s="16">
        <v>3873</v>
      </c>
      <c r="F979" s="18" t="s">
        <v>254</v>
      </c>
      <c r="G979" s="16" t="s">
        <v>3</v>
      </c>
      <c r="H979" s="16" t="s">
        <v>184</v>
      </c>
      <c r="I979" s="16" t="s">
        <v>61</v>
      </c>
    </row>
    <row r="980" spans="2:9" x14ac:dyDescent="0.25">
      <c r="B980" s="16" t="s">
        <v>40</v>
      </c>
      <c r="C980" s="17">
        <v>45079</v>
      </c>
      <c r="D980" s="16">
        <v>236867</v>
      </c>
      <c r="E980" s="16">
        <v>1175</v>
      </c>
      <c r="F980" s="18" t="s">
        <v>81</v>
      </c>
      <c r="G980" s="16" t="s">
        <v>7</v>
      </c>
      <c r="H980" s="16" t="s">
        <v>114</v>
      </c>
      <c r="I980" s="16" t="s">
        <v>17</v>
      </c>
    </row>
    <row r="981" spans="2:9" x14ac:dyDescent="0.25">
      <c r="B981" s="16" t="s">
        <v>33</v>
      </c>
      <c r="C981" s="17">
        <v>45079</v>
      </c>
      <c r="D981" s="16">
        <v>118571</v>
      </c>
      <c r="E981" s="16">
        <v>11604</v>
      </c>
      <c r="F981" s="18" t="s">
        <v>63</v>
      </c>
      <c r="G981" s="16" t="s">
        <v>6</v>
      </c>
      <c r="H981" s="16" t="s">
        <v>38</v>
      </c>
      <c r="I981" s="16" t="s">
        <v>20</v>
      </c>
    </row>
    <row r="982" spans="2:9" x14ac:dyDescent="0.25">
      <c r="B982" s="16" t="s">
        <v>40</v>
      </c>
      <c r="C982" s="17">
        <v>45079</v>
      </c>
      <c r="D982" s="16">
        <v>118572</v>
      </c>
      <c r="E982" s="16">
        <v>11604</v>
      </c>
      <c r="F982" s="18" t="s">
        <v>63</v>
      </c>
      <c r="G982" s="16" t="s">
        <v>6</v>
      </c>
      <c r="H982" s="16" t="s">
        <v>38</v>
      </c>
      <c r="I982" s="16" t="s">
        <v>17</v>
      </c>
    </row>
    <row r="983" spans="2:9" x14ac:dyDescent="0.25">
      <c r="B983" s="16" t="s">
        <v>40</v>
      </c>
      <c r="C983" s="17">
        <v>45079</v>
      </c>
      <c r="D983" s="16">
        <v>329</v>
      </c>
      <c r="E983" s="16">
        <v>71064</v>
      </c>
      <c r="F983" s="18" t="s">
        <v>174</v>
      </c>
      <c r="G983" s="16" t="s">
        <v>7</v>
      </c>
      <c r="H983" s="16" t="s">
        <v>38</v>
      </c>
      <c r="I983" s="16" t="s">
        <v>17</v>
      </c>
    </row>
    <row r="984" spans="2:9" x14ac:dyDescent="0.25">
      <c r="B984" s="16" t="s">
        <v>2</v>
      </c>
      <c r="C984" s="17">
        <v>45079</v>
      </c>
      <c r="D984" s="16">
        <v>118637</v>
      </c>
      <c r="E984" s="16">
        <v>11604</v>
      </c>
      <c r="F984" s="18" t="s">
        <v>63</v>
      </c>
      <c r="G984" s="16" t="s">
        <v>262</v>
      </c>
      <c r="H984" s="16" t="s">
        <v>38</v>
      </c>
      <c r="I984" s="16" t="s">
        <v>17</v>
      </c>
    </row>
    <row r="985" spans="2:9" x14ac:dyDescent="0.25">
      <c r="B985" s="16" t="s">
        <v>33</v>
      </c>
      <c r="C985" s="17">
        <v>45080</v>
      </c>
      <c r="D985" s="16">
        <v>118614</v>
      </c>
      <c r="E985" s="16">
        <v>11604</v>
      </c>
      <c r="F985" s="18" t="s">
        <v>63</v>
      </c>
      <c r="G985" s="16" t="s">
        <v>6</v>
      </c>
      <c r="H985" s="16" t="s">
        <v>38</v>
      </c>
      <c r="I985" s="16" t="s">
        <v>20</v>
      </c>
    </row>
    <row r="986" spans="2:9" x14ac:dyDescent="0.25">
      <c r="B986" s="16" t="s">
        <v>210</v>
      </c>
      <c r="C986" s="17">
        <v>45082</v>
      </c>
      <c r="D986" s="16">
        <v>20207</v>
      </c>
      <c r="E986" s="16">
        <v>70485</v>
      </c>
      <c r="F986" s="18" t="s">
        <v>101</v>
      </c>
      <c r="G986" s="16" t="s">
        <v>3</v>
      </c>
      <c r="H986" s="16" t="s">
        <v>36</v>
      </c>
      <c r="I986" s="16" t="s">
        <v>61</v>
      </c>
    </row>
    <row r="987" spans="2:9" x14ac:dyDescent="0.25">
      <c r="B987" s="16" t="s">
        <v>40</v>
      </c>
      <c r="C987" s="17">
        <v>45082</v>
      </c>
      <c r="D987" s="16">
        <v>403989</v>
      </c>
      <c r="E987" s="16">
        <v>1216</v>
      </c>
      <c r="F987" s="18" t="s">
        <v>47</v>
      </c>
      <c r="G987" s="16" t="s">
        <v>3</v>
      </c>
      <c r="H987" s="16" t="s">
        <v>28</v>
      </c>
      <c r="I987" s="16" t="s">
        <v>73</v>
      </c>
    </row>
    <row r="988" spans="2:9" x14ac:dyDescent="0.25">
      <c r="B988" s="16" t="s">
        <v>40</v>
      </c>
      <c r="C988" s="17">
        <v>45082</v>
      </c>
      <c r="D988" s="16">
        <v>207669</v>
      </c>
      <c r="E988" s="16">
        <v>71418</v>
      </c>
      <c r="F988" s="18" t="s">
        <v>266</v>
      </c>
      <c r="G988" s="16" t="s">
        <v>54</v>
      </c>
      <c r="H988" s="16" t="s">
        <v>28</v>
      </c>
      <c r="I988" s="16" t="s">
        <v>73</v>
      </c>
    </row>
    <row r="989" spans="2:9" x14ac:dyDescent="0.25">
      <c r="B989" s="16" t="s">
        <v>26</v>
      </c>
      <c r="C989" s="17">
        <v>45082</v>
      </c>
      <c r="D989" s="16">
        <v>20310</v>
      </c>
      <c r="E989" s="16">
        <v>70485</v>
      </c>
      <c r="F989" s="18" t="s">
        <v>101</v>
      </c>
      <c r="G989" s="16" t="s">
        <v>16</v>
      </c>
      <c r="H989" s="16" t="s">
        <v>46</v>
      </c>
      <c r="I989" s="16" t="s">
        <v>73</v>
      </c>
    </row>
    <row r="990" spans="2:9" x14ac:dyDescent="0.25">
      <c r="B990" s="16" t="s">
        <v>26</v>
      </c>
      <c r="C990" s="17">
        <v>45082</v>
      </c>
      <c r="D990" s="16">
        <v>20311</v>
      </c>
      <c r="E990" s="16">
        <v>70485</v>
      </c>
      <c r="F990" s="18" t="s">
        <v>101</v>
      </c>
      <c r="G990" s="16" t="s">
        <v>16</v>
      </c>
      <c r="H990" s="16" t="s">
        <v>46</v>
      </c>
      <c r="I990" s="16" t="s">
        <v>73</v>
      </c>
    </row>
    <row r="991" spans="2:9" x14ac:dyDescent="0.25">
      <c r="B991" s="16" t="s">
        <v>22</v>
      </c>
      <c r="C991" s="17">
        <v>45082</v>
      </c>
      <c r="D991" s="16">
        <v>47699</v>
      </c>
      <c r="E991" s="16">
        <v>4644</v>
      </c>
      <c r="F991" s="18" t="s">
        <v>209</v>
      </c>
      <c r="G991" s="16" t="s">
        <v>5</v>
      </c>
      <c r="H991" s="16" t="s">
        <v>46</v>
      </c>
      <c r="I991" s="16" t="s">
        <v>51</v>
      </c>
    </row>
    <row r="992" spans="2:9" x14ac:dyDescent="0.25">
      <c r="B992" s="16" t="s">
        <v>26</v>
      </c>
      <c r="C992" s="17">
        <v>45082</v>
      </c>
      <c r="D992" s="16">
        <v>105262</v>
      </c>
      <c r="E992" s="16">
        <v>7863</v>
      </c>
      <c r="F992" s="18" t="s">
        <v>267</v>
      </c>
      <c r="G992" s="16" t="s">
        <v>5</v>
      </c>
      <c r="H992" s="16" t="s">
        <v>46</v>
      </c>
      <c r="I992" s="16" t="s">
        <v>73</v>
      </c>
    </row>
    <row r="993" spans="2:9" x14ac:dyDescent="0.25">
      <c r="B993" s="16" t="s">
        <v>26</v>
      </c>
      <c r="C993" s="17">
        <v>45082</v>
      </c>
      <c r="D993" s="16">
        <v>105264</v>
      </c>
      <c r="E993" s="16">
        <v>7863</v>
      </c>
      <c r="F993" s="18" t="s">
        <v>267</v>
      </c>
      <c r="G993" s="16" t="s">
        <v>5</v>
      </c>
      <c r="H993" s="16" t="s">
        <v>46</v>
      </c>
      <c r="I993" s="16" t="s">
        <v>73</v>
      </c>
    </row>
    <row r="994" spans="2:9" x14ac:dyDescent="0.25">
      <c r="B994" s="16" t="s">
        <v>210</v>
      </c>
      <c r="C994" s="17">
        <v>45082</v>
      </c>
      <c r="D994" s="16">
        <v>3828389</v>
      </c>
      <c r="E994" s="16">
        <v>3506</v>
      </c>
      <c r="F994" s="18" t="s">
        <v>77</v>
      </c>
      <c r="G994" s="16" t="s">
        <v>3</v>
      </c>
      <c r="H994" s="16" t="s">
        <v>46</v>
      </c>
      <c r="I994" s="16" t="s">
        <v>51</v>
      </c>
    </row>
    <row r="995" spans="2:9" x14ac:dyDescent="0.25">
      <c r="B995" s="16" t="s">
        <v>210</v>
      </c>
      <c r="C995" s="17">
        <v>45082</v>
      </c>
      <c r="D995" s="16">
        <v>3828388</v>
      </c>
      <c r="E995" s="16">
        <v>3506</v>
      </c>
      <c r="F995" s="18" t="s">
        <v>77</v>
      </c>
      <c r="G995" s="16" t="s">
        <v>3</v>
      </c>
      <c r="H995" s="16" t="s">
        <v>46</v>
      </c>
      <c r="I995" s="16" t="s">
        <v>51</v>
      </c>
    </row>
    <row r="996" spans="2:9" x14ac:dyDescent="0.25">
      <c r="B996" s="16" t="s">
        <v>210</v>
      </c>
      <c r="C996" s="17">
        <v>45082</v>
      </c>
      <c r="D996" s="16">
        <v>3828387</v>
      </c>
      <c r="E996" s="16">
        <v>3506</v>
      </c>
      <c r="F996" s="18" t="s">
        <v>77</v>
      </c>
      <c r="G996" s="16" t="s">
        <v>3</v>
      </c>
      <c r="H996" s="16" t="s">
        <v>46</v>
      </c>
      <c r="I996" s="16" t="s">
        <v>51</v>
      </c>
    </row>
    <row r="997" spans="2:9" x14ac:dyDescent="0.25">
      <c r="B997" s="16" t="s">
        <v>26</v>
      </c>
      <c r="C997" s="17">
        <v>45082</v>
      </c>
      <c r="D997" s="16">
        <v>258562</v>
      </c>
      <c r="E997" s="16">
        <v>71433</v>
      </c>
      <c r="F997" s="18" t="s">
        <v>251</v>
      </c>
      <c r="G997" s="16" t="s">
        <v>5</v>
      </c>
      <c r="H997" s="16" t="s">
        <v>265</v>
      </c>
      <c r="I997" s="16" t="s">
        <v>61</v>
      </c>
    </row>
    <row r="998" spans="2:9" x14ac:dyDescent="0.25">
      <c r="B998" s="16" t="s">
        <v>33</v>
      </c>
      <c r="C998" s="17">
        <v>45082</v>
      </c>
      <c r="D998" s="16">
        <v>1789396</v>
      </c>
      <c r="E998" s="16">
        <v>1015</v>
      </c>
      <c r="F998" s="18" t="s">
        <v>134</v>
      </c>
      <c r="G998" s="16" t="s">
        <v>4</v>
      </c>
      <c r="H998" s="16" t="s">
        <v>186</v>
      </c>
      <c r="I998" s="16" t="s">
        <v>61</v>
      </c>
    </row>
    <row r="999" spans="2:9" x14ac:dyDescent="0.25">
      <c r="B999" s="16" t="s">
        <v>26</v>
      </c>
      <c r="C999" s="17">
        <v>45082</v>
      </c>
      <c r="D999" s="16">
        <v>2109789</v>
      </c>
      <c r="E999" s="16">
        <v>9459</v>
      </c>
      <c r="F999" s="18" t="s">
        <v>105</v>
      </c>
      <c r="G999" s="16" t="s">
        <v>52</v>
      </c>
      <c r="H999" s="16" t="s">
        <v>186</v>
      </c>
      <c r="I999" s="16" t="s">
        <v>29</v>
      </c>
    </row>
    <row r="1000" spans="2:9" x14ac:dyDescent="0.25">
      <c r="B1000" s="16" t="s">
        <v>2</v>
      </c>
      <c r="C1000" s="17">
        <v>45082</v>
      </c>
      <c r="D1000" s="16">
        <v>2658</v>
      </c>
      <c r="E1000" s="16">
        <v>11539</v>
      </c>
      <c r="F1000" s="18" t="s">
        <v>263</v>
      </c>
      <c r="G1000" s="16" t="s">
        <v>6</v>
      </c>
      <c r="H1000" s="16" t="s">
        <v>184</v>
      </c>
      <c r="I1000" s="16" t="s">
        <v>61</v>
      </c>
    </row>
    <row r="1001" spans="2:9" x14ac:dyDescent="0.25">
      <c r="B1001" s="16" t="s">
        <v>33</v>
      </c>
      <c r="C1001" s="17">
        <v>45082</v>
      </c>
      <c r="D1001" s="16">
        <v>109967</v>
      </c>
      <c r="E1001" s="16">
        <v>8842</v>
      </c>
      <c r="F1001" s="18" t="s">
        <v>264</v>
      </c>
      <c r="G1001" s="16" t="s">
        <v>7</v>
      </c>
      <c r="H1001" s="16" t="s">
        <v>38</v>
      </c>
      <c r="I1001" s="16" t="s">
        <v>17</v>
      </c>
    </row>
    <row r="1002" spans="2:9" x14ac:dyDescent="0.25">
      <c r="B1002" s="16" t="s">
        <v>2</v>
      </c>
      <c r="C1002" s="17">
        <v>45083</v>
      </c>
      <c r="D1002" s="16">
        <v>14541</v>
      </c>
      <c r="E1002" s="16">
        <v>11860</v>
      </c>
      <c r="F1002" s="18" t="s">
        <v>269</v>
      </c>
      <c r="G1002" s="16" t="s">
        <v>16</v>
      </c>
      <c r="H1002" s="16" t="s">
        <v>45</v>
      </c>
      <c r="I1002" s="16" t="s">
        <v>61</v>
      </c>
    </row>
    <row r="1003" spans="2:9" x14ac:dyDescent="0.25">
      <c r="B1003" s="16" t="s">
        <v>33</v>
      </c>
      <c r="C1003" s="17">
        <v>45083</v>
      </c>
      <c r="D1003" s="16">
        <v>14539</v>
      </c>
      <c r="E1003" s="16">
        <v>11860</v>
      </c>
      <c r="F1003" s="18" t="s">
        <v>269</v>
      </c>
      <c r="G1003" s="16" t="s">
        <v>16</v>
      </c>
      <c r="H1003" s="16" t="s">
        <v>45</v>
      </c>
      <c r="I1003" s="16" t="s">
        <v>270</v>
      </c>
    </row>
    <row r="1004" spans="2:9" x14ac:dyDescent="0.25">
      <c r="B1004" s="16" t="s">
        <v>40</v>
      </c>
      <c r="C1004" s="17">
        <v>45083</v>
      </c>
      <c r="D1004" s="16">
        <v>14540</v>
      </c>
      <c r="E1004" s="16">
        <v>11860</v>
      </c>
      <c r="F1004" s="18" t="s">
        <v>269</v>
      </c>
      <c r="G1004" s="16" t="s">
        <v>16</v>
      </c>
      <c r="H1004" s="16" t="s">
        <v>71</v>
      </c>
      <c r="I1004" s="16" t="s">
        <v>17</v>
      </c>
    </row>
    <row r="1005" spans="2:9" x14ac:dyDescent="0.25">
      <c r="B1005" s="16" t="s">
        <v>22</v>
      </c>
      <c r="C1005" s="17">
        <v>45083</v>
      </c>
      <c r="D1005" s="16">
        <v>47699</v>
      </c>
      <c r="E1005" s="16">
        <v>4644</v>
      </c>
      <c r="F1005" s="18" t="s">
        <v>209</v>
      </c>
      <c r="G1005" s="16" t="s">
        <v>5</v>
      </c>
      <c r="H1005" s="16" t="s">
        <v>71</v>
      </c>
      <c r="I1005" s="16" t="s">
        <v>17</v>
      </c>
    </row>
    <row r="1006" spans="2:9" x14ac:dyDescent="0.25">
      <c r="B1006" s="16" t="s">
        <v>22</v>
      </c>
      <c r="C1006" s="17">
        <v>45083</v>
      </c>
      <c r="D1006" s="16">
        <v>159158</v>
      </c>
      <c r="E1006" s="16">
        <v>10440</v>
      </c>
      <c r="F1006" s="18" t="s">
        <v>37</v>
      </c>
      <c r="G1006" s="16" t="s">
        <v>16</v>
      </c>
      <c r="H1006" s="16" t="s">
        <v>36</v>
      </c>
      <c r="I1006" s="16" t="s">
        <v>61</v>
      </c>
    </row>
    <row r="1007" spans="2:9" x14ac:dyDescent="0.25">
      <c r="B1007" s="16" t="s">
        <v>26</v>
      </c>
      <c r="C1007" s="17">
        <v>45083</v>
      </c>
      <c r="D1007" s="16">
        <v>11123210</v>
      </c>
      <c r="E1007" s="16">
        <v>9455</v>
      </c>
      <c r="F1007" s="18" t="s">
        <v>151</v>
      </c>
      <c r="G1007" s="16" t="s">
        <v>16</v>
      </c>
      <c r="H1007" s="16" t="s">
        <v>31</v>
      </c>
      <c r="I1007" s="16" t="s">
        <v>32</v>
      </c>
    </row>
    <row r="1008" spans="2:9" x14ac:dyDescent="0.25">
      <c r="B1008" s="16" t="s">
        <v>22</v>
      </c>
      <c r="C1008" s="17">
        <v>45083</v>
      </c>
      <c r="D1008" s="16">
        <v>11123064</v>
      </c>
      <c r="E1008" s="16">
        <v>9455</v>
      </c>
      <c r="F1008" s="18" t="s">
        <v>151</v>
      </c>
      <c r="G1008" s="16" t="s">
        <v>16</v>
      </c>
      <c r="H1008" s="16" t="s">
        <v>31</v>
      </c>
      <c r="I1008" s="16" t="s">
        <v>32</v>
      </c>
    </row>
    <row r="1009" spans="2:9" x14ac:dyDescent="0.25">
      <c r="B1009" s="16" t="s">
        <v>2</v>
      </c>
      <c r="C1009" s="17">
        <v>45083</v>
      </c>
      <c r="D1009" s="16">
        <v>110062</v>
      </c>
      <c r="E1009" s="16">
        <v>8842</v>
      </c>
      <c r="F1009" s="18" t="s">
        <v>264</v>
      </c>
      <c r="G1009" s="16" t="s">
        <v>7</v>
      </c>
      <c r="H1009" s="16" t="s">
        <v>49</v>
      </c>
      <c r="I1009" s="16" t="s">
        <v>17</v>
      </c>
    </row>
    <row r="1010" spans="2:9" x14ac:dyDescent="0.25">
      <c r="B1010" s="16" t="s">
        <v>22</v>
      </c>
      <c r="C1010" s="17">
        <v>45083</v>
      </c>
      <c r="D1010" s="16">
        <v>2203156</v>
      </c>
      <c r="E1010" s="16">
        <v>9461</v>
      </c>
      <c r="F1010" s="18" t="s">
        <v>149</v>
      </c>
      <c r="G1010" s="16" t="s">
        <v>52</v>
      </c>
      <c r="H1010" s="16" t="s">
        <v>28</v>
      </c>
      <c r="I1010" s="16" t="s">
        <v>29</v>
      </c>
    </row>
    <row r="1011" spans="2:9" x14ac:dyDescent="0.25">
      <c r="B1011" s="16" t="s">
        <v>22</v>
      </c>
      <c r="C1011" s="17">
        <v>45083</v>
      </c>
      <c r="D1011" s="16">
        <v>2203157</v>
      </c>
      <c r="E1011" s="16">
        <v>9461</v>
      </c>
      <c r="F1011" s="18" t="s">
        <v>149</v>
      </c>
      <c r="G1011" s="16" t="s">
        <v>52</v>
      </c>
      <c r="H1011" s="16" t="s">
        <v>28</v>
      </c>
      <c r="I1011" s="16" t="s">
        <v>29</v>
      </c>
    </row>
    <row r="1012" spans="2:9" x14ac:dyDescent="0.25">
      <c r="B1012" s="16" t="s">
        <v>22</v>
      </c>
      <c r="C1012" s="17">
        <v>45083</v>
      </c>
      <c r="D1012" s="16">
        <v>2203158</v>
      </c>
      <c r="E1012" s="16">
        <v>9461</v>
      </c>
      <c r="F1012" s="18" t="s">
        <v>149</v>
      </c>
      <c r="G1012" s="16" t="s">
        <v>52</v>
      </c>
      <c r="H1012" s="16" t="s">
        <v>28</v>
      </c>
      <c r="I1012" s="16" t="s">
        <v>29</v>
      </c>
    </row>
    <row r="1013" spans="2:9" x14ac:dyDescent="0.25">
      <c r="B1013" s="16" t="s">
        <v>22</v>
      </c>
      <c r="C1013" s="17">
        <v>45083</v>
      </c>
      <c r="D1013" s="16">
        <v>2203159</v>
      </c>
      <c r="E1013" s="16">
        <v>9461</v>
      </c>
      <c r="F1013" s="18" t="s">
        <v>149</v>
      </c>
      <c r="G1013" s="16" t="s">
        <v>52</v>
      </c>
      <c r="H1013" s="16" t="s">
        <v>28</v>
      </c>
      <c r="I1013" s="16" t="s">
        <v>29</v>
      </c>
    </row>
    <row r="1014" spans="2:9" x14ac:dyDescent="0.25">
      <c r="B1014" s="16" t="s">
        <v>26</v>
      </c>
      <c r="C1014" s="17">
        <v>45083</v>
      </c>
      <c r="D1014" s="16">
        <v>105262</v>
      </c>
      <c r="E1014" s="16">
        <v>7863</v>
      </c>
      <c r="F1014" s="18" t="s">
        <v>267</v>
      </c>
      <c r="G1014" s="16" t="s">
        <v>5</v>
      </c>
      <c r="H1014" s="16" t="s">
        <v>28</v>
      </c>
      <c r="I1014" s="16" t="s">
        <v>61</v>
      </c>
    </row>
    <row r="1015" spans="2:9" x14ac:dyDescent="0.25">
      <c r="B1015" s="16" t="s">
        <v>26</v>
      </c>
      <c r="C1015" s="17">
        <v>45083</v>
      </c>
      <c r="D1015" s="16">
        <v>105264</v>
      </c>
      <c r="E1015" s="16">
        <v>7863</v>
      </c>
      <c r="F1015" s="18" t="s">
        <v>267</v>
      </c>
      <c r="G1015" s="16" t="s">
        <v>5</v>
      </c>
      <c r="H1015" s="16" t="s">
        <v>28</v>
      </c>
      <c r="I1015" s="16" t="s">
        <v>61</v>
      </c>
    </row>
    <row r="1016" spans="2:9" x14ac:dyDescent="0.25">
      <c r="B1016" s="16" t="s">
        <v>22</v>
      </c>
      <c r="C1016" s="17">
        <v>45083</v>
      </c>
      <c r="D1016" s="16">
        <v>105253</v>
      </c>
      <c r="E1016" s="16">
        <v>7863</v>
      </c>
      <c r="F1016" s="18" t="s">
        <v>267</v>
      </c>
      <c r="G1016" s="16" t="s">
        <v>5</v>
      </c>
      <c r="H1016" s="16" t="s">
        <v>28</v>
      </c>
      <c r="I1016" s="16" t="s">
        <v>61</v>
      </c>
    </row>
    <row r="1017" spans="2:9" x14ac:dyDescent="0.25">
      <c r="B1017" s="16" t="s">
        <v>22</v>
      </c>
      <c r="C1017" s="17">
        <v>45083</v>
      </c>
      <c r="D1017" s="16">
        <v>105251</v>
      </c>
      <c r="E1017" s="16">
        <v>7863</v>
      </c>
      <c r="F1017" s="18" t="s">
        <v>267</v>
      </c>
      <c r="G1017" s="16" t="s">
        <v>5</v>
      </c>
      <c r="H1017" s="16" t="s">
        <v>28</v>
      </c>
      <c r="I1017" s="16" t="s">
        <v>61</v>
      </c>
    </row>
    <row r="1018" spans="2:9" x14ac:dyDescent="0.25">
      <c r="B1018" s="16" t="s">
        <v>2</v>
      </c>
      <c r="C1018" s="17">
        <v>45083</v>
      </c>
      <c r="D1018" s="16">
        <v>6400</v>
      </c>
      <c r="E1018" s="16">
        <v>64800</v>
      </c>
      <c r="F1018" s="18" t="s">
        <v>276</v>
      </c>
      <c r="G1018" s="16" t="s">
        <v>5</v>
      </c>
      <c r="H1018" s="16" t="s">
        <v>28</v>
      </c>
      <c r="I1018" s="16" t="s">
        <v>17</v>
      </c>
    </row>
    <row r="1019" spans="2:9" x14ac:dyDescent="0.25">
      <c r="B1019" s="16" t="s">
        <v>33</v>
      </c>
      <c r="C1019" s="17">
        <v>45083</v>
      </c>
      <c r="D1019" s="16">
        <v>95305</v>
      </c>
      <c r="E1019" s="16">
        <v>2049</v>
      </c>
      <c r="F1019" s="18" t="s">
        <v>154</v>
      </c>
      <c r="G1019" s="16" t="s">
        <v>16</v>
      </c>
      <c r="H1019" s="16" t="s">
        <v>46</v>
      </c>
      <c r="I1019" s="16" t="s">
        <v>17</v>
      </c>
    </row>
    <row r="1020" spans="2:9" x14ac:dyDescent="0.25">
      <c r="B1020" s="16" t="s">
        <v>40</v>
      </c>
      <c r="C1020" s="17">
        <v>45083</v>
      </c>
      <c r="D1020" s="16">
        <v>11123820</v>
      </c>
      <c r="E1020" s="16">
        <v>9455</v>
      </c>
      <c r="F1020" s="18" t="s">
        <v>151</v>
      </c>
      <c r="G1020" s="16" t="s">
        <v>16</v>
      </c>
      <c r="H1020" s="16" t="s">
        <v>46</v>
      </c>
      <c r="I1020" s="16" t="s">
        <v>17</v>
      </c>
    </row>
    <row r="1021" spans="2:9" x14ac:dyDescent="0.25">
      <c r="B1021" s="16" t="s">
        <v>2</v>
      </c>
      <c r="C1021" s="17">
        <v>45083</v>
      </c>
      <c r="D1021" s="16">
        <v>48019</v>
      </c>
      <c r="E1021" s="16">
        <v>10348</v>
      </c>
      <c r="F1021" s="18" t="s">
        <v>76</v>
      </c>
      <c r="G1021" s="16" t="s">
        <v>7</v>
      </c>
      <c r="H1021" s="16" t="s">
        <v>41</v>
      </c>
      <c r="I1021" s="16" t="s">
        <v>17</v>
      </c>
    </row>
    <row r="1022" spans="2:9" x14ac:dyDescent="0.25">
      <c r="B1022" s="16" t="s">
        <v>26</v>
      </c>
      <c r="C1022" s="17">
        <v>45083</v>
      </c>
      <c r="D1022" s="16">
        <v>101441</v>
      </c>
      <c r="E1022" s="16">
        <v>10349</v>
      </c>
      <c r="F1022" s="18" t="s">
        <v>273</v>
      </c>
      <c r="G1022" s="16" t="s">
        <v>55</v>
      </c>
      <c r="H1022" s="16" t="s">
        <v>75</v>
      </c>
      <c r="I1022" s="16" t="s">
        <v>274</v>
      </c>
    </row>
    <row r="1023" spans="2:9" x14ac:dyDescent="0.25">
      <c r="B1023" s="16" t="s">
        <v>40</v>
      </c>
      <c r="C1023" s="17">
        <v>45083</v>
      </c>
      <c r="D1023" s="16">
        <v>322269</v>
      </c>
      <c r="E1023" s="16">
        <v>9660</v>
      </c>
      <c r="F1023" s="18" t="s">
        <v>272</v>
      </c>
      <c r="G1023" s="16" t="s">
        <v>16</v>
      </c>
      <c r="H1023" s="16" t="s">
        <v>39</v>
      </c>
      <c r="I1023" s="16" t="s">
        <v>192</v>
      </c>
    </row>
    <row r="1024" spans="2:9" x14ac:dyDescent="0.25">
      <c r="B1024" s="16" t="s">
        <v>26</v>
      </c>
      <c r="C1024" s="17">
        <v>45083</v>
      </c>
      <c r="D1024" s="16">
        <v>1111869</v>
      </c>
      <c r="E1024" s="16">
        <v>1139</v>
      </c>
      <c r="F1024" s="18" t="s">
        <v>66</v>
      </c>
      <c r="G1024" s="16" t="s">
        <v>16</v>
      </c>
      <c r="H1024" s="16" t="s">
        <v>137</v>
      </c>
      <c r="I1024" s="16" t="s">
        <v>17</v>
      </c>
    </row>
    <row r="1025" spans="2:9" x14ac:dyDescent="0.25">
      <c r="B1025" s="16" t="s">
        <v>22</v>
      </c>
      <c r="C1025" s="17">
        <v>45083</v>
      </c>
      <c r="D1025" s="16">
        <v>53310</v>
      </c>
      <c r="E1025" s="16">
        <v>10388</v>
      </c>
      <c r="F1025" s="18" t="s">
        <v>211</v>
      </c>
      <c r="G1025" s="16" t="s">
        <v>4</v>
      </c>
      <c r="H1025" s="16" t="s">
        <v>186</v>
      </c>
      <c r="I1025" s="16" t="s">
        <v>61</v>
      </c>
    </row>
    <row r="1026" spans="2:9" x14ac:dyDescent="0.25">
      <c r="B1026" s="16" t="s">
        <v>2</v>
      </c>
      <c r="C1026" s="17">
        <v>45083</v>
      </c>
      <c r="D1026" s="16">
        <v>41771</v>
      </c>
      <c r="E1026" s="16">
        <v>63846</v>
      </c>
      <c r="F1026" s="18" t="s">
        <v>271</v>
      </c>
      <c r="G1026" s="16" t="s">
        <v>3</v>
      </c>
      <c r="H1026" s="16" t="s">
        <v>184</v>
      </c>
      <c r="I1026" s="16" t="s">
        <v>61</v>
      </c>
    </row>
    <row r="1027" spans="2:9" x14ac:dyDescent="0.25">
      <c r="B1027" s="16" t="s">
        <v>40</v>
      </c>
      <c r="C1027" s="17">
        <v>45083</v>
      </c>
      <c r="D1027" s="16">
        <v>1127672</v>
      </c>
      <c r="E1027" s="16">
        <v>9516</v>
      </c>
      <c r="F1027" s="18" t="s">
        <v>110</v>
      </c>
      <c r="G1027" s="16" t="s">
        <v>16</v>
      </c>
      <c r="H1027" s="16" t="s">
        <v>184</v>
      </c>
      <c r="I1027" s="16" t="s">
        <v>61</v>
      </c>
    </row>
    <row r="1028" spans="2:9" x14ac:dyDescent="0.25">
      <c r="B1028" s="16" t="s">
        <v>26</v>
      </c>
      <c r="C1028" s="17">
        <v>45083</v>
      </c>
      <c r="D1028" s="16">
        <v>5483</v>
      </c>
      <c r="E1028" s="16">
        <v>70420</v>
      </c>
      <c r="F1028" s="18" t="s">
        <v>268</v>
      </c>
      <c r="G1028" s="16" t="s">
        <v>4</v>
      </c>
      <c r="H1028" s="16" t="s">
        <v>114</v>
      </c>
      <c r="I1028" s="16" t="s">
        <v>17</v>
      </c>
    </row>
    <row r="1029" spans="2:9" x14ac:dyDescent="0.25">
      <c r="B1029" s="16" t="s">
        <v>26</v>
      </c>
      <c r="C1029" s="17">
        <v>45083</v>
      </c>
      <c r="D1029" s="16">
        <v>159072</v>
      </c>
      <c r="E1029" s="16">
        <v>10440</v>
      </c>
      <c r="F1029" s="18" t="s">
        <v>37</v>
      </c>
      <c r="G1029" s="16" t="s">
        <v>16</v>
      </c>
      <c r="H1029" s="16" t="s">
        <v>38</v>
      </c>
      <c r="I1029" s="16" t="s">
        <v>61</v>
      </c>
    </row>
    <row r="1030" spans="2:9" x14ac:dyDescent="0.25">
      <c r="B1030" s="16" t="s">
        <v>40</v>
      </c>
      <c r="C1030" s="17">
        <v>45083</v>
      </c>
      <c r="D1030" s="16">
        <v>11122814</v>
      </c>
      <c r="E1030" s="16">
        <v>9455</v>
      </c>
      <c r="F1030" s="18" t="s">
        <v>151</v>
      </c>
      <c r="G1030" s="16" t="s">
        <v>16</v>
      </c>
      <c r="H1030" s="16" t="s">
        <v>38</v>
      </c>
      <c r="I1030" s="16" t="s">
        <v>17</v>
      </c>
    </row>
    <row r="1031" spans="2:9" x14ac:dyDescent="0.25">
      <c r="B1031" s="16" t="s">
        <v>26</v>
      </c>
      <c r="C1031" s="17">
        <v>45084</v>
      </c>
      <c r="D1031" s="16">
        <v>1109207</v>
      </c>
      <c r="E1031" s="16">
        <v>6037</v>
      </c>
      <c r="F1031" s="18" t="s">
        <v>257</v>
      </c>
      <c r="G1031" s="16" t="s">
        <v>16</v>
      </c>
      <c r="H1031" s="16" t="s">
        <v>71</v>
      </c>
      <c r="I1031" s="16" t="s">
        <v>17</v>
      </c>
    </row>
    <row r="1032" spans="2:9" x14ac:dyDescent="0.25">
      <c r="B1032" s="16" t="s">
        <v>26</v>
      </c>
      <c r="C1032" s="17">
        <v>45084</v>
      </c>
      <c r="D1032" s="16">
        <v>1109214</v>
      </c>
      <c r="E1032" s="16">
        <v>6037</v>
      </c>
      <c r="F1032" s="18" t="s">
        <v>257</v>
      </c>
      <c r="G1032" s="16" t="s">
        <v>16</v>
      </c>
      <c r="H1032" s="16" t="s">
        <v>71</v>
      </c>
      <c r="I1032" s="16" t="s">
        <v>17</v>
      </c>
    </row>
    <row r="1033" spans="2:9" x14ac:dyDescent="0.25">
      <c r="B1033" s="16" t="s">
        <v>26</v>
      </c>
      <c r="C1033" s="17">
        <v>45084</v>
      </c>
      <c r="D1033" s="16">
        <v>1107331</v>
      </c>
      <c r="E1033" s="16">
        <v>6037</v>
      </c>
      <c r="F1033" s="18" t="s">
        <v>257</v>
      </c>
      <c r="G1033" s="16" t="s">
        <v>16</v>
      </c>
      <c r="H1033" s="16" t="s">
        <v>71</v>
      </c>
      <c r="I1033" s="16" t="s">
        <v>17</v>
      </c>
    </row>
    <row r="1034" spans="2:9" x14ac:dyDescent="0.25">
      <c r="B1034" s="16" t="s">
        <v>22</v>
      </c>
      <c r="C1034" s="17">
        <v>45084</v>
      </c>
      <c r="D1034" s="16">
        <v>6418</v>
      </c>
      <c r="E1034" s="16">
        <v>64800</v>
      </c>
      <c r="F1034" s="18" t="s">
        <v>276</v>
      </c>
      <c r="G1034" s="16" t="s">
        <v>5</v>
      </c>
      <c r="H1034" s="16" t="s">
        <v>71</v>
      </c>
      <c r="I1034" s="16" t="s">
        <v>17</v>
      </c>
    </row>
    <row r="1035" spans="2:9" x14ac:dyDescent="0.25">
      <c r="B1035" s="16" t="s">
        <v>210</v>
      </c>
      <c r="C1035" s="17">
        <v>45084</v>
      </c>
      <c r="D1035" s="16">
        <v>4836861</v>
      </c>
      <c r="E1035" s="16">
        <v>9430</v>
      </c>
      <c r="F1035" s="18" t="s">
        <v>185</v>
      </c>
      <c r="G1035" s="16" t="s">
        <v>16</v>
      </c>
      <c r="H1035" s="16" t="s">
        <v>36</v>
      </c>
      <c r="I1035" s="16" t="s">
        <v>61</v>
      </c>
    </row>
    <row r="1036" spans="2:9" x14ac:dyDescent="0.25">
      <c r="B1036" s="16" t="s">
        <v>210</v>
      </c>
      <c r="C1036" s="17">
        <v>45084</v>
      </c>
      <c r="D1036" s="16">
        <v>4836847</v>
      </c>
      <c r="E1036" s="16">
        <v>9430</v>
      </c>
      <c r="F1036" s="18" t="s">
        <v>185</v>
      </c>
      <c r="G1036" s="16" t="s">
        <v>16</v>
      </c>
      <c r="H1036" s="16" t="s">
        <v>36</v>
      </c>
      <c r="I1036" s="16" t="s">
        <v>61</v>
      </c>
    </row>
    <row r="1037" spans="2:9" x14ac:dyDescent="0.25">
      <c r="B1037" s="16" t="s">
        <v>2</v>
      </c>
      <c r="C1037" s="17">
        <v>45084</v>
      </c>
      <c r="D1037" s="16">
        <v>103442</v>
      </c>
      <c r="E1037" s="16">
        <v>10489</v>
      </c>
      <c r="F1037" s="18" t="s">
        <v>278</v>
      </c>
      <c r="G1037" s="16" t="s">
        <v>3</v>
      </c>
      <c r="H1037" s="16" t="s">
        <v>49</v>
      </c>
      <c r="I1037" s="16" t="s">
        <v>17</v>
      </c>
    </row>
    <row r="1038" spans="2:9" x14ac:dyDescent="0.25">
      <c r="B1038" s="16" t="s">
        <v>40</v>
      </c>
      <c r="C1038" s="17">
        <v>45084</v>
      </c>
      <c r="D1038" s="16">
        <v>129496</v>
      </c>
      <c r="E1038" s="16">
        <v>9830</v>
      </c>
      <c r="F1038" s="18" t="s">
        <v>280</v>
      </c>
      <c r="G1038" s="16" t="s">
        <v>4</v>
      </c>
      <c r="H1038" s="16" t="s">
        <v>49</v>
      </c>
      <c r="I1038" s="16" t="s">
        <v>17</v>
      </c>
    </row>
    <row r="1039" spans="2:9" x14ac:dyDescent="0.25">
      <c r="B1039" s="16" t="s">
        <v>33</v>
      </c>
      <c r="C1039" s="17">
        <v>45084</v>
      </c>
      <c r="D1039" s="16">
        <v>268361</v>
      </c>
      <c r="E1039" s="16">
        <v>3578</v>
      </c>
      <c r="F1039" s="18" t="s">
        <v>161</v>
      </c>
      <c r="G1039" s="16" t="s">
        <v>55</v>
      </c>
      <c r="H1039" s="16" t="s">
        <v>49</v>
      </c>
      <c r="I1039" s="16" t="s">
        <v>17</v>
      </c>
    </row>
    <row r="1040" spans="2:9" x14ac:dyDescent="0.25">
      <c r="B1040" s="16" t="s">
        <v>26</v>
      </c>
      <c r="C1040" s="17">
        <v>45084</v>
      </c>
      <c r="D1040" s="16">
        <v>6414</v>
      </c>
      <c r="E1040" s="16">
        <v>64800</v>
      </c>
      <c r="F1040" s="18" t="s">
        <v>276</v>
      </c>
      <c r="G1040" s="16" t="s">
        <v>5</v>
      </c>
      <c r="H1040" s="16" t="s">
        <v>28</v>
      </c>
      <c r="I1040" s="16" t="s">
        <v>57</v>
      </c>
    </row>
    <row r="1041" spans="2:9" x14ac:dyDescent="0.25">
      <c r="B1041" s="16" t="s">
        <v>33</v>
      </c>
      <c r="C1041" s="17">
        <v>45084</v>
      </c>
      <c r="D1041" s="16">
        <v>6403</v>
      </c>
      <c r="E1041" s="16">
        <v>64800</v>
      </c>
      <c r="F1041" s="18" t="s">
        <v>276</v>
      </c>
      <c r="G1041" s="16" t="s">
        <v>5</v>
      </c>
      <c r="H1041" s="16" t="s">
        <v>46</v>
      </c>
      <c r="I1041" s="16" t="s">
        <v>17</v>
      </c>
    </row>
    <row r="1042" spans="2:9" x14ac:dyDescent="0.25">
      <c r="B1042" s="16" t="s">
        <v>33</v>
      </c>
      <c r="C1042" s="17">
        <v>45084</v>
      </c>
      <c r="D1042" s="16">
        <v>14539</v>
      </c>
      <c r="E1042" s="16">
        <v>11860</v>
      </c>
      <c r="F1042" s="18" t="s">
        <v>269</v>
      </c>
      <c r="G1042" s="16" t="s">
        <v>16</v>
      </c>
      <c r="H1042" s="16" t="s">
        <v>46</v>
      </c>
      <c r="I1042" s="16" t="s">
        <v>92</v>
      </c>
    </row>
    <row r="1043" spans="2:9" x14ac:dyDescent="0.25">
      <c r="B1043" s="16" t="s">
        <v>26</v>
      </c>
      <c r="C1043" s="17">
        <v>45084</v>
      </c>
      <c r="D1043" s="16">
        <v>101441</v>
      </c>
      <c r="E1043" s="16">
        <v>10349</v>
      </c>
      <c r="F1043" s="18" t="s">
        <v>273</v>
      </c>
      <c r="G1043" s="16" t="s">
        <v>55</v>
      </c>
      <c r="H1043" s="16" t="s">
        <v>75</v>
      </c>
      <c r="I1043" s="16" t="s">
        <v>274</v>
      </c>
    </row>
    <row r="1044" spans="2:9" x14ac:dyDescent="0.25">
      <c r="B1044" s="16" t="s">
        <v>33</v>
      </c>
      <c r="C1044" s="17">
        <v>45084</v>
      </c>
      <c r="D1044" s="16">
        <v>11122855</v>
      </c>
      <c r="E1044" s="16">
        <v>9455</v>
      </c>
      <c r="F1044" s="18" t="s">
        <v>151</v>
      </c>
      <c r="G1044" s="16" t="s">
        <v>16</v>
      </c>
      <c r="H1044" s="16" t="s">
        <v>176</v>
      </c>
      <c r="I1044" s="16" t="s">
        <v>132</v>
      </c>
    </row>
    <row r="1045" spans="2:9" x14ac:dyDescent="0.25">
      <c r="B1045" s="16" t="s">
        <v>26</v>
      </c>
      <c r="C1045" s="17">
        <v>45084</v>
      </c>
      <c r="D1045" s="16">
        <v>67368</v>
      </c>
      <c r="E1045" s="16">
        <v>9398</v>
      </c>
      <c r="F1045" s="18" t="s">
        <v>65</v>
      </c>
      <c r="G1045" s="16" t="s">
        <v>16</v>
      </c>
      <c r="H1045" s="16" t="s">
        <v>190</v>
      </c>
      <c r="I1045" s="16" t="s">
        <v>17</v>
      </c>
    </row>
    <row r="1046" spans="2:9" x14ac:dyDescent="0.25">
      <c r="B1046" s="16" t="s">
        <v>26</v>
      </c>
      <c r="C1046" s="17">
        <v>45084</v>
      </c>
      <c r="D1046" s="16">
        <v>74585</v>
      </c>
      <c r="E1046" s="16">
        <v>13876</v>
      </c>
      <c r="F1046" s="18" t="s">
        <v>135</v>
      </c>
      <c r="G1046" s="16" t="s">
        <v>3</v>
      </c>
      <c r="H1046" s="16" t="s">
        <v>39</v>
      </c>
      <c r="I1046" s="16" t="s">
        <v>17</v>
      </c>
    </row>
    <row r="1047" spans="2:9" x14ac:dyDescent="0.25">
      <c r="B1047" s="16" t="s">
        <v>40</v>
      </c>
      <c r="C1047" s="17">
        <v>45084</v>
      </c>
      <c r="D1047" s="16">
        <v>27623</v>
      </c>
      <c r="E1047" s="16">
        <v>13510</v>
      </c>
      <c r="F1047" s="18" t="s">
        <v>140</v>
      </c>
      <c r="G1047" s="16" t="s">
        <v>3</v>
      </c>
      <c r="H1047" s="16" t="s">
        <v>39</v>
      </c>
      <c r="I1047" s="16" t="s">
        <v>61</v>
      </c>
    </row>
    <row r="1048" spans="2:9" x14ac:dyDescent="0.25">
      <c r="B1048" s="16" t="s">
        <v>26</v>
      </c>
      <c r="C1048" s="17">
        <v>45084</v>
      </c>
      <c r="D1048" s="16">
        <v>948140</v>
      </c>
      <c r="E1048" s="16">
        <v>9398</v>
      </c>
      <c r="F1048" s="18" t="s">
        <v>65</v>
      </c>
      <c r="G1048" s="16" t="s">
        <v>16</v>
      </c>
      <c r="H1048" s="16" t="s">
        <v>186</v>
      </c>
      <c r="I1048" s="16" t="s">
        <v>61</v>
      </c>
    </row>
    <row r="1049" spans="2:9" x14ac:dyDescent="0.25">
      <c r="B1049" s="16" t="s">
        <v>26</v>
      </c>
      <c r="C1049" s="17">
        <v>45084</v>
      </c>
      <c r="D1049" s="16">
        <v>948141</v>
      </c>
      <c r="E1049" s="16">
        <v>9398</v>
      </c>
      <c r="F1049" s="18" t="s">
        <v>65</v>
      </c>
      <c r="G1049" s="16" t="s">
        <v>16</v>
      </c>
      <c r="H1049" s="16" t="s">
        <v>186</v>
      </c>
      <c r="I1049" s="16" t="s">
        <v>61</v>
      </c>
    </row>
    <row r="1050" spans="2:9" x14ac:dyDescent="0.25">
      <c r="B1050" s="16" t="s">
        <v>40</v>
      </c>
      <c r="C1050" s="17">
        <v>45084</v>
      </c>
      <c r="D1050" s="16">
        <v>6573962</v>
      </c>
      <c r="E1050" s="16">
        <v>9844</v>
      </c>
      <c r="F1050" s="18" t="s">
        <v>279</v>
      </c>
      <c r="G1050" s="16" t="s">
        <v>6</v>
      </c>
      <c r="H1050" s="16" t="s">
        <v>186</v>
      </c>
      <c r="I1050" s="16" t="s">
        <v>61</v>
      </c>
    </row>
    <row r="1051" spans="2:9" x14ac:dyDescent="0.25">
      <c r="B1051" s="16" t="s">
        <v>26</v>
      </c>
      <c r="C1051" s="17">
        <v>45084</v>
      </c>
      <c r="D1051" s="16">
        <v>1129113</v>
      </c>
      <c r="E1051" s="16">
        <v>9516</v>
      </c>
      <c r="F1051" s="18" t="s">
        <v>110</v>
      </c>
      <c r="G1051" s="16" t="s">
        <v>16</v>
      </c>
      <c r="H1051" s="16" t="s">
        <v>184</v>
      </c>
      <c r="I1051" s="16" t="s">
        <v>61</v>
      </c>
    </row>
    <row r="1052" spans="2:9" x14ac:dyDescent="0.25">
      <c r="B1052" s="16" t="s">
        <v>2</v>
      </c>
      <c r="C1052" s="17">
        <v>45084</v>
      </c>
      <c r="D1052" s="16">
        <v>2109772</v>
      </c>
      <c r="E1052" s="16">
        <v>9459</v>
      </c>
      <c r="F1052" s="18" t="s">
        <v>105</v>
      </c>
      <c r="G1052" s="16" t="s">
        <v>5</v>
      </c>
      <c r="H1052" s="16" t="s">
        <v>184</v>
      </c>
      <c r="I1052" s="16" t="s">
        <v>61</v>
      </c>
    </row>
    <row r="1053" spans="2:9" x14ac:dyDescent="0.25">
      <c r="B1053" s="16" t="s">
        <v>210</v>
      </c>
      <c r="C1053" s="17">
        <v>45084</v>
      </c>
      <c r="D1053" s="16">
        <v>1129601</v>
      </c>
      <c r="E1053" s="16">
        <v>9516</v>
      </c>
      <c r="F1053" s="18" t="s">
        <v>110</v>
      </c>
      <c r="G1053" s="16" t="s">
        <v>16</v>
      </c>
      <c r="H1053" s="16" t="s">
        <v>184</v>
      </c>
      <c r="I1053" s="16" t="s">
        <v>61</v>
      </c>
    </row>
    <row r="1054" spans="2:9" x14ac:dyDescent="0.25">
      <c r="B1054" s="16" t="s">
        <v>210</v>
      </c>
      <c r="C1054" s="17">
        <v>45084</v>
      </c>
      <c r="D1054" s="16">
        <v>4836886</v>
      </c>
      <c r="E1054" s="16">
        <v>9430</v>
      </c>
      <c r="F1054" s="18" t="s">
        <v>185</v>
      </c>
      <c r="G1054" s="16" t="s">
        <v>16</v>
      </c>
      <c r="H1054" s="16" t="s">
        <v>184</v>
      </c>
      <c r="I1054" s="16" t="s">
        <v>61</v>
      </c>
    </row>
    <row r="1055" spans="2:9" x14ac:dyDescent="0.25">
      <c r="B1055" s="16" t="s">
        <v>210</v>
      </c>
      <c r="C1055" s="17">
        <v>45084</v>
      </c>
      <c r="D1055" s="16">
        <v>4836857</v>
      </c>
      <c r="E1055" s="16">
        <v>9430</v>
      </c>
      <c r="F1055" s="18" t="s">
        <v>185</v>
      </c>
      <c r="G1055" s="16" t="s">
        <v>16</v>
      </c>
      <c r="H1055" s="16" t="s">
        <v>184</v>
      </c>
      <c r="I1055" s="16" t="s">
        <v>59</v>
      </c>
    </row>
    <row r="1056" spans="2:9" x14ac:dyDescent="0.25">
      <c r="B1056" s="16" t="s">
        <v>210</v>
      </c>
      <c r="C1056" s="17">
        <v>45084</v>
      </c>
      <c r="D1056" s="16">
        <v>103424</v>
      </c>
      <c r="E1056" s="16">
        <v>10489</v>
      </c>
      <c r="F1056" s="18" t="s">
        <v>278</v>
      </c>
      <c r="G1056" s="16" t="s">
        <v>3</v>
      </c>
      <c r="H1056" s="16" t="s">
        <v>184</v>
      </c>
      <c r="I1056" s="16" t="s">
        <v>281</v>
      </c>
    </row>
    <row r="1057" spans="2:9" x14ac:dyDescent="0.25">
      <c r="B1057" s="16" t="s">
        <v>210</v>
      </c>
      <c r="C1057" s="17">
        <v>45084</v>
      </c>
      <c r="D1057" s="16">
        <v>4321426</v>
      </c>
      <c r="E1057" s="16">
        <v>1174</v>
      </c>
      <c r="F1057" s="18" t="s">
        <v>100</v>
      </c>
      <c r="G1057" s="16" t="s">
        <v>3</v>
      </c>
      <c r="H1057" s="16" t="s">
        <v>184</v>
      </c>
      <c r="I1057" s="16" t="s">
        <v>232</v>
      </c>
    </row>
    <row r="1058" spans="2:9" x14ac:dyDescent="0.25">
      <c r="B1058" s="16" t="s">
        <v>26</v>
      </c>
      <c r="C1058" s="17">
        <v>45084</v>
      </c>
      <c r="D1058" s="16">
        <v>1790147</v>
      </c>
      <c r="E1058" s="16">
        <v>1015</v>
      </c>
      <c r="F1058" s="18" t="s">
        <v>134</v>
      </c>
      <c r="G1058" s="16" t="s">
        <v>4</v>
      </c>
      <c r="H1058" s="16" t="s">
        <v>170</v>
      </c>
      <c r="I1058" s="16" t="s">
        <v>17</v>
      </c>
    </row>
    <row r="1059" spans="2:9" x14ac:dyDescent="0.25">
      <c r="B1059" s="16" t="s">
        <v>33</v>
      </c>
      <c r="C1059" s="17">
        <v>45084</v>
      </c>
      <c r="D1059" s="16">
        <v>159578</v>
      </c>
      <c r="E1059" s="16">
        <v>10440</v>
      </c>
      <c r="F1059" s="18" t="s">
        <v>37</v>
      </c>
      <c r="G1059" s="16" t="s">
        <v>93</v>
      </c>
      <c r="H1059" s="16" t="s">
        <v>38</v>
      </c>
      <c r="I1059" s="16" t="s">
        <v>84</v>
      </c>
    </row>
    <row r="1060" spans="2:9" x14ac:dyDescent="0.25">
      <c r="B1060" s="16" t="s">
        <v>33</v>
      </c>
      <c r="C1060" s="17">
        <v>45084</v>
      </c>
      <c r="D1060" s="16">
        <v>631572</v>
      </c>
      <c r="E1060" s="16">
        <v>3610</v>
      </c>
      <c r="F1060" s="18" t="s">
        <v>8</v>
      </c>
      <c r="G1060" s="16" t="s">
        <v>6</v>
      </c>
      <c r="H1060" s="16" t="s">
        <v>38</v>
      </c>
      <c r="I1060" s="16" t="s">
        <v>17</v>
      </c>
    </row>
    <row r="1061" spans="2:9" x14ac:dyDescent="0.25">
      <c r="B1061" s="16" t="s">
        <v>210</v>
      </c>
      <c r="C1061" s="17">
        <v>45084</v>
      </c>
      <c r="D1061" s="16">
        <v>65518</v>
      </c>
      <c r="E1061" s="16">
        <v>5346</v>
      </c>
      <c r="F1061" s="18" t="s">
        <v>277</v>
      </c>
      <c r="G1061" s="16" t="s">
        <v>7</v>
      </c>
      <c r="H1061" s="16" t="s">
        <v>38</v>
      </c>
      <c r="I1061" s="16" t="s">
        <v>17</v>
      </c>
    </row>
    <row r="1062" spans="2:9" x14ac:dyDescent="0.25">
      <c r="B1062" s="16" t="s">
        <v>22</v>
      </c>
      <c r="C1062" s="17">
        <v>45084</v>
      </c>
      <c r="D1062" s="16">
        <v>118758</v>
      </c>
      <c r="E1062" s="16">
        <v>11604</v>
      </c>
      <c r="F1062" s="18" t="s">
        <v>63</v>
      </c>
      <c r="G1062" s="16" t="s">
        <v>54</v>
      </c>
      <c r="H1062" s="16" t="s">
        <v>38</v>
      </c>
      <c r="I1062" s="16" t="s">
        <v>17</v>
      </c>
    </row>
    <row r="1063" spans="2:9" x14ac:dyDescent="0.25">
      <c r="B1063" s="16" t="s">
        <v>26</v>
      </c>
      <c r="C1063" s="17">
        <v>45085</v>
      </c>
      <c r="D1063" s="16">
        <v>258589</v>
      </c>
      <c r="E1063" s="16">
        <v>71433</v>
      </c>
      <c r="F1063" s="18" t="s">
        <v>251</v>
      </c>
      <c r="G1063" s="16" t="s">
        <v>5</v>
      </c>
      <c r="H1063" s="16" t="s">
        <v>71</v>
      </c>
      <c r="I1063" s="16" t="s">
        <v>17</v>
      </c>
    </row>
    <row r="1064" spans="2:9" x14ac:dyDescent="0.25">
      <c r="B1064" s="16" t="s">
        <v>26</v>
      </c>
      <c r="C1064" s="17">
        <v>45085</v>
      </c>
      <c r="D1064" s="16">
        <v>75558</v>
      </c>
      <c r="E1064" s="16">
        <v>64460</v>
      </c>
      <c r="F1064" s="18" t="s">
        <v>139</v>
      </c>
      <c r="G1064" s="16" t="s">
        <v>6</v>
      </c>
      <c r="H1064" s="16" t="s">
        <v>28</v>
      </c>
      <c r="I1064" s="16" t="s">
        <v>20</v>
      </c>
    </row>
    <row r="1065" spans="2:9" x14ac:dyDescent="0.25">
      <c r="B1065" s="16" t="s">
        <v>26</v>
      </c>
      <c r="C1065" s="17">
        <v>45085</v>
      </c>
      <c r="D1065" s="16">
        <v>3552</v>
      </c>
      <c r="E1065" s="16">
        <v>70670</v>
      </c>
      <c r="F1065" s="18" t="s">
        <v>101</v>
      </c>
      <c r="G1065" s="16" t="s">
        <v>3</v>
      </c>
      <c r="H1065" s="16" t="s">
        <v>28</v>
      </c>
      <c r="I1065" s="16" t="s">
        <v>20</v>
      </c>
    </row>
    <row r="1066" spans="2:9" x14ac:dyDescent="0.25">
      <c r="B1066" s="16" t="s">
        <v>26</v>
      </c>
      <c r="C1066" s="17">
        <v>45085</v>
      </c>
      <c r="D1066" s="16">
        <v>6414</v>
      </c>
      <c r="E1066" s="16">
        <v>64800</v>
      </c>
      <c r="F1066" s="18" t="s">
        <v>276</v>
      </c>
      <c r="G1066" s="16" t="s">
        <v>5</v>
      </c>
      <c r="H1066" s="16" t="s">
        <v>28</v>
      </c>
      <c r="I1066" s="16" t="s">
        <v>61</v>
      </c>
    </row>
    <row r="1067" spans="2:9" x14ac:dyDescent="0.25">
      <c r="B1067" s="16" t="s">
        <v>26</v>
      </c>
      <c r="C1067" s="17">
        <v>45085</v>
      </c>
      <c r="D1067" s="16">
        <v>1107331</v>
      </c>
      <c r="E1067" s="16">
        <v>6037</v>
      </c>
      <c r="F1067" s="18" t="s">
        <v>257</v>
      </c>
      <c r="G1067" s="16" t="s">
        <v>16</v>
      </c>
      <c r="H1067" s="16" t="s">
        <v>28</v>
      </c>
      <c r="I1067" s="16" t="s">
        <v>73</v>
      </c>
    </row>
    <row r="1068" spans="2:9" x14ac:dyDescent="0.25">
      <c r="B1068" s="16" t="s">
        <v>26</v>
      </c>
      <c r="C1068" s="17">
        <v>45085</v>
      </c>
      <c r="D1068" s="16">
        <v>1109214</v>
      </c>
      <c r="E1068" s="16">
        <v>6037</v>
      </c>
      <c r="F1068" s="18" t="s">
        <v>257</v>
      </c>
      <c r="G1068" s="16" t="s">
        <v>16</v>
      </c>
      <c r="H1068" s="16" t="s">
        <v>28</v>
      </c>
      <c r="I1068" s="16" t="s">
        <v>73</v>
      </c>
    </row>
    <row r="1069" spans="2:9" x14ac:dyDescent="0.25">
      <c r="B1069" s="16" t="s">
        <v>26</v>
      </c>
      <c r="C1069" s="17">
        <v>45085</v>
      </c>
      <c r="D1069" s="16">
        <v>1109207</v>
      </c>
      <c r="E1069" s="16">
        <v>6037</v>
      </c>
      <c r="F1069" s="18" t="s">
        <v>257</v>
      </c>
      <c r="G1069" s="16" t="s">
        <v>16</v>
      </c>
      <c r="H1069" s="16" t="s">
        <v>28</v>
      </c>
      <c r="I1069" s="16" t="s">
        <v>73</v>
      </c>
    </row>
    <row r="1070" spans="2:9" x14ac:dyDescent="0.25">
      <c r="B1070" s="16" t="s">
        <v>33</v>
      </c>
      <c r="C1070" s="17">
        <v>45085</v>
      </c>
      <c r="D1070" s="16">
        <v>20510</v>
      </c>
      <c r="E1070" s="16">
        <v>14818</v>
      </c>
      <c r="F1070" s="18" t="s">
        <v>90</v>
      </c>
      <c r="G1070" s="16" t="s">
        <v>4</v>
      </c>
      <c r="H1070" s="16" t="s">
        <v>265</v>
      </c>
      <c r="I1070" s="16" t="s">
        <v>61</v>
      </c>
    </row>
    <row r="1071" spans="2:9" x14ac:dyDescent="0.25">
      <c r="B1071" s="16" t="s">
        <v>33</v>
      </c>
      <c r="C1071" s="17">
        <v>45085</v>
      </c>
      <c r="D1071" s="16">
        <v>4322267</v>
      </c>
      <c r="E1071" s="16">
        <v>1174</v>
      </c>
      <c r="F1071" s="18" t="s">
        <v>100</v>
      </c>
      <c r="G1071" s="16" t="s">
        <v>4</v>
      </c>
      <c r="H1071" s="16" t="s">
        <v>186</v>
      </c>
      <c r="I1071" s="16" t="s">
        <v>61</v>
      </c>
    </row>
    <row r="1072" spans="2:9" x14ac:dyDescent="0.25">
      <c r="B1072" s="16" t="s">
        <v>26</v>
      </c>
      <c r="C1072" s="17">
        <v>45085</v>
      </c>
      <c r="D1072" s="16">
        <v>118789</v>
      </c>
      <c r="E1072" s="16">
        <v>11604</v>
      </c>
      <c r="F1072" s="18" t="s">
        <v>63</v>
      </c>
      <c r="G1072" s="16" t="s">
        <v>54</v>
      </c>
      <c r="H1072" s="16" t="s">
        <v>38</v>
      </c>
      <c r="I1072" s="16" t="s">
        <v>17</v>
      </c>
    </row>
    <row r="1073" spans="2:9" x14ac:dyDescent="0.25">
      <c r="B1073" s="16" t="s">
        <v>210</v>
      </c>
      <c r="C1073" s="17">
        <v>45086</v>
      </c>
      <c r="D1073" s="16">
        <v>8422751</v>
      </c>
      <c r="E1073" s="16">
        <v>9389</v>
      </c>
      <c r="F1073" s="18" t="s">
        <v>119</v>
      </c>
      <c r="G1073" s="16" t="s">
        <v>5</v>
      </c>
      <c r="H1073" s="16" t="s">
        <v>71</v>
      </c>
      <c r="I1073" s="16" t="s">
        <v>17</v>
      </c>
    </row>
    <row r="1074" spans="2:9" x14ac:dyDescent="0.25">
      <c r="B1074" s="16" t="s">
        <v>210</v>
      </c>
      <c r="C1074" s="17">
        <v>45086</v>
      </c>
      <c r="D1074" s="16">
        <v>8422752</v>
      </c>
      <c r="E1074" s="16">
        <v>9389</v>
      </c>
      <c r="F1074" s="18" t="s">
        <v>119</v>
      </c>
      <c r="G1074" s="16" t="s">
        <v>16</v>
      </c>
      <c r="H1074" s="16" t="s">
        <v>71</v>
      </c>
      <c r="I1074" s="16" t="s">
        <v>17</v>
      </c>
    </row>
    <row r="1075" spans="2:9" x14ac:dyDescent="0.25">
      <c r="B1075" s="16" t="s">
        <v>210</v>
      </c>
      <c r="C1075" s="17">
        <v>45086</v>
      </c>
      <c r="D1075" s="16">
        <v>8422753</v>
      </c>
      <c r="E1075" s="16">
        <v>9389</v>
      </c>
      <c r="F1075" s="18" t="s">
        <v>119</v>
      </c>
      <c r="G1075" s="16" t="s">
        <v>16</v>
      </c>
      <c r="H1075" s="16" t="s">
        <v>71</v>
      </c>
      <c r="I1075" s="16" t="s">
        <v>17</v>
      </c>
    </row>
    <row r="1076" spans="2:9" x14ac:dyDescent="0.25">
      <c r="B1076" s="16" t="s">
        <v>210</v>
      </c>
      <c r="C1076" s="17">
        <v>45086</v>
      </c>
      <c r="D1076" s="16">
        <v>8422754</v>
      </c>
      <c r="E1076" s="16">
        <v>9389</v>
      </c>
      <c r="F1076" s="18" t="s">
        <v>119</v>
      </c>
      <c r="G1076" s="16" t="s">
        <v>5</v>
      </c>
      <c r="H1076" s="16" t="s">
        <v>71</v>
      </c>
      <c r="I1076" s="16" t="s">
        <v>17</v>
      </c>
    </row>
    <row r="1077" spans="2:9" x14ac:dyDescent="0.25">
      <c r="B1077" s="16" t="s">
        <v>210</v>
      </c>
      <c r="C1077" s="17">
        <v>45086</v>
      </c>
      <c r="D1077" s="16">
        <v>8422755</v>
      </c>
      <c r="E1077" s="16">
        <v>9389</v>
      </c>
      <c r="F1077" s="18" t="s">
        <v>119</v>
      </c>
      <c r="G1077" s="16" t="s">
        <v>5</v>
      </c>
      <c r="H1077" s="16" t="s">
        <v>71</v>
      </c>
      <c r="I1077" s="16" t="s">
        <v>17</v>
      </c>
    </row>
    <row r="1078" spans="2:9" x14ac:dyDescent="0.25">
      <c r="B1078" s="16" t="s">
        <v>210</v>
      </c>
      <c r="C1078" s="17">
        <v>45086</v>
      </c>
      <c r="D1078" s="16">
        <v>8422756</v>
      </c>
      <c r="E1078" s="16">
        <v>9389</v>
      </c>
      <c r="F1078" s="18" t="s">
        <v>119</v>
      </c>
      <c r="G1078" s="16" t="s">
        <v>3</v>
      </c>
      <c r="H1078" s="16" t="s">
        <v>71</v>
      </c>
      <c r="I1078" s="16" t="s">
        <v>17</v>
      </c>
    </row>
    <row r="1079" spans="2:9" x14ac:dyDescent="0.25">
      <c r="B1079" s="16" t="s">
        <v>40</v>
      </c>
      <c r="C1079" s="17">
        <v>45086</v>
      </c>
      <c r="D1079" s="16">
        <v>1130418</v>
      </c>
      <c r="E1079" s="16">
        <v>9516</v>
      </c>
      <c r="F1079" s="18" t="s">
        <v>110</v>
      </c>
      <c r="G1079" s="16" t="s">
        <v>16</v>
      </c>
      <c r="H1079" s="16" t="s">
        <v>36</v>
      </c>
      <c r="I1079" s="16" t="s">
        <v>61</v>
      </c>
    </row>
    <row r="1080" spans="2:9" x14ac:dyDescent="0.25">
      <c r="B1080" s="16" t="s">
        <v>210</v>
      </c>
      <c r="C1080" s="17">
        <v>45086</v>
      </c>
      <c r="D1080" s="16">
        <v>1064416</v>
      </c>
      <c r="E1080" s="16">
        <v>9378</v>
      </c>
      <c r="F1080" s="18" t="s">
        <v>30</v>
      </c>
      <c r="G1080" s="16" t="s">
        <v>52</v>
      </c>
      <c r="H1080" s="16" t="s">
        <v>31</v>
      </c>
      <c r="I1080" s="16" t="s">
        <v>32</v>
      </c>
    </row>
    <row r="1081" spans="2:9" x14ac:dyDescent="0.25">
      <c r="B1081" s="16" t="s">
        <v>210</v>
      </c>
      <c r="C1081" s="17">
        <v>45086</v>
      </c>
      <c r="D1081" s="16">
        <v>4323137</v>
      </c>
      <c r="E1081" s="16">
        <v>1174</v>
      </c>
      <c r="F1081" s="18" t="s">
        <v>100</v>
      </c>
      <c r="G1081" s="16" t="s">
        <v>5</v>
      </c>
      <c r="H1081" s="16" t="s">
        <v>31</v>
      </c>
      <c r="I1081" s="16" t="s">
        <v>32</v>
      </c>
    </row>
    <row r="1082" spans="2:9" x14ac:dyDescent="0.25">
      <c r="B1082" s="16" t="s">
        <v>40</v>
      </c>
      <c r="C1082" s="17">
        <v>45086</v>
      </c>
      <c r="D1082" s="16">
        <v>930498</v>
      </c>
      <c r="E1082" s="16">
        <v>15116</v>
      </c>
      <c r="F1082" s="18" t="s">
        <v>50</v>
      </c>
      <c r="G1082" s="16" t="s">
        <v>16</v>
      </c>
      <c r="H1082" s="16" t="s">
        <v>49</v>
      </c>
      <c r="I1082" s="16" t="s">
        <v>17</v>
      </c>
    </row>
    <row r="1083" spans="2:9" x14ac:dyDescent="0.25">
      <c r="B1083" s="16" t="s">
        <v>33</v>
      </c>
      <c r="C1083" s="17">
        <v>45086</v>
      </c>
      <c r="D1083" s="16">
        <v>1130175</v>
      </c>
      <c r="E1083" s="16">
        <v>9516</v>
      </c>
      <c r="F1083" s="18" t="s">
        <v>110</v>
      </c>
      <c r="G1083" s="16" t="s">
        <v>16</v>
      </c>
      <c r="H1083" s="16" t="s">
        <v>49</v>
      </c>
      <c r="I1083" s="16" t="s">
        <v>17</v>
      </c>
    </row>
    <row r="1084" spans="2:9" x14ac:dyDescent="0.25">
      <c r="B1084" s="16" t="s">
        <v>22</v>
      </c>
      <c r="C1084" s="17">
        <v>45086</v>
      </c>
      <c r="D1084" s="16">
        <v>62629</v>
      </c>
      <c r="E1084" s="16">
        <v>10635</v>
      </c>
      <c r="F1084" s="18" t="s">
        <v>203</v>
      </c>
      <c r="G1084" s="16" t="s">
        <v>3</v>
      </c>
      <c r="H1084" s="16" t="s">
        <v>46</v>
      </c>
      <c r="I1084" s="16" t="s">
        <v>17</v>
      </c>
    </row>
    <row r="1085" spans="2:9" x14ac:dyDescent="0.25">
      <c r="B1085" s="16" t="s">
        <v>210</v>
      </c>
      <c r="C1085" s="17">
        <v>45086</v>
      </c>
      <c r="D1085" s="16">
        <v>5085393</v>
      </c>
      <c r="E1085" s="16">
        <v>15102</v>
      </c>
      <c r="F1085" s="18" t="s">
        <v>160</v>
      </c>
      <c r="G1085" s="16" t="s">
        <v>4</v>
      </c>
      <c r="H1085" s="16" t="s">
        <v>39</v>
      </c>
      <c r="I1085" s="16" t="s">
        <v>61</v>
      </c>
    </row>
    <row r="1086" spans="2:9" x14ac:dyDescent="0.25">
      <c r="B1086" s="16" t="s">
        <v>22</v>
      </c>
      <c r="C1086" s="17">
        <v>45086</v>
      </c>
      <c r="D1086" s="16">
        <v>2203156</v>
      </c>
      <c r="E1086" s="16">
        <v>9461</v>
      </c>
      <c r="F1086" s="18" t="s">
        <v>149</v>
      </c>
      <c r="G1086" s="16" t="s">
        <v>52</v>
      </c>
      <c r="H1086" s="16" t="s">
        <v>186</v>
      </c>
      <c r="I1086" s="16" t="s">
        <v>61</v>
      </c>
    </row>
    <row r="1087" spans="2:9" x14ac:dyDescent="0.25">
      <c r="B1087" s="16" t="s">
        <v>22</v>
      </c>
      <c r="C1087" s="17">
        <v>45086</v>
      </c>
      <c r="D1087" s="16">
        <v>970856</v>
      </c>
      <c r="E1087" s="16">
        <v>9403</v>
      </c>
      <c r="F1087" s="18" t="s">
        <v>153</v>
      </c>
      <c r="G1087" s="16" t="s">
        <v>5</v>
      </c>
      <c r="H1087" s="16" t="s">
        <v>186</v>
      </c>
      <c r="I1087" s="16" t="s">
        <v>61</v>
      </c>
    </row>
    <row r="1088" spans="2:9" x14ac:dyDescent="0.25">
      <c r="B1088" s="16" t="s">
        <v>210</v>
      </c>
      <c r="C1088" s="17">
        <v>45086</v>
      </c>
      <c r="D1088" s="16">
        <v>979201</v>
      </c>
      <c r="E1088" s="16">
        <v>9434</v>
      </c>
      <c r="F1088" s="18" t="s">
        <v>23</v>
      </c>
      <c r="G1088" s="16" t="s">
        <v>16</v>
      </c>
      <c r="H1088" s="16" t="s">
        <v>184</v>
      </c>
      <c r="I1088" s="16" t="s">
        <v>61</v>
      </c>
    </row>
    <row r="1089" spans="2:9" x14ac:dyDescent="0.25">
      <c r="B1089" s="16" t="s">
        <v>210</v>
      </c>
      <c r="C1089" s="17">
        <v>45086</v>
      </c>
      <c r="D1089" s="16">
        <v>2109723</v>
      </c>
      <c r="E1089" s="16">
        <v>9459</v>
      </c>
      <c r="F1089" s="18" t="s">
        <v>105</v>
      </c>
      <c r="G1089" s="16" t="s">
        <v>5</v>
      </c>
      <c r="H1089" s="16" t="s">
        <v>184</v>
      </c>
      <c r="I1089" s="16" t="s">
        <v>61</v>
      </c>
    </row>
    <row r="1090" spans="2:9" x14ac:dyDescent="0.25">
      <c r="B1090" s="16" t="s">
        <v>33</v>
      </c>
      <c r="C1090" s="17">
        <v>45086</v>
      </c>
      <c r="D1090" s="16">
        <v>258610</v>
      </c>
      <c r="E1090" s="16">
        <v>71433</v>
      </c>
      <c r="F1090" s="18" t="s">
        <v>251</v>
      </c>
      <c r="G1090" s="16" t="s">
        <v>5</v>
      </c>
      <c r="H1090" s="16" t="s">
        <v>184</v>
      </c>
      <c r="I1090" s="16" t="s">
        <v>61</v>
      </c>
    </row>
    <row r="1091" spans="2:9" x14ac:dyDescent="0.25">
      <c r="B1091" s="16" t="s">
        <v>40</v>
      </c>
      <c r="C1091" s="17">
        <v>45086</v>
      </c>
      <c r="D1091" s="16">
        <v>970877</v>
      </c>
      <c r="E1091" s="16">
        <v>9403</v>
      </c>
      <c r="F1091" s="18" t="s">
        <v>153</v>
      </c>
      <c r="G1091" s="16" t="s">
        <v>5</v>
      </c>
      <c r="H1091" s="16" t="s">
        <v>184</v>
      </c>
      <c r="I1091" s="16" t="s">
        <v>61</v>
      </c>
    </row>
    <row r="1092" spans="2:9" x14ac:dyDescent="0.25">
      <c r="B1092" s="16" t="s">
        <v>33</v>
      </c>
      <c r="C1092" s="17">
        <v>45086</v>
      </c>
      <c r="D1092" s="16">
        <v>2109846</v>
      </c>
      <c r="E1092" s="16">
        <v>9459</v>
      </c>
      <c r="F1092" s="18" t="s">
        <v>105</v>
      </c>
      <c r="G1092" s="16" t="s">
        <v>5</v>
      </c>
      <c r="H1092" s="16" t="s">
        <v>184</v>
      </c>
      <c r="I1092" s="16" t="s">
        <v>57</v>
      </c>
    </row>
    <row r="1093" spans="2:9" x14ac:dyDescent="0.25">
      <c r="B1093" s="16" t="s">
        <v>33</v>
      </c>
      <c r="C1093" s="17">
        <v>45086</v>
      </c>
      <c r="D1093" s="16">
        <v>118815</v>
      </c>
      <c r="E1093" s="16">
        <v>11604</v>
      </c>
      <c r="F1093" s="18" t="s">
        <v>63</v>
      </c>
      <c r="G1093" s="16" t="s">
        <v>6</v>
      </c>
      <c r="H1093" s="16" t="s">
        <v>38</v>
      </c>
      <c r="I1093" s="16" t="s">
        <v>17</v>
      </c>
    </row>
    <row r="1094" spans="2:9" x14ac:dyDescent="0.25">
      <c r="B1094" s="16" t="s">
        <v>33</v>
      </c>
      <c r="C1094" s="17">
        <v>45087</v>
      </c>
      <c r="D1094" s="16">
        <v>632726</v>
      </c>
      <c r="E1094" s="16">
        <v>3610</v>
      </c>
      <c r="F1094" s="18" t="s">
        <v>8</v>
      </c>
      <c r="G1094" s="16" t="s">
        <v>6</v>
      </c>
      <c r="H1094" s="16" t="s">
        <v>38</v>
      </c>
      <c r="I1094" s="16" t="s">
        <v>17</v>
      </c>
    </row>
    <row r="1095" spans="2:9" x14ac:dyDescent="0.25">
      <c r="B1095" s="16" t="s">
        <v>26</v>
      </c>
      <c r="C1095" s="17">
        <v>45087</v>
      </c>
      <c r="D1095" s="16">
        <v>118869</v>
      </c>
      <c r="E1095" s="16">
        <v>11604</v>
      </c>
      <c r="F1095" s="18" t="s">
        <v>63</v>
      </c>
      <c r="G1095" s="16" t="s">
        <v>6</v>
      </c>
      <c r="H1095" s="16" t="s">
        <v>38</v>
      </c>
      <c r="I1095" s="16" t="s">
        <v>17</v>
      </c>
    </row>
    <row r="1096" spans="2:9" x14ac:dyDescent="0.25">
      <c r="B1096" s="16" t="s">
        <v>26</v>
      </c>
      <c r="C1096" s="17">
        <v>45089</v>
      </c>
      <c r="D1096" s="16">
        <v>2109791</v>
      </c>
      <c r="E1096" s="16">
        <v>9459</v>
      </c>
      <c r="F1096" s="18" t="s">
        <v>105</v>
      </c>
      <c r="G1096" s="16" t="s">
        <v>5</v>
      </c>
      <c r="H1096" s="16" t="s">
        <v>28</v>
      </c>
      <c r="I1096" s="16" t="s">
        <v>73</v>
      </c>
    </row>
    <row r="1097" spans="2:9" x14ac:dyDescent="0.25">
      <c r="B1097" s="16" t="s">
        <v>26</v>
      </c>
      <c r="C1097" s="17">
        <v>45089</v>
      </c>
      <c r="D1097" s="16">
        <v>2109798</v>
      </c>
      <c r="E1097" s="16">
        <v>9459</v>
      </c>
      <c r="F1097" s="18" t="s">
        <v>105</v>
      </c>
      <c r="G1097" s="16" t="s">
        <v>5</v>
      </c>
      <c r="H1097" s="16" t="s">
        <v>28</v>
      </c>
      <c r="I1097" s="16" t="s">
        <v>73</v>
      </c>
    </row>
    <row r="1098" spans="2:9" x14ac:dyDescent="0.25">
      <c r="B1098" s="16" t="s">
        <v>26</v>
      </c>
      <c r="C1098" s="17">
        <v>45089</v>
      </c>
      <c r="D1098" s="16">
        <v>2109802</v>
      </c>
      <c r="E1098" s="16">
        <v>9459</v>
      </c>
      <c r="F1098" s="18" t="s">
        <v>105</v>
      </c>
      <c r="G1098" s="16" t="s">
        <v>5</v>
      </c>
      <c r="H1098" s="16" t="s">
        <v>28</v>
      </c>
      <c r="I1098" s="16" t="s">
        <v>73</v>
      </c>
    </row>
    <row r="1099" spans="2:9" x14ac:dyDescent="0.25">
      <c r="B1099" s="16" t="s">
        <v>26</v>
      </c>
      <c r="C1099" s="17">
        <v>45089</v>
      </c>
      <c r="D1099" s="16">
        <v>2109809</v>
      </c>
      <c r="E1099" s="16">
        <v>9459</v>
      </c>
      <c r="F1099" s="18" t="s">
        <v>105</v>
      </c>
      <c r="G1099" s="16" t="s">
        <v>5</v>
      </c>
      <c r="H1099" s="16" t="s">
        <v>28</v>
      </c>
      <c r="I1099" s="16" t="s">
        <v>73</v>
      </c>
    </row>
    <row r="1100" spans="2:9" x14ac:dyDescent="0.25">
      <c r="B1100" s="16" t="s">
        <v>26</v>
      </c>
      <c r="C1100" s="17">
        <v>45089</v>
      </c>
      <c r="D1100" s="16">
        <v>2111996</v>
      </c>
      <c r="E1100" s="16">
        <v>9459</v>
      </c>
      <c r="F1100" s="18" t="s">
        <v>105</v>
      </c>
      <c r="G1100" s="16" t="s">
        <v>5</v>
      </c>
      <c r="H1100" s="16" t="s">
        <v>28</v>
      </c>
      <c r="I1100" s="16" t="s">
        <v>73</v>
      </c>
    </row>
    <row r="1101" spans="2:9" x14ac:dyDescent="0.25">
      <c r="B1101" s="16" t="s">
        <v>26</v>
      </c>
      <c r="C1101" s="17">
        <v>45089</v>
      </c>
      <c r="D1101" s="16">
        <v>2111997</v>
      </c>
      <c r="E1101" s="16">
        <v>9459</v>
      </c>
      <c r="F1101" s="18" t="s">
        <v>105</v>
      </c>
      <c r="G1101" s="16" t="s">
        <v>5</v>
      </c>
      <c r="H1101" s="16" t="s">
        <v>28</v>
      </c>
      <c r="I1101" s="16" t="s">
        <v>73</v>
      </c>
    </row>
    <row r="1102" spans="2:9" x14ac:dyDescent="0.25">
      <c r="B1102" s="16" t="s">
        <v>26</v>
      </c>
      <c r="C1102" s="17">
        <v>45089</v>
      </c>
      <c r="D1102" s="16">
        <v>2111998</v>
      </c>
      <c r="E1102" s="16">
        <v>9459</v>
      </c>
      <c r="F1102" s="18" t="s">
        <v>105</v>
      </c>
      <c r="G1102" s="16" t="s">
        <v>5</v>
      </c>
      <c r="H1102" s="16" t="s">
        <v>28</v>
      </c>
      <c r="I1102" s="16" t="s">
        <v>73</v>
      </c>
    </row>
    <row r="1103" spans="2:9" x14ac:dyDescent="0.25">
      <c r="B1103" s="16" t="s">
        <v>26</v>
      </c>
      <c r="C1103" s="17">
        <v>45089</v>
      </c>
      <c r="D1103" s="16">
        <v>2111999</v>
      </c>
      <c r="E1103" s="16">
        <v>9459</v>
      </c>
      <c r="F1103" s="18" t="s">
        <v>105</v>
      </c>
      <c r="G1103" s="16" t="s">
        <v>5</v>
      </c>
      <c r="H1103" s="16" t="s">
        <v>28</v>
      </c>
      <c r="I1103" s="16" t="s">
        <v>73</v>
      </c>
    </row>
    <row r="1104" spans="2:9" x14ac:dyDescent="0.25">
      <c r="B1104" s="16" t="s">
        <v>26</v>
      </c>
      <c r="C1104" s="17">
        <v>45089</v>
      </c>
      <c r="D1104" s="16">
        <v>2112000</v>
      </c>
      <c r="E1104" s="16">
        <v>9459</v>
      </c>
      <c r="F1104" s="18" t="s">
        <v>105</v>
      </c>
      <c r="G1104" s="16" t="s">
        <v>54</v>
      </c>
      <c r="H1104" s="16" t="s">
        <v>54</v>
      </c>
      <c r="I1104" s="16" t="s">
        <v>20</v>
      </c>
    </row>
    <row r="1105" spans="2:9" x14ac:dyDescent="0.25">
      <c r="B1105" s="16" t="s">
        <v>22</v>
      </c>
      <c r="C1105" s="17">
        <v>45089</v>
      </c>
      <c r="D1105" s="16">
        <v>2109754</v>
      </c>
      <c r="E1105" s="16">
        <v>9459</v>
      </c>
      <c r="F1105" s="18" t="s">
        <v>105</v>
      </c>
      <c r="G1105" s="16" t="s">
        <v>5</v>
      </c>
      <c r="H1105" s="16" t="s">
        <v>186</v>
      </c>
      <c r="I1105" s="16" t="s">
        <v>57</v>
      </c>
    </row>
    <row r="1106" spans="2:9" x14ac:dyDescent="0.25">
      <c r="B1106" s="16" t="s">
        <v>22</v>
      </c>
      <c r="C1106" s="17">
        <v>45089</v>
      </c>
      <c r="D1106" s="16">
        <v>2203156</v>
      </c>
      <c r="E1106" s="16">
        <v>9461</v>
      </c>
      <c r="F1106" s="18" t="s">
        <v>149</v>
      </c>
      <c r="G1106" s="16" t="s">
        <v>52</v>
      </c>
      <c r="H1106" s="16" t="s">
        <v>28</v>
      </c>
      <c r="I1106" s="16" t="s">
        <v>61</v>
      </c>
    </row>
    <row r="1107" spans="2:9" x14ac:dyDescent="0.25">
      <c r="B1107" s="16" t="s">
        <v>22</v>
      </c>
      <c r="C1107" s="17">
        <v>45089</v>
      </c>
      <c r="D1107" s="16">
        <v>2109745</v>
      </c>
      <c r="E1107" s="16">
        <v>9459</v>
      </c>
      <c r="F1107" s="18" t="s">
        <v>105</v>
      </c>
      <c r="G1107" s="16" t="s">
        <v>5</v>
      </c>
      <c r="H1107" s="16" t="s">
        <v>28</v>
      </c>
      <c r="I1107" s="16" t="s">
        <v>73</v>
      </c>
    </row>
    <row r="1108" spans="2:9" x14ac:dyDescent="0.25">
      <c r="B1108" s="16" t="s">
        <v>22</v>
      </c>
      <c r="C1108" s="17">
        <v>45089</v>
      </c>
      <c r="D1108" s="16">
        <v>2109833</v>
      </c>
      <c r="E1108" s="16">
        <v>9459</v>
      </c>
      <c r="F1108" s="18" t="s">
        <v>105</v>
      </c>
      <c r="G1108" s="16" t="s">
        <v>5</v>
      </c>
      <c r="H1108" s="16" t="s">
        <v>28</v>
      </c>
      <c r="I1108" s="16" t="s">
        <v>73</v>
      </c>
    </row>
    <row r="1109" spans="2:9" x14ac:dyDescent="0.25">
      <c r="B1109" s="16" t="s">
        <v>22</v>
      </c>
      <c r="C1109" s="17">
        <v>45089</v>
      </c>
      <c r="D1109" s="16">
        <v>2109834</v>
      </c>
      <c r="E1109" s="16">
        <v>9459</v>
      </c>
      <c r="F1109" s="18" t="s">
        <v>105</v>
      </c>
      <c r="G1109" s="16" t="s">
        <v>5</v>
      </c>
      <c r="H1109" s="16" t="s">
        <v>28</v>
      </c>
      <c r="I1109" s="16" t="s">
        <v>73</v>
      </c>
    </row>
    <row r="1110" spans="2:9" x14ac:dyDescent="0.25">
      <c r="B1110" s="16" t="s">
        <v>22</v>
      </c>
      <c r="C1110" s="17">
        <v>45089</v>
      </c>
      <c r="D1110" s="16">
        <v>2111994</v>
      </c>
      <c r="E1110" s="16">
        <v>9459</v>
      </c>
      <c r="F1110" s="18" t="s">
        <v>105</v>
      </c>
      <c r="G1110" s="16" t="s">
        <v>5</v>
      </c>
      <c r="H1110" s="16" t="s">
        <v>28</v>
      </c>
      <c r="I1110" s="16" t="s">
        <v>73</v>
      </c>
    </row>
    <row r="1111" spans="2:9" x14ac:dyDescent="0.25">
      <c r="B1111" s="16" t="s">
        <v>22</v>
      </c>
      <c r="C1111" s="17">
        <v>45089</v>
      </c>
      <c r="D1111" s="16">
        <v>2111995</v>
      </c>
      <c r="E1111" s="16">
        <v>9459</v>
      </c>
      <c r="F1111" s="18" t="s">
        <v>105</v>
      </c>
      <c r="G1111" s="16" t="s">
        <v>5</v>
      </c>
      <c r="H1111" s="16" t="s">
        <v>28</v>
      </c>
      <c r="I1111" s="16" t="s">
        <v>73</v>
      </c>
    </row>
    <row r="1112" spans="2:9" x14ac:dyDescent="0.25">
      <c r="B1112" s="16" t="s">
        <v>22</v>
      </c>
      <c r="C1112" s="17">
        <v>45089</v>
      </c>
      <c r="D1112" s="16">
        <v>2111993</v>
      </c>
      <c r="E1112" s="16">
        <v>9459</v>
      </c>
      <c r="F1112" s="18" t="s">
        <v>105</v>
      </c>
      <c r="G1112" s="16" t="s">
        <v>5</v>
      </c>
      <c r="H1112" s="16" t="s">
        <v>28</v>
      </c>
      <c r="I1112" s="16" t="s">
        <v>73</v>
      </c>
    </row>
    <row r="1113" spans="2:9" x14ac:dyDescent="0.25">
      <c r="B1113" s="16" t="s">
        <v>22</v>
      </c>
      <c r="C1113" s="17">
        <v>45089</v>
      </c>
      <c r="D1113" s="16">
        <v>2111992</v>
      </c>
      <c r="E1113" s="16">
        <v>9459</v>
      </c>
      <c r="F1113" s="18" t="s">
        <v>105</v>
      </c>
      <c r="G1113" s="16" t="s">
        <v>5</v>
      </c>
      <c r="H1113" s="16" t="s">
        <v>28</v>
      </c>
      <c r="I1113" s="16" t="s">
        <v>73</v>
      </c>
    </row>
    <row r="1114" spans="2:9" x14ac:dyDescent="0.25">
      <c r="B1114" s="16" t="s">
        <v>22</v>
      </c>
      <c r="C1114" s="17">
        <v>45089</v>
      </c>
      <c r="D1114" s="16">
        <v>2111991</v>
      </c>
      <c r="E1114" s="16">
        <v>9459</v>
      </c>
      <c r="F1114" s="18" t="s">
        <v>105</v>
      </c>
      <c r="G1114" s="16" t="s">
        <v>5</v>
      </c>
      <c r="H1114" s="16" t="s">
        <v>28</v>
      </c>
      <c r="I1114" s="16" t="s">
        <v>73</v>
      </c>
    </row>
    <row r="1115" spans="2:9" x14ac:dyDescent="0.25">
      <c r="B1115" s="16" t="s">
        <v>22</v>
      </c>
      <c r="C1115" s="17">
        <v>45089</v>
      </c>
      <c r="D1115" s="16">
        <v>2111990</v>
      </c>
      <c r="E1115" s="16">
        <v>9459</v>
      </c>
      <c r="F1115" s="18" t="s">
        <v>105</v>
      </c>
      <c r="G1115" s="16" t="s">
        <v>5</v>
      </c>
      <c r="H1115" s="16" t="s">
        <v>28</v>
      </c>
      <c r="I1115" s="16" t="s">
        <v>73</v>
      </c>
    </row>
    <row r="1116" spans="2:9" x14ac:dyDescent="0.25">
      <c r="B1116" s="16" t="s">
        <v>26</v>
      </c>
      <c r="C1116" s="17">
        <v>45089</v>
      </c>
      <c r="D1116" s="16">
        <v>63177</v>
      </c>
      <c r="E1116" s="16">
        <v>62562</v>
      </c>
      <c r="F1116" s="18" t="s">
        <v>283</v>
      </c>
      <c r="G1116" s="16" t="s">
        <v>16</v>
      </c>
      <c r="H1116" s="16" t="s">
        <v>28</v>
      </c>
      <c r="I1116" s="16" t="s">
        <v>173</v>
      </c>
    </row>
    <row r="1117" spans="2:9" x14ac:dyDescent="0.25">
      <c r="B1117" s="16" t="s">
        <v>26</v>
      </c>
      <c r="C1117" s="17">
        <v>45089</v>
      </c>
      <c r="D1117" s="16">
        <v>940566</v>
      </c>
      <c r="E1117" s="16">
        <v>9421</v>
      </c>
      <c r="F1117" s="18" t="s">
        <v>94</v>
      </c>
      <c r="G1117" s="16" t="s">
        <v>5</v>
      </c>
      <c r="H1117" s="16" t="s">
        <v>186</v>
      </c>
      <c r="I1117" s="16" t="s">
        <v>61</v>
      </c>
    </row>
    <row r="1118" spans="2:9" x14ac:dyDescent="0.25">
      <c r="B1118" s="16" t="s">
        <v>26</v>
      </c>
      <c r="C1118" s="17">
        <v>45089</v>
      </c>
      <c r="D1118" s="16">
        <v>6414</v>
      </c>
      <c r="E1118" s="16">
        <v>64800</v>
      </c>
      <c r="F1118" s="18" t="s">
        <v>276</v>
      </c>
      <c r="G1118" s="16" t="s">
        <v>5</v>
      </c>
      <c r="H1118" s="16" t="s">
        <v>49</v>
      </c>
      <c r="I1118" s="16" t="s">
        <v>284</v>
      </c>
    </row>
    <row r="1119" spans="2:9" x14ac:dyDescent="0.25">
      <c r="B1119" s="16" t="s">
        <v>26</v>
      </c>
      <c r="C1119" s="17">
        <v>45089</v>
      </c>
      <c r="D1119" s="16">
        <v>41443</v>
      </c>
      <c r="E1119" s="16">
        <v>10782</v>
      </c>
      <c r="F1119" s="18" t="s">
        <v>285</v>
      </c>
      <c r="G1119" s="16" t="s">
        <v>3</v>
      </c>
      <c r="H1119" s="16" t="s">
        <v>71</v>
      </c>
      <c r="I1119" s="16" t="s">
        <v>284</v>
      </c>
    </row>
    <row r="1120" spans="2:9" x14ac:dyDescent="0.25">
      <c r="B1120" s="16" t="s">
        <v>2</v>
      </c>
      <c r="C1120" s="17">
        <v>45089</v>
      </c>
      <c r="D1120" s="16">
        <v>2111985</v>
      </c>
      <c r="E1120" s="16">
        <v>9459</v>
      </c>
      <c r="F1120" s="18" t="s">
        <v>105</v>
      </c>
      <c r="G1120" s="16" t="s">
        <v>5</v>
      </c>
      <c r="H1120" s="16" t="s">
        <v>28</v>
      </c>
      <c r="I1120" s="16" t="s">
        <v>61</v>
      </c>
    </row>
    <row r="1121" spans="2:9" x14ac:dyDescent="0.25">
      <c r="B1121" s="16" t="s">
        <v>2</v>
      </c>
      <c r="C1121" s="17">
        <v>45089</v>
      </c>
      <c r="D1121" s="16">
        <v>2111984</v>
      </c>
      <c r="E1121" s="16">
        <v>9459</v>
      </c>
      <c r="F1121" s="18" t="s">
        <v>105</v>
      </c>
      <c r="G1121" s="16" t="s">
        <v>5</v>
      </c>
      <c r="H1121" s="16" t="s">
        <v>28</v>
      </c>
      <c r="I1121" s="16" t="s">
        <v>61</v>
      </c>
    </row>
    <row r="1122" spans="2:9" x14ac:dyDescent="0.25">
      <c r="B1122" s="16" t="s">
        <v>2</v>
      </c>
      <c r="C1122" s="17">
        <v>45089</v>
      </c>
      <c r="D1122" s="16">
        <v>2111986</v>
      </c>
      <c r="E1122" s="16">
        <v>9459</v>
      </c>
      <c r="F1122" s="18" t="s">
        <v>105</v>
      </c>
      <c r="G1122" s="16" t="s">
        <v>5</v>
      </c>
      <c r="H1122" s="16" t="s">
        <v>28</v>
      </c>
      <c r="I1122" s="16" t="s">
        <v>61</v>
      </c>
    </row>
    <row r="1123" spans="2:9" x14ac:dyDescent="0.25">
      <c r="B1123" s="16" t="s">
        <v>2</v>
      </c>
      <c r="C1123" s="17">
        <v>45089</v>
      </c>
      <c r="D1123" s="16">
        <v>2111987</v>
      </c>
      <c r="E1123" s="16">
        <v>9459</v>
      </c>
      <c r="F1123" s="18" t="s">
        <v>105</v>
      </c>
      <c r="G1123" s="16" t="s">
        <v>29</v>
      </c>
      <c r="H1123" s="16" t="s">
        <v>28</v>
      </c>
      <c r="I1123" s="16" t="s">
        <v>61</v>
      </c>
    </row>
    <row r="1124" spans="2:9" x14ac:dyDescent="0.25">
      <c r="B1124" s="16" t="s">
        <v>2</v>
      </c>
      <c r="C1124" s="17">
        <v>45089</v>
      </c>
      <c r="D1124" s="16">
        <v>2109810</v>
      </c>
      <c r="E1124" s="16">
        <v>9459</v>
      </c>
      <c r="F1124" s="18" t="s">
        <v>105</v>
      </c>
      <c r="G1124" s="16" t="s">
        <v>5</v>
      </c>
      <c r="H1124" s="16" t="s">
        <v>28</v>
      </c>
      <c r="I1124" s="16" t="s">
        <v>61</v>
      </c>
    </row>
    <row r="1125" spans="2:9" x14ac:dyDescent="0.25">
      <c r="B1125" s="16" t="s">
        <v>2</v>
      </c>
      <c r="C1125" s="17">
        <v>45089</v>
      </c>
      <c r="D1125" s="16">
        <v>2109811</v>
      </c>
      <c r="E1125" s="16">
        <v>9459</v>
      </c>
      <c r="F1125" s="18" t="s">
        <v>105</v>
      </c>
      <c r="G1125" s="16" t="s">
        <v>5</v>
      </c>
      <c r="H1125" s="16" t="s">
        <v>28</v>
      </c>
      <c r="I1125" s="16" t="s">
        <v>61</v>
      </c>
    </row>
    <row r="1126" spans="2:9" x14ac:dyDescent="0.25">
      <c r="B1126" s="16" t="s">
        <v>2</v>
      </c>
      <c r="C1126" s="17">
        <v>45089</v>
      </c>
      <c r="D1126" s="16">
        <v>2109774</v>
      </c>
      <c r="E1126" s="16">
        <v>9459</v>
      </c>
      <c r="F1126" s="18" t="s">
        <v>105</v>
      </c>
      <c r="G1126" s="16" t="s">
        <v>16</v>
      </c>
      <c r="H1126" s="16" t="s">
        <v>28</v>
      </c>
      <c r="I1126" s="16" t="s">
        <v>61</v>
      </c>
    </row>
    <row r="1127" spans="2:9" x14ac:dyDescent="0.25">
      <c r="B1127" s="16" t="s">
        <v>2</v>
      </c>
      <c r="C1127" s="17">
        <v>45089</v>
      </c>
      <c r="D1127" s="16">
        <v>2109771</v>
      </c>
      <c r="E1127" s="16">
        <v>9459</v>
      </c>
      <c r="F1127" s="18" t="s">
        <v>105</v>
      </c>
      <c r="G1127" s="16" t="s">
        <v>5</v>
      </c>
      <c r="H1127" s="16" t="s">
        <v>28</v>
      </c>
      <c r="I1127" s="16" t="s">
        <v>61</v>
      </c>
    </row>
    <row r="1128" spans="2:9" x14ac:dyDescent="0.25">
      <c r="B1128" s="16" t="s">
        <v>2</v>
      </c>
      <c r="C1128" s="17">
        <v>45089</v>
      </c>
      <c r="D1128" s="16">
        <v>2111988</v>
      </c>
      <c r="E1128" s="16">
        <v>9459</v>
      </c>
      <c r="F1128" s="18" t="s">
        <v>105</v>
      </c>
      <c r="G1128" s="16" t="s">
        <v>5</v>
      </c>
      <c r="H1128" s="16" t="s">
        <v>28</v>
      </c>
      <c r="I1128" s="16" t="s">
        <v>61</v>
      </c>
    </row>
    <row r="1129" spans="2:9" x14ac:dyDescent="0.25">
      <c r="B1129" s="16" t="s">
        <v>2</v>
      </c>
      <c r="C1129" s="17">
        <v>45089</v>
      </c>
      <c r="D1129" s="16">
        <v>21475</v>
      </c>
      <c r="E1129" s="16">
        <v>2740</v>
      </c>
      <c r="F1129" s="18" t="s">
        <v>206</v>
      </c>
      <c r="G1129" s="16" t="s">
        <v>16</v>
      </c>
      <c r="H1129" s="16" t="s">
        <v>184</v>
      </c>
      <c r="I1129" s="16" t="s">
        <v>59</v>
      </c>
    </row>
    <row r="1130" spans="2:9" x14ac:dyDescent="0.25">
      <c r="B1130" s="16" t="s">
        <v>2</v>
      </c>
      <c r="C1130" s="17">
        <v>45089</v>
      </c>
      <c r="D1130" s="16">
        <v>2366140</v>
      </c>
      <c r="E1130" s="16">
        <v>8252</v>
      </c>
      <c r="F1130" s="18" t="s">
        <v>286</v>
      </c>
      <c r="G1130" s="16" t="s">
        <v>4</v>
      </c>
      <c r="H1130" s="16" t="s">
        <v>184</v>
      </c>
      <c r="I1130" s="16" t="s">
        <v>61</v>
      </c>
    </row>
    <row r="1131" spans="2:9" x14ac:dyDescent="0.25">
      <c r="B1131" s="16" t="s">
        <v>22</v>
      </c>
      <c r="C1131" s="17">
        <v>45089</v>
      </c>
      <c r="D1131" s="16">
        <v>2366142</v>
      </c>
      <c r="E1131" s="16">
        <v>8252</v>
      </c>
      <c r="F1131" s="18" t="s">
        <v>286</v>
      </c>
      <c r="G1131" s="16" t="s">
        <v>4</v>
      </c>
      <c r="H1131" s="16" t="s">
        <v>102</v>
      </c>
      <c r="I1131" s="16" t="s">
        <v>61</v>
      </c>
    </row>
    <row r="1132" spans="2:9" x14ac:dyDescent="0.25">
      <c r="B1132" s="16" t="s">
        <v>33</v>
      </c>
      <c r="C1132" s="17">
        <v>45089</v>
      </c>
      <c r="D1132" s="16">
        <v>2366160</v>
      </c>
      <c r="E1132" s="16">
        <v>8252</v>
      </c>
      <c r="F1132" s="18" t="s">
        <v>286</v>
      </c>
      <c r="G1132" s="16" t="s">
        <v>4</v>
      </c>
      <c r="H1132" s="16" t="s">
        <v>184</v>
      </c>
      <c r="I1132" s="16" t="s">
        <v>61</v>
      </c>
    </row>
    <row r="1133" spans="2:9" x14ac:dyDescent="0.25">
      <c r="B1133" s="16" t="s">
        <v>210</v>
      </c>
      <c r="C1133" s="17">
        <v>45089</v>
      </c>
      <c r="D1133" s="16">
        <v>987669</v>
      </c>
      <c r="E1133" s="16">
        <v>9407</v>
      </c>
      <c r="F1133" s="18" t="s">
        <v>287</v>
      </c>
      <c r="G1133" s="16" t="s">
        <v>5</v>
      </c>
      <c r="H1133" s="16" t="s">
        <v>186</v>
      </c>
      <c r="I1133" s="16" t="s">
        <v>235</v>
      </c>
    </row>
    <row r="1134" spans="2:9" x14ac:dyDescent="0.25">
      <c r="B1134" s="16" t="s">
        <v>40</v>
      </c>
      <c r="C1134" s="17">
        <v>45089</v>
      </c>
      <c r="D1134" s="16">
        <v>2366136</v>
      </c>
      <c r="E1134" s="16">
        <v>8252</v>
      </c>
      <c r="F1134" s="18" t="s">
        <v>286</v>
      </c>
      <c r="G1134" s="16" t="s">
        <v>5</v>
      </c>
      <c r="H1134" s="16" t="s">
        <v>186</v>
      </c>
      <c r="I1134" s="16" t="s">
        <v>61</v>
      </c>
    </row>
    <row r="1135" spans="2:9" x14ac:dyDescent="0.25">
      <c r="B1135" s="16" t="s">
        <v>33</v>
      </c>
      <c r="C1135" s="17">
        <v>45089</v>
      </c>
      <c r="D1135" s="16">
        <v>940562</v>
      </c>
      <c r="E1135" s="16">
        <v>9421</v>
      </c>
      <c r="F1135" s="18" t="s">
        <v>94</v>
      </c>
      <c r="G1135" s="16" t="s">
        <v>5</v>
      </c>
      <c r="H1135" s="16" t="s">
        <v>184</v>
      </c>
      <c r="I1135" s="16" t="s">
        <v>57</v>
      </c>
    </row>
    <row r="1136" spans="2:9" x14ac:dyDescent="0.25">
      <c r="B1136" s="16" t="s">
        <v>26</v>
      </c>
      <c r="C1136" s="17">
        <v>45089</v>
      </c>
      <c r="D1136" s="16">
        <v>22417</v>
      </c>
      <c r="E1136" s="16">
        <v>10512</v>
      </c>
      <c r="F1136" s="18" t="s">
        <v>252</v>
      </c>
      <c r="G1136" s="16" t="s">
        <v>4</v>
      </c>
      <c r="H1136" s="16" t="s">
        <v>45</v>
      </c>
      <c r="I1136" s="16" t="s">
        <v>288</v>
      </c>
    </row>
    <row r="1137" spans="2:9" x14ac:dyDescent="0.25">
      <c r="B1137" s="16" t="s">
        <v>26</v>
      </c>
      <c r="C1137" s="17">
        <v>45089</v>
      </c>
      <c r="D1137" s="16">
        <v>22419</v>
      </c>
      <c r="E1137" s="16">
        <v>10512</v>
      </c>
      <c r="F1137" s="18" t="s">
        <v>252</v>
      </c>
      <c r="G1137" s="16" t="s">
        <v>4</v>
      </c>
      <c r="H1137" s="16" t="s">
        <v>45</v>
      </c>
      <c r="I1137" s="16" t="s">
        <v>288</v>
      </c>
    </row>
    <row r="1138" spans="2:9" x14ac:dyDescent="0.25">
      <c r="B1138" s="16" t="s">
        <v>26</v>
      </c>
      <c r="C1138" s="17">
        <v>45089</v>
      </c>
      <c r="D1138" s="16">
        <v>22428</v>
      </c>
      <c r="E1138" s="16">
        <v>10512</v>
      </c>
      <c r="F1138" s="18" t="s">
        <v>252</v>
      </c>
      <c r="G1138" s="16" t="s">
        <v>4</v>
      </c>
      <c r="H1138" s="16" t="s">
        <v>45</v>
      </c>
      <c r="I1138" s="16" t="s">
        <v>61</v>
      </c>
    </row>
    <row r="1139" spans="2:9" x14ac:dyDescent="0.25">
      <c r="B1139" s="16" t="s">
        <v>40</v>
      </c>
      <c r="C1139" s="17">
        <v>45089</v>
      </c>
      <c r="D1139" s="16">
        <v>25738</v>
      </c>
      <c r="E1139" s="16">
        <v>64427</v>
      </c>
      <c r="F1139" s="18" t="s">
        <v>289</v>
      </c>
      <c r="G1139" s="16" t="s">
        <v>5</v>
      </c>
      <c r="H1139" s="16" t="s">
        <v>186</v>
      </c>
      <c r="I1139" s="16" t="s">
        <v>290</v>
      </c>
    </row>
    <row r="1140" spans="2:9" x14ac:dyDescent="0.25">
      <c r="B1140" s="16" t="s">
        <v>33</v>
      </c>
      <c r="C1140" s="17">
        <v>45089</v>
      </c>
      <c r="D1140" s="16">
        <v>2958</v>
      </c>
      <c r="E1140" s="16">
        <v>67905</v>
      </c>
      <c r="F1140" s="18" t="s">
        <v>196</v>
      </c>
      <c r="G1140" s="16" t="s">
        <v>7</v>
      </c>
      <c r="H1140" s="16" t="s">
        <v>38</v>
      </c>
      <c r="I1140" s="16" t="s">
        <v>284</v>
      </c>
    </row>
    <row r="1141" spans="2:9" x14ac:dyDescent="0.25">
      <c r="B1141" s="16" t="s">
        <v>2</v>
      </c>
      <c r="C1141" s="17">
        <v>45089</v>
      </c>
      <c r="D1141" s="16">
        <v>75803</v>
      </c>
      <c r="E1141" s="16">
        <v>67049</v>
      </c>
      <c r="F1141" s="18" t="s">
        <v>291</v>
      </c>
      <c r="G1141" s="16" t="s">
        <v>3</v>
      </c>
      <c r="H1141" s="16" t="s">
        <v>49</v>
      </c>
      <c r="I1141" s="16" t="s">
        <v>61</v>
      </c>
    </row>
    <row r="1142" spans="2:9" x14ac:dyDescent="0.25">
      <c r="B1142" s="16" t="s">
        <v>22</v>
      </c>
      <c r="C1142" s="17">
        <v>45089</v>
      </c>
      <c r="D1142" s="16">
        <v>940487</v>
      </c>
      <c r="E1142" s="16">
        <v>9421</v>
      </c>
      <c r="F1142" s="18" t="s">
        <v>94</v>
      </c>
      <c r="G1142" s="16" t="s">
        <v>5</v>
      </c>
      <c r="H1142" s="16" t="s">
        <v>39</v>
      </c>
      <c r="I1142" s="16" t="s">
        <v>61</v>
      </c>
    </row>
    <row r="1143" spans="2:9" x14ac:dyDescent="0.25">
      <c r="B1143" s="16" t="s">
        <v>22</v>
      </c>
      <c r="C1143" s="17">
        <v>45090</v>
      </c>
      <c r="D1143" s="16">
        <v>2203156</v>
      </c>
      <c r="E1143" s="16">
        <v>9461</v>
      </c>
      <c r="F1143" s="18" t="s">
        <v>149</v>
      </c>
      <c r="G1143" s="16" t="s">
        <v>52</v>
      </c>
      <c r="H1143" s="16" t="s">
        <v>28</v>
      </c>
      <c r="I1143" s="16" t="s">
        <v>61</v>
      </c>
    </row>
    <row r="1144" spans="2:9" x14ac:dyDescent="0.25">
      <c r="B1144" s="16" t="s">
        <v>26</v>
      </c>
      <c r="C1144" s="17">
        <v>45090</v>
      </c>
      <c r="D1144" s="16">
        <v>2111997</v>
      </c>
      <c r="E1144" s="16">
        <v>9459</v>
      </c>
      <c r="F1144" s="18" t="s">
        <v>105</v>
      </c>
      <c r="G1144" s="16" t="s">
        <v>5</v>
      </c>
      <c r="H1144" s="16" t="s">
        <v>28</v>
      </c>
      <c r="I1144" s="16" t="s">
        <v>61</v>
      </c>
    </row>
    <row r="1145" spans="2:9" x14ac:dyDescent="0.25">
      <c r="B1145" s="16" t="s">
        <v>26</v>
      </c>
      <c r="C1145" s="17">
        <v>45090</v>
      </c>
      <c r="D1145" s="16">
        <v>2111998</v>
      </c>
      <c r="E1145" s="16">
        <v>9459</v>
      </c>
      <c r="F1145" s="18" t="s">
        <v>105</v>
      </c>
      <c r="G1145" s="16" t="s">
        <v>5</v>
      </c>
      <c r="H1145" s="16" t="s">
        <v>28</v>
      </c>
      <c r="I1145" s="16" t="s">
        <v>61</v>
      </c>
    </row>
    <row r="1146" spans="2:9" x14ac:dyDescent="0.25">
      <c r="B1146" s="16" t="s">
        <v>26</v>
      </c>
      <c r="C1146" s="17">
        <v>45090</v>
      </c>
      <c r="D1146" s="16">
        <v>2109791</v>
      </c>
      <c r="E1146" s="16">
        <v>9459</v>
      </c>
      <c r="F1146" s="18" t="s">
        <v>105</v>
      </c>
      <c r="G1146" s="16" t="s">
        <v>5</v>
      </c>
      <c r="H1146" s="16" t="s">
        <v>28</v>
      </c>
      <c r="I1146" s="16" t="s">
        <v>61</v>
      </c>
    </row>
    <row r="1147" spans="2:9" x14ac:dyDescent="0.25">
      <c r="B1147" s="16" t="s">
        <v>26</v>
      </c>
      <c r="C1147" s="17">
        <v>45090</v>
      </c>
      <c r="D1147" s="16">
        <v>2109798</v>
      </c>
      <c r="E1147" s="16">
        <v>9459</v>
      </c>
      <c r="F1147" s="18" t="s">
        <v>105</v>
      </c>
      <c r="G1147" s="16" t="s">
        <v>5</v>
      </c>
      <c r="H1147" s="16" t="s">
        <v>28</v>
      </c>
      <c r="I1147" s="16" t="s">
        <v>61</v>
      </c>
    </row>
    <row r="1148" spans="2:9" x14ac:dyDescent="0.25">
      <c r="B1148" s="16" t="s">
        <v>26</v>
      </c>
      <c r="C1148" s="17">
        <v>45090</v>
      </c>
      <c r="D1148" s="16">
        <v>2109809</v>
      </c>
      <c r="E1148" s="16">
        <v>9459</v>
      </c>
      <c r="F1148" s="18" t="s">
        <v>105</v>
      </c>
      <c r="G1148" s="16" t="s">
        <v>5</v>
      </c>
      <c r="H1148" s="16" t="s">
        <v>28</v>
      </c>
      <c r="I1148" s="16" t="s">
        <v>61</v>
      </c>
    </row>
    <row r="1149" spans="2:9" x14ac:dyDescent="0.25">
      <c r="B1149" s="16" t="s">
        <v>26</v>
      </c>
      <c r="C1149" s="17">
        <v>45090</v>
      </c>
      <c r="D1149" s="16">
        <v>729173</v>
      </c>
      <c r="E1149" s="16">
        <v>9812</v>
      </c>
      <c r="F1149" s="18" t="s">
        <v>292</v>
      </c>
      <c r="G1149" s="16" t="s">
        <v>5</v>
      </c>
      <c r="H1149" s="16" t="s">
        <v>28</v>
      </c>
      <c r="I1149" s="16" t="s">
        <v>61</v>
      </c>
    </row>
    <row r="1150" spans="2:9" x14ac:dyDescent="0.25">
      <c r="B1150" s="16" t="s">
        <v>26</v>
      </c>
      <c r="C1150" s="17">
        <v>45090</v>
      </c>
      <c r="D1150" s="16">
        <v>655949</v>
      </c>
      <c r="E1150" s="16">
        <v>1053</v>
      </c>
      <c r="F1150" s="18" t="s">
        <v>293</v>
      </c>
      <c r="G1150" s="16" t="s">
        <v>6</v>
      </c>
      <c r="H1150" s="16" t="s">
        <v>28</v>
      </c>
      <c r="I1150" s="16" t="s">
        <v>258</v>
      </c>
    </row>
    <row r="1151" spans="2:9" x14ac:dyDescent="0.25">
      <c r="B1151" s="16" t="s">
        <v>26</v>
      </c>
      <c r="C1151" s="17">
        <v>45090</v>
      </c>
      <c r="D1151" s="16">
        <v>162043</v>
      </c>
      <c r="E1151" s="16">
        <v>10440</v>
      </c>
      <c r="F1151" s="18" t="s">
        <v>37</v>
      </c>
      <c r="G1151" s="16" t="s">
        <v>16</v>
      </c>
      <c r="H1151" s="16" t="s">
        <v>38</v>
      </c>
      <c r="I1151" s="16" t="s">
        <v>61</v>
      </c>
    </row>
    <row r="1152" spans="2:9" x14ac:dyDescent="0.25">
      <c r="B1152" s="16" t="s">
        <v>22</v>
      </c>
      <c r="C1152" s="17">
        <v>45090</v>
      </c>
      <c r="D1152" s="16">
        <v>2109833</v>
      </c>
      <c r="E1152" s="16">
        <v>9459</v>
      </c>
      <c r="F1152" s="18" t="s">
        <v>105</v>
      </c>
      <c r="G1152" s="16" t="s">
        <v>5</v>
      </c>
      <c r="H1152" s="16" t="s">
        <v>28</v>
      </c>
      <c r="I1152" s="16" t="s">
        <v>73</v>
      </c>
    </row>
    <row r="1153" spans="2:9" x14ac:dyDescent="0.25">
      <c r="B1153" s="16" t="s">
        <v>22</v>
      </c>
      <c r="C1153" s="17">
        <v>45090</v>
      </c>
      <c r="D1153" s="16">
        <v>2111990</v>
      </c>
      <c r="E1153" s="16">
        <v>9459</v>
      </c>
      <c r="F1153" s="18" t="s">
        <v>105</v>
      </c>
      <c r="G1153" s="16" t="s">
        <v>5</v>
      </c>
      <c r="H1153" s="16" t="s">
        <v>28</v>
      </c>
      <c r="I1153" s="16" t="s">
        <v>73</v>
      </c>
    </row>
    <row r="1154" spans="2:9" x14ac:dyDescent="0.25">
      <c r="B1154" s="16" t="s">
        <v>22</v>
      </c>
      <c r="C1154" s="17">
        <v>45090</v>
      </c>
      <c r="D1154" s="16">
        <v>2109754</v>
      </c>
      <c r="E1154" s="16">
        <v>9459</v>
      </c>
      <c r="F1154" s="18" t="s">
        <v>105</v>
      </c>
      <c r="G1154" s="16" t="s">
        <v>5</v>
      </c>
      <c r="H1154" s="16" t="s">
        <v>28</v>
      </c>
      <c r="I1154" s="16" t="s">
        <v>73</v>
      </c>
    </row>
    <row r="1155" spans="2:9" x14ac:dyDescent="0.25">
      <c r="B1155" s="16" t="s">
        <v>22</v>
      </c>
      <c r="C1155" s="17">
        <v>45090</v>
      </c>
      <c r="D1155" s="16">
        <v>2109834</v>
      </c>
      <c r="E1155" s="16">
        <v>9459</v>
      </c>
      <c r="F1155" s="18" t="s">
        <v>105</v>
      </c>
      <c r="G1155" s="16" t="s">
        <v>5</v>
      </c>
      <c r="H1155" s="16" t="s">
        <v>28</v>
      </c>
      <c r="I1155" s="16" t="s">
        <v>73</v>
      </c>
    </row>
    <row r="1156" spans="2:9" x14ac:dyDescent="0.25">
      <c r="B1156" s="16" t="s">
        <v>2</v>
      </c>
      <c r="C1156" s="17">
        <v>45090</v>
      </c>
      <c r="D1156" s="16">
        <v>940575</v>
      </c>
      <c r="E1156" s="16">
        <v>9421</v>
      </c>
      <c r="F1156" s="18" t="s">
        <v>94</v>
      </c>
      <c r="G1156" s="16" t="s">
        <v>5</v>
      </c>
      <c r="H1156" s="16" t="s">
        <v>39</v>
      </c>
      <c r="I1156" s="16" t="s">
        <v>57</v>
      </c>
    </row>
    <row r="1157" spans="2:9" x14ac:dyDescent="0.25">
      <c r="B1157" s="16" t="s">
        <v>2</v>
      </c>
      <c r="C1157" s="17">
        <v>45090</v>
      </c>
      <c r="D1157" s="16">
        <v>2109771</v>
      </c>
      <c r="E1157" s="16">
        <v>9459</v>
      </c>
      <c r="F1157" s="18" t="s">
        <v>105</v>
      </c>
      <c r="G1157" s="16" t="s">
        <v>5</v>
      </c>
      <c r="H1157" s="16" t="s">
        <v>184</v>
      </c>
      <c r="I1157" s="16" t="s">
        <v>61</v>
      </c>
    </row>
    <row r="1158" spans="2:9" x14ac:dyDescent="0.25">
      <c r="B1158" s="16" t="s">
        <v>33</v>
      </c>
      <c r="C1158" s="17">
        <v>45090</v>
      </c>
      <c r="D1158" s="16">
        <v>2842053</v>
      </c>
      <c r="E1158" s="16">
        <v>9468</v>
      </c>
      <c r="F1158" s="18" t="s">
        <v>145</v>
      </c>
      <c r="G1158" s="16" t="s">
        <v>5</v>
      </c>
      <c r="H1158" s="16" t="s">
        <v>184</v>
      </c>
      <c r="I1158" s="16" t="s">
        <v>57</v>
      </c>
    </row>
    <row r="1159" spans="2:9" x14ac:dyDescent="0.25">
      <c r="B1159" s="16" t="s">
        <v>26</v>
      </c>
      <c r="C1159" s="17">
        <v>45090</v>
      </c>
      <c r="D1159" s="16">
        <v>118951</v>
      </c>
      <c r="E1159" s="16">
        <v>11604</v>
      </c>
      <c r="F1159" s="18" t="s">
        <v>63</v>
      </c>
      <c r="G1159" s="16" t="s">
        <v>54</v>
      </c>
      <c r="H1159" s="16" t="s">
        <v>38</v>
      </c>
      <c r="I1159" s="16" t="s">
        <v>17</v>
      </c>
    </row>
    <row r="1160" spans="2:9" x14ac:dyDescent="0.25">
      <c r="B1160" s="16" t="s">
        <v>2</v>
      </c>
      <c r="C1160" s="17">
        <v>45090</v>
      </c>
      <c r="D1160" s="16">
        <v>970867</v>
      </c>
      <c r="E1160" s="16">
        <v>9403</v>
      </c>
      <c r="F1160" s="18" t="s">
        <v>153</v>
      </c>
      <c r="G1160" s="16" t="s">
        <v>5</v>
      </c>
      <c r="H1160" s="16" t="s">
        <v>184</v>
      </c>
      <c r="I1160" s="16" t="s">
        <v>61</v>
      </c>
    </row>
    <row r="1161" spans="2:9" x14ac:dyDescent="0.25">
      <c r="B1161" s="16" t="s">
        <v>210</v>
      </c>
      <c r="C1161" s="17">
        <v>45090</v>
      </c>
      <c r="D1161" s="16">
        <v>15227</v>
      </c>
      <c r="E1161" s="16">
        <v>3162</v>
      </c>
      <c r="F1161" s="18" t="s">
        <v>294</v>
      </c>
      <c r="G1161" s="16" t="s">
        <v>6</v>
      </c>
      <c r="H1161" s="16" t="s">
        <v>184</v>
      </c>
      <c r="I1161" s="16" t="s">
        <v>258</v>
      </c>
    </row>
    <row r="1162" spans="2:9" x14ac:dyDescent="0.25">
      <c r="B1162" s="16" t="s">
        <v>33</v>
      </c>
      <c r="C1162" s="17">
        <v>45090</v>
      </c>
      <c r="D1162" s="16">
        <v>444</v>
      </c>
      <c r="E1162" s="16">
        <v>71064</v>
      </c>
      <c r="F1162" s="18" t="s">
        <v>174</v>
      </c>
      <c r="G1162" s="16" t="s">
        <v>7</v>
      </c>
      <c r="H1162" s="16" t="s">
        <v>38</v>
      </c>
      <c r="I1162" s="16" t="s">
        <v>17</v>
      </c>
    </row>
    <row r="1163" spans="2:9" x14ac:dyDescent="0.25">
      <c r="B1163" s="16" t="s">
        <v>2</v>
      </c>
      <c r="C1163" s="17">
        <v>45090</v>
      </c>
      <c r="D1163" s="16">
        <v>8431564</v>
      </c>
      <c r="E1163" s="16">
        <v>9389</v>
      </c>
      <c r="F1163" s="18" t="s">
        <v>119</v>
      </c>
      <c r="G1163" s="16" t="s">
        <v>52</v>
      </c>
      <c r="H1163" s="16" t="s">
        <v>184</v>
      </c>
      <c r="I1163" s="16" t="s">
        <v>61</v>
      </c>
    </row>
    <row r="1164" spans="2:9" x14ac:dyDescent="0.25">
      <c r="B1164" s="16" t="s">
        <v>26</v>
      </c>
      <c r="C1164" s="17">
        <v>45090</v>
      </c>
      <c r="D1164" s="16">
        <v>161995</v>
      </c>
      <c r="E1164" s="16">
        <v>10440</v>
      </c>
      <c r="F1164" s="18" t="s">
        <v>37</v>
      </c>
      <c r="G1164" s="16" t="s">
        <v>4</v>
      </c>
      <c r="H1164" s="16" t="s">
        <v>186</v>
      </c>
      <c r="I1164" s="16" t="s">
        <v>61</v>
      </c>
    </row>
    <row r="1165" spans="2:9" x14ac:dyDescent="0.25">
      <c r="B1165" s="16" t="s">
        <v>33</v>
      </c>
      <c r="C1165" s="17">
        <v>45090</v>
      </c>
      <c r="D1165" s="16">
        <v>83864</v>
      </c>
      <c r="E1165" s="16">
        <v>5926</v>
      </c>
      <c r="F1165" s="18" t="s">
        <v>295</v>
      </c>
      <c r="G1165" s="16" t="s">
        <v>3</v>
      </c>
      <c r="H1165" s="16" t="s">
        <v>36</v>
      </c>
      <c r="I1165" s="16" t="s">
        <v>61</v>
      </c>
    </row>
    <row r="1166" spans="2:9" x14ac:dyDescent="0.25">
      <c r="B1166" s="16" t="s">
        <v>33</v>
      </c>
      <c r="C1166" s="17">
        <v>45090</v>
      </c>
      <c r="D1166" s="16">
        <v>970881</v>
      </c>
      <c r="E1166" s="16">
        <v>9403</v>
      </c>
      <c r="F1166" s="18" t="s">
        <v>153</v>
      </c>
      <c r="G1166" s="16" t="s">
        <v>5</v>
      </c>
      <c r="H1166" s="16" t="s">
        <v>49</v>
      </c>
      <c r="I1166" s="16" t="s">
        <v>57</v>
      </c>
    </row>
    <row r="1167" spans="2:9" x14ac:dyDescent="0.25">
      <c r="B1167" s="16" t="s">
        <v>2</v>
      </c>
      <c r="C1167" s="17">
        <v>45090</v>
      </c>
      <c r="D1167" s="16">
        <v>3711</v>
      </c>
      <c r="E1167" s="16">
        <v>9963</v>
      </c>
      <c r="F1167" s="18" t="s">
        <v>234</v>
      </c>
      <c r="G1167" s="16" t="s">
        <v>3</v>
      </c>
      <c r="H1167" s="16" t="s">
        <v>184</v>
      </c>
      <c r="I1167" s="16" t="s">
        <v>288</v>
      </c>
    </row>
    <row r="1168" spans="2:9" x14ac:dyDescent="0.25">
      <c r="B1168" s="16" t="s">
        <v>40</v>
      </c>
      <c r="C1168" s="17">
        <v>45090</v>
      </c>
      <c r="D1168" s="16">
        <v>940483</v>
      </c>
      <c r="E1168" s="16">
        <v>9421</v>
      </c>
      <c r="F1168" s="18" t="s">
        <v>94</v>
      </c>
      <c r="G1168" s="16" t="s">
        <v>5</v>
      </c>
      <c r="H1168" s="16" t="s">
        <v>39</v>
      </c>
      <c r="I1168" s="16" t="s">
        <v>57</v>
      </c>
    </row>
    <row r="1169" spans="2:9" x14ac:dyDescent="0.25">
      <c r="B1169" s="16" t="s">
        <v>33</v>
      </c>
      <c r="C1169" s="17">
        <v>45090</v>
      </c>
      <c r="D1169" s="16">
        <v>970882</v>
      </c>
      <c r="E1169" s="16">
        <v>9403</v>
      </c>
      <c r="F1169" s="18" t="s">
        <v>153</v>
      </c>
      <c r="G1169" s="16" t="s">
        <v>5</v>
      </c>
      <c r="H1169" s="16" t="s">
        <v>49</v>
      </c>
      <c r="I1169" s="16" t="s">
        <v>57</v>
      </c>
    </row>
    <row r="1170" spans="2:9" x14ac:dyDescent="0.25">
      <c r="B1170" s="16" t="s">
        <v>40</v>
      </c>
      <c r="C1170" s="17">
        <v>45090</v>
      </c>
      <c r="D1170" s="16">
        <v>980129</v>
      </c>
      <c r="E1170" s="16">
        <v>9434</v>
      </c>
      <c r="F1170" s="18" t="s">
        <v>23</v>
      </c>
      <c r="G1170" s="16" t="s">
        <v>16</v>
      </c>
      <c r="H1170" s="16" t="s">
        <v>46</v>
      </c>
      <c r="I1170" s="16" t="s">
        <v>73</v>
      </c>
    </row>
    <row r="1171" spans="2:9" x14ac:dyDescent="0.25">
      <c r="B1171" s="16" t="s">
        <v>40</v>
      </c>
      <c r="C1171" s="17">
        <v>45090</v>
      </c>
      <c r="D1171" s="16">
        <v>1131290</v>
      </c>
      <c r="E1171" s="16">
        <v>9516</v>
      </c>
      <c r="F1171" s="18" t="s">
        <v>110</v>
      </c>
      <c r="G1171" s="16" t="s">
        <v>16</v>
      </c>
      <c r="H1171" s="16" t="s">
        <v>49</v>
      </c>
      <c r="I1171" s="16" t="s">
        <v>61</v>
      </c>
    </row>
    <row r="1172" spans="2:9" x14ac:dyDescent="0.25">
      <c r="B1172" s="16" t="s">
        <v>210</v>
      </c>
      <c r="C1172" s="17">
        <v>45090</v>
      </c>
      <c r="D1172" s="16">
        <v>8431572</v>
      </c>
      <c r="E1172" s="16">
        <v>9389</v>
      </c>
      <c r="F1172" s="18" t="s">
        <v>119</v>
      </c>
      <c r="G1172" s="16" t="s">
        <v>52</v>
      </c>
      <c r="H1172" s="16" t="s">
        <v>36</v>
      </c>
      <c r="I1172" s="16" t="s">
        <v>61</v>
      </c>
    </row>
    <row r="1173" spans="2:9" x14ac:dyDescent="0.25">
      <c r="B1173" s="16" t="s">
        <v>210</v>
      </c>
      <c r="C1173" s="17">
        <v>45090</v>
      </c>
      <c r="D1173" s="16">
        <v>2842237</v>
      </c>
      <c r="E1173" s="16">
        <v>9468</v>
      </c>
      <c r="F1173" s="18" t="s">
        <v>145</v>
      </c>
      <c r="G1173" s="16" t="s">
        <v>5</v>
      </c>
      <c r="H1173" s="16" t="s">
        <v>49</v>
      </c>
      <c r="I1173" s="16" t="s">
        <v>61</v>
      </c>
    </row>
    <row r="1174" spans="2:9" x14ac:dyDescent="0.25">
      <c r="B1174" s="16" t="s">
        <v>210</v>
      </c>
      <c r="C1174" s="17">
        <v>45090</v>
      </c>
      <c r="D1174" s="16">
        <v>2842238</v>
      </c>
      <c r="E1174" s="16">
        <v>9468</v>
      </c>
      <c r="F1174" s="18" t="s">
        <v>145</v>
      </c>
      <c r="G1174" s="16" t="s">
        <v>5</v>
      </c>
      <c r="H1174" s="16" t="s">
        <v>41</v>
      </c>
      <c r="I1174" s="16" t="s">
        <v>61</v>
      </c>
    </row>
    <row r="1175" spans="2:9" x14ac:dyDescent="0.25">
      <c r="B1175" s="16" t="s">
        <v>210</v>
      </c>
      <c r="C1175" s="17">
        <v>45090</v>
      </c>
      <c r="D1175" s="16">
        <v>2842236</v>
      </c>
      <c r="E1175" s="16">
        <v>9468</v>
      </c>
      <c r="F1175" s="18" t="s">
        <v>145</v>
      </c>
      <c r="G1175" s="16" t="s">
        <v>5</v>
      </c>
      <c r="H1175" s="16" t="s">
        <v>49</v>
      </c>
      <c r="I1175" s="16" t="s">
        <v>61</v>
      </c>
    </row>
    <row r="1176" spans="2:9" x14ac:dyDescent="0.25">
      <c r="B1176" s="16" t="s">
        <v>22</v>
      </c>
      <c r="C1176" s="17">
        <v>45090</v>
      </c>
      <c r="D1176" s="16">
        <v>1110061</v>
      </c>
      <c r="E1176" s="16">
        <v>6037</v>
      </c>
      <c r="F1176" s="18" t="s">
        <v>257</v>
      </c>
      <c r="G1176" s="16" t="s">
        <v>16</v>
      </c>
      <c r="H1176" s="16" t="s">
        <v>49</v>
      </c>
      <c r="I1176" s="16" t="s">
        <v>17</v>
      </c>
    </row>
    <row r="1177" spans="2:9" x14ac:dyDescent="0.25">
      <c r="B1177" s="16" t="s">
        <v>33</v>
      </c>
      <c r="C1177" s="17">
        <v>45090</v>
      </c>
      <c r="D1177" s="16">
        <v>101840</v>
      </c>
      <c r="E1177" s="16"/>
      <c r="F1177" s="18" t="s">
        <v>20</v>
      </c>
      <c r="G1177" s="16" t="s">
        <v>54</v>
      </c>
      <c r="H1177" s="16" t="s">
        <v>54</v>
      </c>
      <c r="I1177" s="16" t="s">
        <v>20</v>
      </c>
    </row>
    <row r="1178" spans="2:9" x14ac:dyDescent="0.25">
      <c r="B1178" s="16" t="s">
        <v>2</v>
      </c>
      <c r="C1178" s="17">
        <v>45091</v>
      </c>
      <c r="D1178" s="16">
        <v>980517</v>
      </c>
      <c r="E1178" s="16">
        <v>9434</v>
      </c>
      <c r="F1178" s="18" t="s">
        <v>23</v>
      </c>
      <c r="G1178" s="16" t="s">
        <v>16</v>
      </c>
      <c r="H1178" s="16" t="s">
        <v>49</v>
      </c>
      <c r="I1178" s="16" t="s">
        <v>17</v>
      </c>
    </row>
    <row r="1179" spans="2:9" x14ac:dyDescent="0.25">
      <c r="B1179" s="16" t="s">
        <v>33</v>
      </c>
      <c r="C1179" s="17">
        <v>45091</v>
      </c>
      <c r="D1179" s="16">
        <v>105261</v>
      </c>
      <c r="E1179" s="16">
        <v>7863</v>
      </c>
      <c r="F1179" s="18" t="s">
        <v>267</v>
      </c>
      <c r="G1179" s="16" t="s">
        <v>5</v>
      </c>
      <c r="H1179" s="16" t="s">
        <v>28</v>
      </c>
      <c r="I1179" s="16" t="s">
        <v>61</v>
      </c>
    </row>
    <row r="1180" spans="2:9" x14ac:dyDescent="0.25">
      <c r="B1180" s="16" t="s">
        <v>33</v>
      </c>
      <c r="C1180" s="17">
        <v>45091</v>
      </c>
      <c r="D1180" s="16">
        <v>105252</v>
      </c>
      <c r="E1180" s="16">
        <v>7863</v>
      </c>
      <c r="F1180" s="18" t="s">
        <v>267</v>
      </c>
      <c r="G1180" s="16" t="s">
        <v>5</v>
      </c>
      <c r="H1180" s="16" t="s">
        <v>28</v>
      </c>
      <c r="I1180" s="16" t="s">
        <v>61</v>
      </c>
    </row>
    <row r="1181" spans="2:9" x14ac:dyDescent="0.25">
      <c r="B1181" s="16" t="s">
        <v>2</v>
      </c>
      <c r="C1181" s="17">
        <v>45091</v>
      </c>
      <c r="D1181" s="16">
        <v>534249</v>
      </c>
      <c r="E1181" s="16">
        <v>1008</v>
      </c>
      <c r="F1181" s="18" t="s">
        <v>74</v>
      </c>
      <c r="G1181" s="16" t="s">
        <v>16</v>
      </c>
      <c r="H1181" s="16" t="s">
        <v>28</v>
      </c>
      <c r="I1181" s="16" t="s">
        <v>61</v>
      </c>
    </row>
    <row r="1182" spans="2:9" x14ac:dyDescent="0.25">
      <c r="B1182" s="16" t="s">
        <v>2</v>
      </c>
      <c r="C1182" s="17">
        <v>45091</v>
      </c>
      <c r="D1182" s="16">
        <v>534250</v>
      </c>
      <c r="E1182" s="16">
        <v>1008</v>
      </c>
      <c r="F1182" s="18" t="s">
        <v>74</v>
      </c>
      <c r="G1182" s="16" t="s">
        <v>16</v>
      </c>
      <c r="H1182" s="16" t="s">
        <v>28</v>
      </c>
      <c r="I1182" s="16" t="s">
        <v>61</v>
      </c>
    </row>
    <row r="1183" spans="2:9" x14ac:dyDescent="0.25">
      <c r="B1183" s="16" t="s">
        <v>22</v>
      </c>
      <c r="C1183" s="17">
        <v>45091</v>
      </c>
      <c r="D1183" s="16">
        <v>21514</v>
      </c>
      <c r="E1183" s="16">
        <v>2740</v>
      </c>
      <c r="F1183" s="18" t="s">
        <v>206</v>
      </c>
      <c r="G1183" s="16" t="s">
        <v>16</v>
      </c>
      <c r="H1183" s="16" t="s">
        <v>186</v>
      </c>
      <c r="I1183" s="16" t="s">
        <v>61</v>
      </c>
    </row>
    <row r="1184" spans="2:9" x14ac:dyDescent="0.25">
      <c r="B1184" s="16" t="s">
        <v>26</v>
      </c>
      <c r="C1184" s="17">
        <v>45091</v>
      </c>
      <c r="D1184" s="16">
        <v>303796</v>
      </c>
      <c r="E1184" s="16">
        <v>1135</v>
      </c>
      <c r="F1184" s="18" t="s">
        <v>205</v>
      </c>
      <c r="G1184" s="16" t="s">
        <v>52</v>
      </c>
      <c r="H1184" s="16" t="s">
        <v>28</v>
      </c>
      <c r="I1184" s="16" t="s">
        <v>73</v>
      </c>
    </row>
    <row r="1185" spans="2:9" x14ac:dyDescent="0.25">
      <c r="B1185" s="16" t="s">
        <v>26</v>
      </c>
      <c r="C1185" s="17">
        <v>45091</v>
      </c>
      <c r="D1185" s="16">
        <v>109170</v>
      </c>
      <c r="E1185" s="16">
        <v>1135</v>
      </c>
      <c r="F1185" s="18" t="s">
        <v>205</v>
      </c>
      <c r="G1185" s="16" t="s">
        <v>52</v>
      </c>
      <c r="H1185" s="16" t="s">
        <v>28</v>
      </c>
      <c r="I1185" s="16" t="s">
        <v>73</v>
      </c>
    </row>
    <row r="1186" spans="2:9" x14ac:dyDescent="0.25">
      <c r="B1186" s="16" t="s">
        <v>26</v>
      </c>
      <c r="C1186" s="17">
        <v>45091</v>
      </c>
      <c r="D1186" s="16">
        <v>303794</v>
      </c>
      <c r="E1186" s="16">
        <v>1135</v>
      </c>
      <c r="F1186" s="18" t="s">
        <v>205</v>
      </c>
      <c r="G1186" s="16" t="s">
        <v>52</v>
      </c>
      <c r="H1186" s="16" t="s">
        <v>28</v>
      </c>
      <c r="I1186" s="16" t="s">
        <v>73</v>
      </c>
    </row>
    <row r="1187" spans="2:9" x14ac:dyDescent="0.25">
      <c r="B1187" s="16" t="s">
        <v>26</v>
      </c>
      <c r="C1187" s="17">
        <v>45091</v>
      </c>
      <c r="D1187" s="16">
        <v>303793</v>
      </c>
      <c r="E1187" s="16">
        <v>1135</v>
      </c>
      <c r="F1187" s="18" t="s">
        <v>205</v>
      </c>
      <c r="G1187" s="16" t="s">
        <v>52</v>
      </c>
      <c r="H1187" s="16" t="s">
        <v>28</v>
      </c>
      <c r="I1187" s="16" t="s">
        <v>73</v>
      </c>
    </row>
    <row r="1188" spans="2:9" x14ac:dyDescent="0.25">
      <c r="B1188" s="16" t="s">
        <v>26</v>
      </c>
      <c r="C1188" s="17">
        <v>45091</v>
      </c>
      <c r="D1188" s="16">
        <v>109169</v>
      </c>
      <c r="E1188" s="16">
        <v>1135</v>
      </c>
      <c r="F1188" s="18" t="s">
        <v>205</v>
      </c>
      <c r="G1188" s="16" t="s">
        <v>52</v>
      </c>
      <c r="H1188" s="16" t="s">
        <v>28</v>
      </c>
      <c r="I1188" s="16" t="s">
        <v>73</v>
      </c>
    </row>
    <row r="1189" spans="2:9" x14ac:dyDescent="0.25">
      <c r="B1189" s="16" t="s">
        <v>210</v>
      </c>
      <c r="C1189" s="17">
        <v>45091</v>
      </c>
      <c r="D1189" s="16">
        <v>2368445</v>
      </c>
      <c r="E1189" s="16">
        <v>8252</v>
      </c>
      <c r="F1189" s="18" t="s">
        <v>286</v>
      </c>
      <c r="G1189" s="16" t="s">
        <v>4</v>
      </c>
      <c r="H1189" s="16" t="s">
        <v>36</v>
      </c>
      <c r="I1189" s="16" t="s">
        <v>61</v>
      </c>
    </row>
    <row r="1190" spans="2:9" x14ac:dyDescent="0.25">
      <c r="B1190" s="16" t="s">
        <v>22</v>
      </c>
      <c r="C1190" s="17">
        <v>45091</v>
      </c>
      <c r="D1190" s="16">
        <v>2368594</v>
      </c>
      <c r="E1190" s="16">
        <v>8252</v>
      </c>
      <c r="F1190" s="18" t="s">
        <v>286</v>
      </c>
      <c r="G1190" s="16" t="s">
        <v>4</v>
      </c>
      <c r="H1190" s="16" t="s">
        <v>36</v>
      </c>
      <c r="I1190" s="16" t="s">
        <v>61</v>
      </c>
    </row>
    <row r="1191" spans="2:9" x14ac:dyDescent="0.25">
      <c r="B1191" s="16" t="s">
        <v>33</v>
      </c>
      <c r="C1191" s="17">
        <v>45091</v>
      </c>
      <c r="D1191" s="16">
        <v>22326</v>
      </c>
      <c r="E1191" s="16">
        <v>70485</v>
      </c>
      <c r="F1191" s="18" t="s">
        <v>101</v>
      </c>
      <c r="G1191" s="16" t="s">
        <v>4</v>
      </c>
      <c r="H1191" s="16" t="s">
        <v>49</v>
      </c>
      <c r="I1191" s="16" t="s">
        <v>61</v>
      </c>
    </row>
    <row r="1192" spans="2:9" x14ac:dyDescent="0.25">
      <c r="B1192" s="16" t="s">
        <v>26</v>
      </c>
      <c r="C1192" s="17">
        <v>45091</v>
      </c>
      <c r="D1192" s="16">
        <v>22108</v>
      </c>
      <c r="E1192" s="16">
        <v>70485</v>
      </c>
      <c r="F1192" s="18" t="s">
        <v>101</v>
      </c>
      <c r="G1192" s="16" t="s">
        <v>4</v>
      </c>
      <c r="H1192" s="16" t="s">
        <v>28</v>
      </c>
      <c r="I1192" s="16" t="s">
        <v>73</v>
      </c>
    </row>
    <row r="1193" spans="2:9" x14ac:dyDescent="0.25">
      <c r="B1193" s="16" t="s">
        <v>26</v>
      </c>
      <c r="C1193" s="17">
        <v>45091</v>
      </c>
      <c r="D1193" s="16">
        <v>22109</v>
      </c>
      <c r="E1193" s="16">
        <v>70485</v>
      </c>
      <c r="F1193" s="18" t="s">
        <v>101</v>
      </c>
      <c r="G1193" s="16" t="s">
        <v>4</v>
      </c>
      <c r="H1193" s="16" t="s">
        <v>28</v>
      </c>
      <c r="I1193" s="16" t="s">
        <v>73</v>
      </c>
    </row>
    <row r="1194" spans="2:9" x14ac:dyDescent="0.25">
      <c r="B1194" s="16" t="s">
        <v>26</v>
      </c>
      <c r="C1194" s="17">
        <v>45091</v>
      </c>
      <c r="D1194" s="16">
        <v>22110</v>
      </c>
      <c r="E1194" s="16">
        <v>70485</v>
      </c>
      <c r="F1194" s="18" t="s">
        <v>101</v>
      </c>
      <c r="G1194" s="16" t="s">
        <v>4</v>
      </c>
      <c r="H1194" s="16" t="s">
        <v>28</v>
      </c>
      <c r="I1194" s="16" t="s">
        <v>73</v>
      </c>
    </row>
    <row r="1195" spans="2:9" x14ac:dyDescent="0.25">
      <c r="B1195" s="16" t="s">
        <v>26</v>
      </c>
      <c r="C1195" s="17">
        <v>45091</v>
      </c>
      <c r="D1195" s="16">
        <v>22111</v>
      </c>
      <c r="E1195" s="16">
        <v>70485</v>
      </c>
      <c r="F1195" s="18" t="s">
        <v>101</v>
      </c>
      <c r="G1195" s="16" t="s">
        <v>4</v>
      </c>
      <c r="H1195" s="16" t="s">
        <v>28</v>
      </c>
      <c r="I1195" s="16" t="s">
        <v>73</v>
      </c>
    </row>
    <row r="1196" spans="2:9" x14ac:dyDescent="0.25">
      <c r="B1196" s="16" t="s">
        <v>26</v>
      </c>
      <c r="C1196" s="17">
        <v>45091</v>
      </c>
      <c r="D1196" s="16">
        <v>22112</v>
      </c>
      <c r="E1196" s="16">
        <v>70485</v>
      </c>
      <c r="F1196" s="18" t="s">
        <v>101</v>
      </c>
      <c r="G1196" s="16" t="s">
        <v>4</v>
      </c>
      <c r="H1196" s="16" t="s">
        <v>28</v>
      </c>
      <c r="I1196" s="16" t="s">
        <v>73</v>
      </c>
    </row>
    <row r="1197" spans="2:9" x14ac:dyDescent="0.25">
      <c r="B1197" s="16" t="s">
        <v>210</v>
      </c>
      <c r="C1197" s="17">
        <v>45091</v>
      </c>
      <c r="D1197" s="16">
        <v>1065287</v>
      </c>
      <c r="E1197" s="16">
        <v>9378</v>
      </c>
      <c r="F1197" s="18" t="s">
        <v>30</v>
      </c>
      <c r="G1197" s="16" t="s">
        <v>5</v>
      </c>
      <c r="H1197" s="16" t="s">
        <v>31</v>
      </c>
      <c r="I1197" s="16" t="s">
        <v>132</v>
      </c>
    </row>
    <row r="1198" spans="2:9" x14ac:dyDescent="0.25">
      <c r="B1198" s="16" t="s">
        <v>26</v>
      </c>
      <c r="C1198" s="17">
        <v>45091</v>
      </c>
      <c r="D1198" s="16">
        <v>29842</v>
      </c>
      <c r="E1198" s="16">
        <v>63599</v>
      </c>
      <c r="F1198" s="18" t="s">
        <v>164</v>
      </c>
      <c r="G1198" s="16" t="s">
        <v>5</v>
      </c>
      <c r="H1198" s="16" t="s">
        <v>215</v>
      </c>
      <c r="I1198" s="16" t="s">
        <v>17</v>
      </c>
    </row>
    <row r="1199" spans="2:9" x14ac:dyDescent="0.25">
      <c r="B1199" s="16" t="s">
        <v>26</v>
      </c>
      <c r="C1199" s="17">
        <v>45091</v>
      </c>
      <c r="D1199" s="16">
        <v>29841</v>
      </c>
      <c r="E1199" s="16">
        <v>63599</v>
      </c>
      <c r="F1199" s="18" t="s">
        <v>164</v>
      </c>
      <c r="G1199" s="16" t="s">
        <v>5</v>
      </c>
      <c r="H1199" s="16" t="s">
        <v>215</v>
      </c>
      <c r="I1199" s="16" t="s">
        <v>17</v>
      </c>
    </row>
    <row r="1200" spans="2:9" x14ac:dyDescent="0.25">
      <c r="B1200" s="16" t="s">
        <v>22</v>
      </c>
      <c r="C1200" s="17">
        <v>45091</v>
      </c>
      <c r="D1200" s="16">
        <v>1065417</v>
      </c>
      <c r="E1200" s="16">
        <v>9378</v>
      </c>
      <c r="F1200" s="18" t="s">
        <v>30</v>
      </c>
      <c r="G1200" s="16" t="s">
        <v>3</v>
      </c>
      <c r="H1200" s="16" t="s">
        <v>31</v>
      </c>
      <c r="I1200" s="16" t="s">
        <v>132</v>
      </c>
    </row>
    <row r="1201" spans="2:9" x14ac:dyDescent="0.25">
      <c r="B1201" s="16" t="s">
        <v>33</v>
      </c>
      <c r="C1201" s="17">
        <v>45091</v>
      </c>
      <c r="D1201" s="16">
        <v>1065424</v>
      </c>
      <c r="E1201" s="16">
        <v>9378</v>
      </c>
      <c r="F1201" s="18" t="s">
        <v>30</v>
      </c>
      <c r="G1201" s="16" t="s">
        <v>3</v>
      </c>
      <c r="H1201" s="16" t="s">
        <v>184</v>
      </c>
      <c r="I1201" s="16" t="s">
        <v>61</v>
      </c>
    </row>
    <row r="1202" spans="2:9" x14ac:dyDescent="0.25">
      <c r="B1202" s="16" t="s">
        <v>40</v>
      </c>
      <c r="C1202" s="17">
        <v>45091</v>
      </c>
      <c r="D1202" s="16">
        <v>980129</v>
      </c>
      <c r="E1202" s="16">
        <v>9434</v>
      </c>
      <c r="F1202" s="18" t="s">
        <v>23</v>
      </c>
      <c r="G1202" s="16" t="s">
        <v>16</v>
      </c>
      <c r="H1202" s="16" t="s">
        <v>46</v>
      </c>
      <c r="I1202" s="16" t="s">
        <v>115</v>
      </c>
    </row>
    <row r="1203" spans="2:9" x14ac:dyDescent="0.25">
      <c r="B1203" s="16" t="s">
        <v>40</v>
      </c>
      <c r="C1203" s="17">
        <v>45091</v>
      </c>
      <c r="D1203" s="16">
        <v>980422</v>
      </c>
      <c r="E1203" s="16">
        <v>9434</v>
      </c>
      <c r="F1203" s="18" t="s">
        <v>23</v>
      </c>
      <c r="G1203" s="16" t="s">
        <v>16</v>
      </c>
      <c r="H1203" s="16" t="s">
        <v>46</v>
      </c>
      <c r="I1203" s="16" t="s">
        <v>115</v>
      </c>
    </row>
    <row r="1204" spans="2:9" x14ac:dyDescent="0.25">
      <c r="B1204" s="16" t="s">
        <v>40</v>
      </c>
      <c r="C1204" s="17">
        <v>45091</v>
      </c>
      <c r="D1204" s="16">
        <v>980423</v>
      </c>
      <c r="E1204" s="16">
        <v>9434</v>
      </c>
      <c r="F1204" s="18" t="s">
        <v>23</v>
      </c>
      <c r="G1204" s="16" t="s">
        <v>16</v>
      </c>
      <c r="H1204" s="16" t="s">
        <v>46</v>
      </c>
      <c r="I1204" s="16" t="s">
        <v>115</v>
      </c>
    </row>
    <row r="1205" spans="2:9" x14ac:dyDescent="0.25">
      <c r="B1205" s="16" t="s">
        <v>40</v>
      </c>
      <c r="C1205" s="17">
        <v>45091</v>
      </c>
      <c r="D1205" s="16">
        <v>980424</v>
      </c>
      <c r="E1205" s="16">
        <v>9434</v>
      </c>
      <c r="F1205" s="18" t="s">
        <v>23</v>
      </c>
      <c r="G1205" s="16" t="s">
        <v>16</v>
      </c>
      <c r="H1205" s="16" t="s">
        <v>46</v>
      </c>
      <c r="I1205" s="16" t="s">
        <v>115</v>
      </c>
    </row>
    <row r="1206" spans="2:9" x14ac:dyDescent="0.25">
      <c r="B1206" s="16" t="s">
        <v>40</v>
      </c>
      <c r="C1206" s="17">
        <v>45091</v>
      </c>
      <c r="D1206" s="16">
        <v>980426</v>
      </c>
      <c r="E1206" s="16">
        <v>9434</v>
      </c>
      <c r="F1206" s="18" t="s">
        <v>23</v>
      </c>
      <c r="G1206" s="16" t="s">
        <v>16</v>
      </c>
      <c r="H1206" s="16" t="s">
        <v>46</v>
      </c>
      <c r="I1206" s="16" t="s">
        <v>115</v>
      </c>
    </row>
    <row r="1207" spans="2:9" x14ac:dyDescent="0.25">
      <c r="B1207" s="16" t="s">
        <v>40</v>
      </c>
      <c r="C1207" s="17">
        <v>45091</v>
      </c>
      <c r="D1207" s="16">
        <v>980427</v>
      </c>
      <c r="E1207" s="16">
        <v>9434</v>
      </c>
      <c r="F1207" s="18" t="s">
        <v>23</v>
      </c>
      <c r="G1207" s="16" t="s">
        <v>16</v>
      </c>
      <c r="H1207" s="16" t="s">
        <v>46</v>
      </c>
      <c r="I1207" s="16" t="s">
        <v>115</v>
      </c>
    </row>
    <row r="1208" spans="2:9" x14ac:dyDescent="0.25">
      <c r="B1208" s="16" t="s">
        <v>40</v>
      </c>
      <c r="C1208" s="17">
        <v>45091</v>
      </c>
      <c r="D1208" s="16">
        <v>2368457</v>
      </c>
      <c r="E1208" s="16">
        <v>8252</v>
      </c>
      <c r="F1208" s="18" t="s">
        <v>286</v>
      </c>
      <c r="G1208" s="16" t="s">
        <v>5</v>
      </c>
      <c r="H1208" s="16" t="s">
        <v>36</v>
      </c>
      <c r="I1208" s="16" t="s">
        <v>296</v>
      </c>
    </row>
    <row r="1209" spans="2:9" x14ac:dyDescent="0.25">
      <c r="B1209" s="16" t="s">
        <v>210</v>
      </c>
      <c r="C1209" s="17">
        <v>45091</v>
      </c>
      <c r="D1209" s="16">
        <v>980302</v>
      </c>
      <c r="E1209" s="16">
        <v>9434</v>
      </c>
      <c r="F1209" s="18" t="s">
        <v>23</v>
      </c>
      <c r="G1209" s="16" t="s">
        <v>16</v>
      </c>
      <c r="H1209" s="16" t="s">
        <v>137</v>
      </c>
      <c r="I1209" s="16" t="s">
        <v>59</v>
      </c>
    </row>
    <row r="1210" spans="2:9" x14ac:dyDescent="0.25">
      <c r="B1210" s="16" t="s">
        <v>210</v>
      </c>
      <c r="C1210" s="17">
        <v>45091</v>
      </c>
      <c r="D1210" s="16">
        <v>980292</v>
      </c>
      <c r="E1210" s="16">
        <v>9434</v>
      </c>
      <c r="F1210" s="18" t="s">
        <v>23</v>
      </c>
      <c r="G1210" s="16" t="s">
        <v>16</v>
      </c>
      <c r="H1210" s="16" t="s">
        <v>137</v>
      </c>
      <c r="I1210" s="16" t="s">
        <v>59</v>
      </c>
    </row>
    <row r="1211" spans="2:9" x14ac:dyDescent="0.25">
      <c r="B1211" s="16" t="s">
        <v>210</v>
      </c>
      <c r="C1211" s="17">
        <v>45091</v>
      </c>
      <c r="D1211" s="16">
        <v>980293</v>
      </c>
      <c r="E1211" s="16">
        <v>9434</v>
      </c>
      <c r="F1211" s="18" t="s">
        <v>23</v>
      </c>
      <c r="G1211" s="16" t="s">
        <v>16</v>
      </c>
      <c r="H1211" s="16" t="s">
        <v>137</v>
      </c>
      <c r="I1211" s="16" t="s">
        <v>59</v>
      </c>
    </row>
    <row r="1212" spans="2:9" x14ac:dyDescent="0.25">
      <c r="B1212" s="16" t="s">
        <v>210</v>
      </c>
      <c r="C1212" s="17">
        <v>45091</v>
      </c>
      <c r="D1212" s="16">
        <v>980296</v>
      </c>
      <c r="E1212" s="16">
        <v>9434</v>
      </c>
      <c r="F1212" s="18" t="s">
        <v>23</v>
      </c>
      <c r="G1212" s="16" t="s">
        <v>16</v>
      </c>
      <c r="H1212" s="16" t="s">
        <v>137</v>
      </c>
      <c r="I1212" s="16" t="s">
        <v>59</v>
      </c>
    </row>
    <row r="1213" spans="2:9" x14ac:dyDescent="0.25">
      <c r="B1213" s="16" t="s">
        <v>210</v>
      </c>
      <c r="C1213" s="17">
        <v>45091</v>
      </c>
      <c r="D1213" s="16">
        <v>980295</v>
      </c>
      <c r="E1213" s="16">
        <v>9434</v>
      </c>
      <c r="F1213" s="18" t="s">
        <v>23</v>
      </c>
      <c r="G1213" s="16" t="s">
        <v>16</v>
      </c>
      <c r="H1213" s="16" t="s">
        <v>137</v>
      </c>
      <c r="I1213" s="16" t="s">
        <v>59</v>
      </c>
    </row>
    <row r="1214" spans="2:9" x14ac:dyDescent="0.25">
      <c r="B1214" s="16" t="s">
        <v>210</v>
      </c>
      <c r="C1214" s="17">
        <v>45091</v>
      </c>
      <c r="D1214" s="16">
        <v>980298</v>
      </c>
      <c r="E1214" s="16">
        <v>9434</v>
      </c>
      <c r="F1214" s="18" t="s">
        <v>23</v>
      </c>
      <c r="G1214" s="16" t="s">
        <v>16</v>
      </c>
      <c r="H1214" s="16" t="s">
        <v>137</v>
      </c>
      <c r="I1214" s="16" t="s">
        <v>59</v>
      </c>
    </row>
    <row r="1215" spans="2:9" x14ac:dyDescent="0.25">
      <c r="B1215" s="16" t="s">
        <v>210</v>
      </c>
      <c r="C1215" s="17">
        <v>45091</v>
      </c>
      <c r="D1215" s="16">
        <v>980299</v>
      </c>
      <c r="E1215" s="16">
        <v>9434</v>
      </c>
      <c r="F1215" s="18" t="s">
        <v>23</v>
      </c>
      <c r="G1215" s="16" t="s">
        <v>16</v>
      </c>
      <c r="H1215" s="16" t="s">
        <v>137</v>
      </c>
      <c r="I1215" s="16" t="s">
        <v>59</v>
      </c>
    </row>
    <row r="1216" spans="2:9" x14ac:dyDescent="0.25">
      <c r="B1216" s="16" t="s">
        <v>210</v>
      </c>
      <c r="C1216" s="17">
        <v>45091</v>
      </c>
      <c r="D1216" s="16">
        <v>980300</v>
      </c>
      <c r="E1216" s="16">
        <v>9434</v>
      </c>
      <c r="F1216" s="18" t="s">
        <v>23</v>
      </c>
      <c r="G1216" s="16" t="s">
        <v>16</v>
      </c>
      <c r="H1216" s="16" t="s">
        <v>137</v>
      </c>
      <c r="I1216" s="16" t="s">
        <v>59</v>
      </c>
    </row>
    <row r="1217" spans="2:9" x14ac:dyDescent="0.25">
      <c r="B1217" s="16" t="s">
        <v>210</v>
      </c>
      <c r="C1217" s="17">
        <v>45091</v>
      </c>
      <c r="D1217" s="16">
        <v>980297</v>
      </c>
      <c r="E1217" s="16">
        <v>9434</v>
      </c>
      <c r="F1217" s="18" t="s">
        <v>23</v>
      </c>
      <c r="G1217" s="16" t="s">
        <v>16</v>
      </c>
      <c r="H1217" s="16" t="s">
        <v>137</v>
      </c>
      <c r="I1217" s="16" t="s">
        <v>59</v>
      </c>
    </row>
    <row r="1218" spans="2:9" x14ac:dyDescent="0.25">
      <c r="B1218" s="16" t="s">
        <v>210</v>
      </c>
      <c r="C1218" s="17">
        <v>45091</v>
      </c>
      <c r="D1218" s="16">
        <v>980294</v>
      </c>
      <c r="E1218" s="16">
        <v>9434</v>
      </c>
      <c r="F1218" s="18" t="s">
        <v>23</v>
      </c>
      <c r="G1218" s="16" t="s">
        <v>16</v>
      </c>
      <c r="H1218" s="16" t="s">
        <v>137</v>
      </c>
      <c r="I1218" s="16" t="s">
        <v>59</v>
      </c>
    </row>
    <row r="1219" spans="2:9" x14ac:dyDescent="0.25">
      <c r="B1219" s="16" t="s">
        <v>210</v>
      </c>
      <c r="C1219" s="17">
        <v>45091</v>
      </c>
      <c r="D1219" s="16">
        <v>980301</v>
      </c>
      <c r="E1219" s="16">
        <v>9434</v>
      </c>
      <c r="F1219" s="18" t="s">
        <v>23</v>
      </c>
      <c r="G1219" s="16" t="s">
        <v>16</v>
      </c>
      <c r="H1219" s="16" t="s">
        <v>137</v>
      </c>
      <c r="I1219" s="16" t="s">
        <v>59</v>
      </c>
    </row>
    <row r="1220" spans="2:9" x14ac:dyDescent="0.25">
      <c r="B1220" s="16" t="s">
        <v>22</v>
      </c>
      <c r="C1220" s="17">
        <v>45091</v>
      </c>
      <c r="D1220" s="16">
        <v>1065425</v>
      </c>
      <c r="E1220" s="16">
        <v>9378</v>
      </c>
      <c r="F1220" s="18" t="s">
        <v>30</v>
      </c>
      <c r="G1220" s="16" t="s">
        <v>5</v>
      </c>
      <c r="H1220" s="16" t="s">
        <v>186</v>
      </c>
      <c r="I1220" s="16" t="s">
        <v>61</v>
      </c>
    </row>
    <row r="1221" spans="2:9" x14ac:dyDescent="0.25">
      <c r="B1221" s="16" t="s">
        <v>26</v>
      </c>
      <c r="C1221" s="17">
        <v>45091</v>
      </c>
      <c r="D1221" s="16">
        <v>1065400</v>
      </c>
      <c r="E1221" s="16">
        <v>9378</v>
      </c>
      <c r="F1221" s="18" t="s">
        <v>30</v>
      </c>
      <c r="G1221" s="16" t="s">
        <v>5</v>
      </c>
      <c r="H1221" s="16" t="s">
        <v>46</v>
      </c>
      <c r="I1221" s="16" t="s">
        <v>115</v>
      </c>
    </row>
    <row r="1222" spans="2:9" x14ac:dyDescent="0.25">
      <c r="B1222" s="16" t="s">
        <v>26</v>
      </c>
      <c r="C1222" s="17">
        <v>45091</v>
      </c>
      <c r="D1222" s="16">
        <v>1065438</v>
      </c>
      <c r="E1222" s="16">
        <v>9378</v>
      </c>
      <c r="F1222" s="18" t="s">
        <v>30</v>
      </c>
      <c r="G1222" s="16" t="s">
        <v>5</v>
      </c>
      <c r="H1222" s="16" t="s">
        <v>46</v>
      </c>
      <c r="I1222" s="16" t="s">
        <v>115</v>
      </c>
    </row>
    <row r="1223" spans="2:9" x14ac:dyDescent="0.25">
      <c r="B1223" s="16" t="s">
        <v>26</v>
      </c>
      <c r="C1223" s="17">
        <v>45091</v>
      </c>
      <c r="D1223" s="16">
        <v>1065442</v>
      </c>
      <c r="E1223" s="16">
        <v>9378</v>
      </c>
      <c r="F1223" s="18" t="s">
        <v>30</v>
      </c>
      <c r="G1223" s="16" t="s">
        <v>5</v>
      </c>
      <c r="H1223" s="16" t="s">
        <v>46</v>
      </c>
      <c r="I1223" s="16" t="s">
        <v>115</v>
      </c>
    </row>
    <row r="1224" spans="2:9" x14ac:dyDescent="0.25">
      <c r="B1224" s="16" t="s">
        <v>26</v>
      </c>
      <c r="C1224" s="17">
        <v>45091</v>
      </c>
      <c r="D1224" s="16">
        <v>1065444</v>
      </c>
      <c r="E1224" s="16">
        <v>9378</v>
      </c>
      <c r="F1224" s="18" t="s">
        <v>30</v>
      </c>
      <c r="G1224" s="16" t="s">
        <v>5</v>
      </c>
      <c r="H1224" s="16" t="s">
        <v>46</v>
      </c>
      <c r="I1224" s="16" t="s">
        <v>115</v>
      </c>
    </row>
    <row r="1225" spans="2:9" x14ac:dyDescent="0.25">
      <c r="B1225" s="16" t="s">
        <v>26</v>
      </c>
      <c r="C1225" s="17">
        <v>45091</v>
      </c>
      <c r="D1225" s="16">
        <v>1065445</v>
      </c>
      <c r="E1225" s="16">
        <v>9378</v>
      </c>
      <c r="F1225" s="18" t="s">
        <v>30</v>
      </c>
      <c r="G1225" s="16" t="s">
        <v>5</v>
      </c>
      <c r="H1225" s="16" t="s">
        <v>46</v>
      </c>
      <c r="I1225" s="16" t="s">
        <v>115</v>
      </c>
    </row>
    <row r="1226" spans="2:9" x14ac:dyDescent="0.25">
      <c r="B1226" s="16" t="s">
        <v>26</v>
      </c>
      <c r="C1226" s="17">
        <v>45091</v>
      </c>
      <c r="D1226" s="16">
        <v>1065450</v>
      </c>
      <c r="E1226" s="16">
        <v>9378</v>
      </c>
      <c r="F1226" s="18" t="s">
        <v>30</v>
      </c>
      <c r="G1226" s="16" t="s">
        <v>5</v>
      </c>
      <c r="H1226" s="16" t="s">
        <v>46</v>
      </c>
      <c r="I1226" s="16" t="s">
        <v>115</v>
      </c>
    </row>
    <row r="1227" spans="2:9" x14ac:dyDescent="0.25">
      <c r="B1227" s="16" t="s">
        <v>26</v>
      </c>
      <c r="C1227" s="17">
        <v>45091</v>
      </c>
      <c r="D1227" s="16">
        <v>1065446</v>
      </c>
      <c r="E1227" s="16">
        <v>9378</v>
      </c>
      <c r="F1227" s="18" t="s">
        <v>30</v>
      </c>
      <c r="G1227" s="16" t="s">
        <v>5</v>
      </c>
      <c r="H1227" s="16" t="s">
        <v>46</v>
      </c>
      <c r="I1227" s="16" t="s">
        <v>115</v>
      </c>
    </row>
    <row r="1228" spans="2:9" x14ac:dyDescent="0.25">
      <c r="B1228" s="16" t="s">
        <v>26</v>
      </c>
      <c r="C1228" s="17">
        <v>45091</v>
      </c>
      <c r="D1228" s="16">
        <v>1065447</v>
      </c>
      <c r="E1228" s="16">
        <v>9378</v>
      </c>
      <c r="F1228" s="18" t="s">
        <v>30</v>
      </c>
      <c r="G1228" s="16" t="s">
        <v>5</v>
      </c>
      <c r="H1228" s="16" t="s">
        <v>46</v>
      </c>
      <c r="I1228" s="16" t="s">
        <v>115</v>
      </c>
    </row>
    <row r="1229" spans="2:9" x14ac:dyDescent="0.25">
      <c r="B1229" s="16" t="s">
        <v>26</v>
      </c>
      <c r="C1229" s="17">
        <v>45091</v>
      </c>
      <c r="D1229" s="16">
        <v>1065448</v>
      </c>
      <c r="E1229" s="16">
        <v>9378</v>
      </c>
      <c r="F1229" s="18" t="s">
        <v>30</v>
      </c>
      <c r="G1229" s="16" t="s">
        <v>5</v>
      </c>
      <c r="H1229" s="16" t="s">
        <v>46</v>
      </c>
      <c r="I1229" s="16" t="s">
        <v>115</v>
      </c>
    </row>
    <row r="1230" spans="2:9" x14ac:dyDescent="0.25">
      <c r="B1230" s="16" t="s">
        <v>26</v>
      </c>
      <c r="C1230" s="17">
        <v>45091</v>
      </c>
      <c r="D1230" s="16">
        <v>1065449</v>
      </c>
      <c r="E1230" s="16">
        <v>9378</v>
      </c>
      <c r="F1230" s="18" t="s">
        <v>30</v>
      </c>
      <c r="G1230" s="16" t="s">
        <v>5</v>
      </c>
      <c r="H1230" s="16" t="s">
        <v>46</v>
      </c>
      <c r="I1230" s="16" t="s">
        <v>115</v>
      </c>
    </row>
    <row r="1231" spans="2:9" x14ac:dyDescent="0.25">
      <c r="B1231" s="16" t="s">
        <v>26</v>
      </c>
      <c r="C1231" s="17">
        <v>45091</v>
      </c>
      <c r="D1231" s="16">
        <v>1065452</v>
      </c>
      <c r="E1231" s="16">
        <v>9378</v>
      </c>
      <c r="F1231" s="18" t="s">
        <v>30</v>
      </c>
      <c r="G1231" s="16" t="s">
        <v>5</v>
      </c>
      <c r="H1231" s="16" t="s">
        <v>46</v>
      </c>
      <c r="I1231" s="16" t="s">
        <v>115</v>
      </c>
    </row>
    <row r="1232" spans="2:9" x14ac:dyDescent="0.25">
      <c r="B1232" s="16" t="s">
        <v>40</v>
      </c>
      <c r="C1232" s="17">
        <v>45091</v>
      </c>
      <c r="D1232" s="16">
        <v>204828</v>
      </c>
      <c r="E1232" s="16">
        <v>10759</v>
      </c>
      <c r="F1232" s="18" t="s">
        <v>297</v>
      </c>
      <c r="G1232" s="16" t="s">
        <v>52</v>
      </c>
      <c r="H1232" s="16" t="s">
        <v>46</v>
      </c>
      <c r="I1232" s="16" t="s">
        <v>115</v>
      </c>
    </row>
    <row r="1233" spans="2:9" x14ac:dyDescent="0.25">
      <c r="B1233" s="16" t="s">
        <v>40</v>
      </c>
      <c r="C1233" s="17">
        <v>45091</v>
      </c>
      <c r="D1233" s="16">
        <v>161526</v>
      </c>
      <c r="E1233" s="16">
        <v>2471</v>
      </c>
      <c r="F1233" s="18" t="s">
        <v>207</v>
      </c>
      <c r="G1233" s="16" t="s">
        <v>5</v>
      </c>
      <c r="H1233" s="16" t="s">
        <v>45</v>
      </c>
      <c r="I1233" s="16" t="s">
        <v>115</v>
      </c>
    </row>
    <row r="1234" spans="2:9" x14ac:dyDescent="0.25">
      <c r="B1234" s="16" t="s">
        <v>40</v>
      </c>
      <c r="C1234" s="17">
        <v>45091</v>
      </c>
      <c r="D1234" s="16">
        <v>161734</v>
      </c>
      <c r="E1234" s="16">
        <v>2471</v>
      </c>
      <c r="F1234" s="18" t="s">
        <v>207</v>
      </c>
      <c r="G1234" s="16" t="s">
        <v>5</v>
      </c>
      <c r="H1234" s="16" t="s">
        <v>45</v>
      </c>
      <c r="I1234" s="16" t="s">
        <v>298</v>
      </c>
    </row>
    <row r="1235" spans="2:9" x14ac:dyDescent="0.25">
      <c r="B1235" s="16" t="s">
        <v>33</v>
      </c>
      <c r="C1235" s="17">
        <v>45091</v>
      </c>
      <c r="D1235" s="16">
        <v>8435058</v>
      </c>
      <c r="E1235" s="16">
        <v>9389</v>
      </c>
      <c r="F1235" s="18" t="s">
        <v>119</v>
      </c>
      <c r="G1235" s="16" t="s">
        <v>5</v>
      </c>
      <c r="H1235" s="16" t="s">
        <v>71</v>
      </c>
      <c r="I1235" s="16" t="s">
        <v>17</v>
      </c>
    </row>
    <row r="1236" spans="2:9" x14ac:dyDescent="0.25">
      <c r="B1236" s="16" t="s">
        <v>33</v>
      </c>
      <c r="C1236" s="17">
        <v>45091</v>
      </c>
      <c r="D1236" s="16">
        <v>8435059</v>
      </c>
      <c r="E1236" s="16">
        <v>9389</v>
      </c>
      <c r="F1236" s="18" t="s">
        <v>119</v>
      </c>
      <c r="G1236" s="16" t="s">
        <v>3</v>
      </c>
      <c r="H1236" s="16" t="s">
        <v>71</v>
      </c>
      <c r="I1236" s="16" t="s">
        <v>17</v>
      </c>
    </row>
    <row r="1237" spans="2:9" x14ac:dyDescent="0.25">
      <c r="B1237" s="16" t="s">
        <v>33</v>
      </c>
      <c r="C1237" s="17">
        <v>45091</v>
      </c>
      <c r="D1237" s="16">
        <v>8435056</v>
      </c>
      <c r="E1237" s="16">
        <v>9389</v>
      </c>
      <c r="F1237" s="18" t="s">
        <v>119</v>
      </c>
      <c r="G1237" s="16" t="s">
        <v>3</v>
      </c>
      <c r="H1237" s="16" t="s">
        <v>71</v>
      </c>
      <c r="I1237" s="16" t="s">
        <v>17</v>
      </c>
    </row>
    <row r="1238" spans="2:9" x14ac:dyDescent="0.25">
      <c r="B1238" s="16" t="s">
        <v>33</v>
      </c>
      <c r="C1238" s="17">
        <v>45091</v>
      </c>
      <c r="D1238" s="16">
        <v>8435057</v>
      </c>
      <c r="E1238" s="16">
        <v>9389</v>
      </c>
      <c r="F1238" s="18" t="s">
        <v>119</v>
      </c>
      <c r="G1238" s="16" t="s">
        <v>3</v>
      </c>
      <c r="H1238" s="16" t="s">
        <v>71</v>
      </c>
      <c r="I1238" s="16" t="s">
        <v>17</v>
      </c>
    </row>
    <row r="1239" spans="2:9" x14ac:dyDescent="0.25">
      <c r="B1239" s="16" t="s">
        <v>22</v>
      </c>
      <c r="C1239" s="17">
        <v>45091</v>
      </c>
      <c r="D1239" s="16">
        <v>1266668</v>
      </c>
      <c r="E1239" s="16">
        <v>9388</v>
      </c>
      <c r="F1239" s="18" t="s">
        <v>165</v>
      </c>
      <c r="G1239" s="16" t="s">
        <v>5</v>
      </c>
      <c r="H1239" s="16" t="s">
        <v>71</v>
      </c>
      <c r="I1239" s="16" t="s">
        <v>17</v>
      </c>
    </row>
    <row r="1240" spans="2:9" x14ac:dyDescent="0.25">
      <c r="B1240" s="16" t="s">
        <v>22</v>
      </c>
      <c r="C1240" s="17">
        <v>45091</v>
      </c>
      <c r="D1240" s="16">
        <v>476359</v>
      </c>
      <c r="E1240" s="16">
        <v>7530</v>
      </c>
      <c r="F1240" s="18" t="s">
        <v>299</v>
      </c>
      <c r="G1240" s="16" t="s">
        <v>5</v>
      </c>
      <c r="H1240" s="16" t="s">
        <v>71</v>
      </c>
      <c r="I1240" s="16" t="s">
        <v>17</v>
      </c>
    </row>
    <row r="1241" spans="2:9" x14ac:dyDescent="0.25">
      <c r="B1241" s="16" t="s">
        <v>22</v>
      </c>
      <c r="C1241" s="17">
        <v>45091</v>
      </c>
      <c r="D1241" s="16">
        <v>29830</v>
      </c>
      <c r="E1241" s="16">
        <v>63599</v>
      </c>
      <c r="F1241" s="18" t="s">
        <v>164</v>
      </c>
      <c r="G1241" s="16" t="s">
        <v>5</v>
      </c>
      <c r="H1241" s="16" t="s">
        <v>71</v>
      </c>
      <c r="I1241" s="16" t="s">
        <v>17</v>
      </c>
    </row>
    <row r="1242" spans="2:9" x14ac:dyDescent="0.25">
      <c r="B1242" s="16" t="s">
        <v>22</v>
      </c>
      <c r="C1242" s="17">
        <v>45091</v>
      </c>
      <c r="D1242" s="16">
        <v>29831</v>
      </c>
      <c r="E1242" s="16">
        <v>63599</v>
      </c>
      <c r="F1242" s="18" t="s">
        <v>164</v>
      </c>
      <c r="G1242" s="16" t="s">
        <v>5</v>
      </c>
      <c r="H1242" s="16" t="s">
        <v>71</v>
      </c>
      <c r="I1242" s="16" t="s">
        <v>17</v>
      </c>
    </row>
    <row r="1243" spans="2:9" x14ac:dyDescent="0.25">
      <c r="B1243" s="16" t="s">
        <v>33</v>
      </c>
      <c r="C1243" s="17">
        <v>45091</v>
      </c>
      <c r="D1243" s="16">
        <v>1065416</v>
      </c>
      <c r="E1243" s="16">
        <v>9378</v>
      </c>
      <c r="F1243" s="18" t="s">
        <v>30</v>
      </c>
      <c r="G1243" s="16" t="s">
        <v>3</v>
      </c>
      <c r="H1243" s="16" t="s">
        <v>49</v>
      </c>
      <c r="I1243" s="16" t="s">
        <v>73</v>
      </c>
    </row>
    <row r="1244" spans="2:9" x14ac:dyDescent="0.25">
      <c r="B1244" s="16" t="s">
        <v>33</v>
      </c>
      <c r="C1244" s="17">
        <v>45092</v>
      </c>
      <c r="D1244" s="16">
        <v>204827</v>
      </c>
      <c r="E1244" s="16">
        <v>10759</v>
      </c>
      <c r="F1244" s="18" t="s">
        <v>297</v>
      </c>
      <c r="G1244" s="16" t="s">
        <v>52</v>
      </c>
      <c r="H1244" s="16" t="s">
        <v>28</v>
      </c>
      <c r="I1244" s="16" t="s">
        <v>73</v>
      </c>
    </row>
    <row r="1245" spans="2:9" x14ac:dyDescent="0.25">
      <c r="B1245" s="16" t="s">
        <v>33</v>
      </c>
      <c r="C1245" s="17">
        <v>45092</v>
      </c>
      <c r="D1245" s="16">
        <v>634834</v>
      </c>
      <c r="E1245" s="16">
        <v>3610</v>
      </c>
      <c r="F1245" s="18" t="s">
        <v>8</v>
      </c>
      <c r="G1245" s="16" t="s">
        <v>6</v>
      </c>
      <c r="H1245" s="16" t="s">
        <v>38</v>
      </c>
      <c r="I1245" s="16" t="s">
        <v>17</v>
      </c>
    </row>
    <row r="1246" spans="2:9" x14ac:dyDescent="0.25">
      <c r="B1246" s="16" t="s">
        <v>2</v>
      </c>
      <c r="C1246" s="17">
        <v>45092</v>
      </c>
      <c r="D1246" s="16">
        <v>534250</v>
      </c>
      <c r="E1246" s="16">
        <v>1008</v>
      </c>
      <c r="F1246" s="18" t="s">
        <v>74</v>
      </c>
      <c r="G1246" s="16" t="s">
        <v>16</v>
      </c>
      <c r="H1246" s="16" t="s">
        <v>184</v>
      </c>
      <c r="I1246" s="16" t="s">
        <v>61</v>
      </c>
    </row>
    <row r="1247" spans="2:9" x14ac:dyDescent="0.25">
      <c r="B1247" s="16" t="s">
        <v>26</v>
      </c>
      <c r="C1247" s="17">
        <v>45092</v>
      </c>
      <c r="D1247" s="16">
        <v>1065440</v>
      </c>
      <c r="E1247" s="16">
        <v>9378</v>
      </c>
      <c r="F1247" s="18" t="s">
        <v>30</v>
      </c>
      <c r="G1247" s="16" t="s">
        <v>5</v>
      </c>
      <c r="H1247" s="16" t="s">
        <v>28</v>
      </c>
      <c r="I1247" s="16" t="s">
        <v>73</v>
      </c>
    </row>
    <row r="1248" spans="2:9" x14ac:dyDescent="0.25">
      <c r="B1248" s="16" t="s">
        <v>26</v>
      </c>
      <c r="C1248" s="17">
        <v>45092</v>
      </c>
      <c r="D1248" s="16">
        <v>1065438</v>
      </c>
      <c r="E1248" s="16">
        <v>9378</v>
      </c>
      <c r="F1248" s="18" t="s">
        <v>30</v>
      </c>
      <c r="G1248" s="16" t="s">
        <v>5</v>
      </c>
      <c r="H1248" s="16" t="s">
        <v>28</v>
      </c>
      <c r="I1248" s="16" t="s">
        <v>73</v>
      </c>
    </row>
    <row r="1249" spans="2:9" x14ac:dyDescent="0.25">
      <c r="B1249" s="16" t="s">
        <v>26</v>
      </c>
      <c r="C1249" s="17">
        <v>45092</v>
      </c>
      <c r="D1249" s="16">
        <v>1065442</v>
      </c>
      <c r="E1249" s="16">
        <v>9378</v>
      </c>
      <c r="F1249" s="18" t="s">
        <v>30</v>
      </c>
      <c r="G1249" s="16" t="s">
        <v>5</v>
      </c>
      <c r="H1249" s="16" t="s">
        <v>28</v>
      </c>
      <c r="I1249" s="16" t="s">
        <v>73</v>
      </c>
    </row>
    <row r="1250" spans="2:9" x14ac:dyDescent="0.25">
      <c r="B1250" s="16" t="s">
        <v>26</v>
      </c>
      <c r="C1250" s="17">
        <v>45092</v>
      </c>
      <c r="D1250" s="16">
        <v>1065444</v>
      </c>
      <c r="E1250" s="16">
        <v>9378</v>
      </c>
      <c r="F1250" s="18" t="s">
        <v>30</v>
      </c>
      <c r="G1250" s="16" t="s">
        <v>5</v>
      </c>
      <c r="H1250" s="16" t="s">
        <v>28</v>
      </c>
      <c r="I1250" s="16" t="s">
        <v>73</v>
      </c>
    </row>
    <row r="1251" spans="2:9" x14ac:dyDescent="0.25">
      <c r="B1251" s="16" t="s">
        <v>26</v>
      </c>
      <c r="C1251" s="17">
        <v>45092</v>
      </c>
      <c r="D1251" s="16">
        <v>1065445</v>
      </c>
      <c r="E1251" s="16">
        <v>9378</v>
      </c>
      <c r="F1251" s="18" t="s">
        <v>30</v>
      </c>
      <c r="G1251" s="16" t="s">
        <v>5</v>
      </c>
      <c r="H1251" s="16" t="s">
        <v>28</v>
      </c>
      <c r="I1251" s="16" t="s">
        <v>73</v>
      </c>
    </row>
    <row r="1252" spans="2:9" x14ac:dyDescent="0.25">
      <c r="B1252" s="16" t="s">
        <v>26</v>
      </c>
      <c r="C1252" s="17">
        <v>45092</v>
      </c>
      <c r="D1252" s="16">
        <v>1065450</v>
      </c>
      <c r="E1252" s="16">
        <v>9378</v>
      </c>
      <c r="F1252" s="18" t="s">
        <v>30</v>
      </c>
      <c r="G1252" s="16" t="s">
        <v>5</v>
      </c>
      <c r="H1252" s="16" t="s">
        <v>28</v>
      </c>
      <c r="I1252" s="16" t="s">
        <v>73</v>
      </c>
    </row>
    <row r="1253" spans="2:9" x14ac:dyDescent="0.25">
      <c r="B1253" s="16" t="s">
        <v>26</v>
      </c>
      <c r="C1253" s="17">
        <v>45092</v>
      </c>
      <c r="D1253" s="16">
        <v>1065451</v>
      </c>
      <c r="E1253" s="16">
        <v>9378</v>
      </c>
      <c r="F1253" s="18" t="s">
        <v>30</v>
      </c>
      <c r="G1253" s="16" t="s">
        <v>5</v>
      </c>
      <c r="H1253" s="16" t="s">
        <v>28</v>
      </c>
      <c r="I1253" s="16" t="s">
        <v>73</v>
      </c>
    </row>
    <row r="1254" spans="2:9" x14ac:dyDescent="0.25">
      <c r="B1254" s="16" t="s">
        <v>26</v>
      </c>
      <c r="C1254" s="17">
        <v>45092</v>
      </c>
      <c r="D1254" s="16">
        <v>1065446</v>
      </c>
      <c r="E1254" s="16">
        <v>9378</v>
      </c>
      <c r="F1254" s="18" t="s">
        <v>30</v>
      </c>
      <c r="G1254" s="16" t="s">
        <v>5</v>
      </c>
      <c r="H1254" s="16" t="s">
        <v>28</v>
      </c>
      <c r="I1254" s="16" t="s">
        <v>73</v>
      </c>
    </row>
    <row r="1255" spans="2:9" x14ac:dyDescent="0.25">
      <c r="B1255" s="16" t="s">
        <v>26</v>
      </c>
      <c r="C1255" s="17">
        <v>45092</v>
      </c>
      <c r="D1255" s="16">
        <v>1065448</v>
      </c>
      <c r="E1255" s="16">
        <v>9378</v>
      </c>
      <c r="F1255" s="18" t="s">
        <v>30</v>
      </c>
      <c r="G1255" s="16" t="s">
        <v>3</v>
      </c>
      <c r="H1255" s="16" t="s">
        <v>28</v>
      </c>
      <c r="I1255" s="16" t="s">
        <v>73</v>
      </c>
    </row>
    <row r="1256" spans="2:9" x14ac:dyDescent="0.25">
      <c r="B1256" s="16" t="s">
        <v>26</v>
      </c>
      <c r="C1256" s="17">
        <v>45092</v>
      </c>
      <c r="D1256" s="16">
        <v>1065449</v>
      </c>
      <c r="E1256" s="16">
        <v>9378</v>
      </c>
      <c r="F1256" s="18" t="s">
        <v>30</v>
      </c>
      <c r="G1256" s="16" t="s">
        <v>3</v>
      </c>
      <c r="H1256" s="16" t="s">
        <v>28</v>
      </c>
      <c r="I1256" s="16" t="s">
        <v>73</v>
      </c>
    </row>
    <row r="1257" spans="2:9" x14ac:dyDescent="0.25">
      <c r="B1257" s="16" t="s">
        <v>26</v>
      </c>
      <c r="C1257" s="17">
        <v>45092</v>
      </c>
      <c r="D1257" s="16">
        <v>1065432</v>
      </c>
      <c r="E1257" s="16">
        <v>9378</v>
      </c>
      <c r="F1257" s="18" t="s">
        <v>30</v>
      </c>
      <c r="G1257" s="16" t="s">
        <v>3</v>
      </c>
      <c r="H1257" s="16" t="s">
        <v>28</v>
      </c>
      <c r="I1257" s="16" t="s">
        <v>73</v>
      </c>
    </row>
    <row r="1258" spans="2:9" x14ac:dyDescent="0.25">
      <c r="B1258" s="16" t="s">
        <v>33</v>
      </c>
      <c r="C1258" s="17">
        <v>45092</v>
      </c>
      <c r="D1258" s="16">
        <v>27044</v>
      </c>
      <c r="E1258" s="16">
        <v>63875</v>
      </c>
      <c r="F1258" s="18" t="s">
        <v>146</v>
      </c>
      <c r="G1258" s="16" t="s">
        <v>5</v>
      </c>
      <c r="H1258" s="16" t="s">
        <v>300</v>
      </c>
      <c r="I1258" s="16" t="s">
        <v>301</v>
      </c>
    </row>
    <row r="1259" spans="2:9" x14ac:dyDescent="0.25">
      <c r="B1259" s="16" t="s">
        <v>33</v>
      </c>
      <c r="C1259" s="17">
        <v>45092</v>
      </c>
      <c r="D1259" s="16">
        <v>26847</v>
      </c>
      <c r="E1259" s="16">
        <v>63875</v>
      </c>
      <c r="F1259" s="18" t="s">
        <v>146</v>
      </c>
      <c r="G1259" s="16" t="s">
        <v>5</v>
      </c>
      <c r="H1259" s="16" t="s">
        <v>300</v>
      </c>
      <c r="I1259" s="16" t="s">
        <v>301</v>
      </c>
    </row>
    <row r="1260" spans="2:9" x14ac:dyDescent="0.25">
      <c r="B1260" s="16" t="s">
        <v>33</v>
      </c>
      <c r="C1260" s="17">
        <v>45092</v>
      </c>
      <c r="D1260" s="16">
        <v>26852</v>
      </c>
      <c r="E1260" s="16">
        <v>63875</v>
      </c>
      <c r="F1260" s="18" t="s">
        <v>146</v>
      </c>
      <c r="G1260" s="16" t="s">
        <v>5</v>
      </c>
      <c r="H1260" s="16" t="s">
        <v>300</v>
      </c>
      <c r="I1260" s="16" t="s">
        <v>301</v>
      </c>
    </row>
    <row r="1261" spans="2:9" x14ac:dyDescent="0.25">
      <c r="B1261" s="16" t="s">
        <v>33</v>
      </c>
      <c r="C1261" s="17">
        <v>45092</v>
      </c>
      <c r="D1261" s="16">
        <v>119037</v>
      </c>
      <c r="E1261" s="16">
        <v>11604</v>
      </c>
      <c r="F1261" s="18" t="s">
        <v>63</v>
      </c>
      <c r="G1261" s="16" t="s">
        <v>6</v>
      </c>
      <c r="H1261" s="16" t="s">
        <v>38</v>
      </c>
      <c r="I1261" s="16" t="s">
        <v>17</v>
      </c>
    </row>
    <row r="1262" spans="2:9" x14ac:dyDescent="0.25">
      <c r="B1262" s="16" t="s">
        <v>2</v>
      </c>
      <c r="C1262" s="17">
        <v>45092</v>
      </c>
      <c r="D1262" s="16">
        <v>27047</v>
      </c>
      <c r="E1262" s="16">
        <v>63875</v>
      </c>
      <c r="F1262" s="18" t="s">
        <v>146</v>
      </c>
      <c r="G1262" s="16" t="s">
        <v>5</v>
      </c>
      <c r="H1262" s="16" t="s">
        <v>300</v>
      </c>
      <c r="I1262" s="16" t="s">
        <v>301</v>
      </c>
    </row>
    <row r="1263" spans="2:9" x14ac:dyDescent="0.25">
      <c r="B1263" s="16" t="s">
        <v>2</v>
      </c>
      <c r="C1263" s="17">
        <v>45092</v>
      </c>
      <c r="D1263" s="16">
        <v>26844</v>
      </c>
      <c r="E1263" s="16">
        <v>63875</v>
      </c>
      <c r="F1263" s="18" t="s">
        <v>146</v>
      </c>
      <c r="G1263" s="16" t="s">
        <v>5</v>
      </c>
      <c r="H1263" s="16" t="s">
        <v>300</v>
      </c>
      <c r="I1263" s="16" t="s">
        <v>301</v>
      </c>
    </row>
    <row r="1264" spans="2:9" x14ac:dyDescent="0.25">
      <c r="B1264" s="16" t="s">
        <v>2</v>
      </c>
      <c r="C1264" s="17">
        <v>45092</v>
      </c>
      <c r="D1264" s="16">
        <v>26849</v>
      </c>
      <c r="E1264" s="16">
        <v>63875</v>
      </c>
      <c r="F1264" s="18" t="s">
        <v>146</v>
      </c>
      <c r="G1264" s="16" t="s">
        <v>5</v>
      </c>
      <c r="H1264" s="16" t="s">
        <v>300</v>
      </c>
      <c r="I1264" s="16" t="s">
        <v>301</v>
      </c>
    </row>
    <row r="1265" spans="2:9" x14ac:dyDescent="0.25">
      <c r="B1265" s="16" t="s">
        <v>210</v>
      </c>
      <c r="C1265" s="17">
        <v>45092</v>
      </c>
      <c r="D1265" s="16">
        <v>26841</v>
      </c>
      <c r="E1265" s="16">
        <v>63875</v>
      </c>
      <c r="F1265" s="18" t="s">
        <v>146</v>
      </c>
      <c r="G1265" s="16" t="s">
        <v>5</v>
      </c>
      <c r="H1265" s="16" t="s">
        <v>300</v>
      </c>
      <c r="I1265" s="16" t="s">
        <v>301</v>
      </c>
    </row>
    <row r="1266" spans="2:9" x14ac:dyDescent="0.25">
      <c r="B1266" s="16" t="s">
        <v>210</v>
      </c>
      <c r="C1266" s="17">
        <v>45092</v>
      </c>
      <c r="D1266" s="16">
        <v>27043</v>
      </c>
      <c r="E1266" s="16">
        <v>63875</v>
      </c>
      <c r="F1266" s="18" t="s">
        <v>146</v>
      </c>
      <c r="G1266" s="16" t="s">
        <v>5</v>
      </c>
      <c r="H1266" s="16" t="s">
        <v>300</v>
      </c>
      <c r="I1266" s="16" t="s">
        <v>301</v>
      </c>
    </row>
    <row r="1267" spans="2:9" x14ac:dyDescent="0.25">
      <c r="B1267" s="16" t="s">
        <v>26</v>
      </c>
      <c r="C1267" s="17">
        <v>45092</v>
      </c>
      <c r="D1267" s="16">
        <v>250999</v>
      </c>
      <c r="E1267" s="16">
        <v>12435</v>
      </c>
      <c r="F1267" s="18" t="s">
        <v>85</v>
      </c>
      <c r="G1267" s="16" t="s">
        <v>52</v>
      </c>
      <c r="H1267" s="16" t="s">
        <v>28</v>
      </c>
      <c r="I1267" s="16" t="s">
        <v>29</v>
      </c>
    </row>
    <row r="1268" spans="2:9" x14ac:dyDescent="0.25">
      <c r="B1268" s="16" t="s">
        <v>26</v>
      </c>
      <c r="C1268" s="17">
        <v>45092</v>
      </c>
      <c r="D1268" s="16">
        <v>251000</v>
      </c>
      <c r="E1268" s="16">
        <v>12435</v>
      </c>
      <c r="F1268" s="18" t="s">
        <v>85</v>
      </c>
      <c r="G1268" s="16" t="s">
        <v>52</v>
      </c>
      <c r="H1268" s="16" t="s">
        <v>28</v>
      </c>
      <c r="I1268" s="16" t="s">
        <v>29</v>
      </c>
    </row>
    <row r="1269" spans="2:9" x14ac:dyDescent="0.25">
      <c r="B1269" s="16" t="s">
        <v>26</v>
      </c>
      <c r="C1269" s="17">
        <v>45092</v>
      </c>
      <c r="D1269" s="16">
        <v>11148208</v>
      </c>
      <c r="E1269" s="16">
        <v>9455</v>
      </c>
      <c r="F1269" s="18" t="s">
        <v>151</v>
      </c>
      <c r="G1269" s="16" t="s">
        <v>16</v>
      </c>
      <c r="H1269" s="16" t="s">
        <v>170</v>
      </c>
      <c r="I1269" s="16" t="s">
        <v>103</v>
      </c>
    </row>
    <row r="1270" spans="2:9" x14ac:dyDescent="0.25">
      <c r="B1270" s="16" t="s">
        <v>22</v>
      </c>
      <c r="C1270" s="17">
        <v>45092</v>
      </c>
      <c r="D1270" s="16">
        <v>2843678</v>
      </c>
      <c r="E1270" s="16">
        <v>9468</v>
      </c>
      <c r="F1270" s="18" t="s">
        <v>145</v>
      </c>
      <c r="G1270" s="16" t="s">
        <v>5</v>
      </c>
      <c r="H1270" s="16" t="s">
        <v>184</v>
      </c>
      <c r="I1270" s="16" t="s">
        <v>61</v>
      </c>
    </row>
    <row r="1271" spans="2:9" x14ac:dyDescent="0.25">
      <c r="B1271" s="16" t="s">
        <v>33</v>
      </c>
      <c r="C1271" s="17">
        <v>45092</v>
      </c>
      <c r="D1271" s="16">
        <v>11149512</v>
      </c>
      <c r="E1271" s="16">
        <v>9455</v>
      </c>
      <c r="F1271" s="18" t="s">
        <v>151</v>
      </c>
      <c r="G1271" s="16" t="s">
        <v>16</v>
      </c>
      <c r="H1271" s="16" t="s">
        <v>36</v>
      </c>
      <c r="I1271" s="16" t="s">
        <v>61</v>
      </c>
    </row>
    <row r="1272" spans="2:9" x14ac:dyDescent="0.25">
      <c r="B1272" s="16" t="s">
        <v>2</v>
      </c>
      <c r="C1272" s="17">
        <v>45092</v>
      </c>
      <c r="D1272" s="16">
        <v>11149103</v>
      </c>
      <c r="E1272" s="16">
        <v>9455</v>
      </c>
      <c r="F1272" s="18" t="s">
        <v>151</v>
      </c>
      <c r="G1272" s="16" t="s">
        <v>59</v>
      </c>
      <c r="H1272" s="16" t="s">
        <v>36</v>
      </c>
      <c r="I1272" s="16" t="s">
        <v>59</v>
      </c>
    </row>
    <row r="1273" spans="2:9" x14ac:dyDescent="0.25">
      <c r="B1273" s="16" t="s">
        <v>26</v>
      </c>
      <c r="C1273" s="17">
        <v>45092</v>
      </c>
      <c r="D1273" s="16">
        <v>34483</v>
      </c>
      <c r="E1273" s="16">
        <v>66204</v>
      </c>
      <c r="F1273" s="18" t="s">
        <v>302</v>
      </c>
      <c r="G1273" s="16" t="s">
        <v>3</v>
      </c>
      <c r="H1273" s="16" t="s">
        <v>45</v>
      </c>
      <c r="I1273" s="16" t="s">
        <v>17</v>
      </c>
    </row>
    <row r="1274" spans="2:9" x14ac:dyDescent="0.25">
      <c r="B1274" s="16" t="s">
        <v>2</v>
      </c>
      <c r="C1274" s="17">
        <v>45092</v>
      </c>
      <c r="D1274" s="16">
        <v>2670</v>
      </c>
      <c r="E1274" s="16">
        <v>11539</v>
      </c>
      <c r="F1274" s="18" t="s">
        <v>263</v>
      </c>
      <c r="G1274" s="16" t="s">
        <v>42</v>
      </c>
      <c r="H1274" s="16" t="s">
        <v>36</v>
      </c>
      <c r="I1274" s="16" t="s">
        <v>61</v>
      </c>
    </row>
    <row r="1275" spans="2:9" x14ac:dyDescent="0.25">
      <c r="B1275" s="16" t="s">
        <v>26</v>
      </c>
      <c r="C1275" s="17">
        <v>45092</v>
      </c>
      <c r="D1275" s="16">
        <v>1790448</v>
      </c>
      <c r="E1275" s="16">
        <v>9480</v>
      </c>
      <c r="F1275" s="18" t="s">
        <v>147</v>
      </c>
      <c r="G1275" s="16" t="s">
        <v>5</v>
      </c>
      <c r="H1275" s="16" t="s">
        <v>28</v>
      </c>
      <c r="I1275" s="16" t="s">
        <v>61</v>
      </c>
    </row>
    <row r="1276" spans="2:9" x14ac:dyDescent="0.25">
      <c r="B1276" s="16" t="s">
        <v>33</v>
      </c>
      <c r="C1276" s="17">
        <v>45092</v>
      </c>
      <c r="D1276" s="16">
        <v>186482</v>
      </c>
      <c r="E1276" s="16">
        <v>10994</v>
      </c>
      <c r="F1276" s="18" t="s">
        <v>303</v>
      </c>
      <c r="G1276" s="16" t="s">
        <v>3</v>
      </c>
      <c r="H1276" s="16" t="s">
        <v>45</v>
      </c>
      <c r="I1276" s="16" t="s">
        <v>61</v>
      </c>
    </row>
    <row r="1277" spans="2:9" x14ac:dyDescent="0.25">
      <c r="B1277" s="16" t="s">
        <v>33</v>
      </c>
      <c r="C1277" s="17">
        <v>45092</v>
      </c>
      <c r="D1277" s="16">
        <v>186487</v>
      </c>
      <c r="E1277" s="16">
        <v>10994</v>
      </c>
      <c r="F1277" s="18" t="s">
        <v>303</v>
      </c>
      <c r="G1277" s="16" t="s">
        <v>3</v>
      </c>
      <c r="H1277" s="16" t="s">
        <v>45</v>
      </c>
      <c r="I1277" s="16" t="s">
        <v>61</v>
      </c>
    </row>
    <row r="1278" spans="2:9" x14ac:dyDescent="0.25">
      <c r="B1278" s="16" t="s">
        <v>2</v>
      </c>
      <c r="C1278" s="17">
        <v>45092</v>
      </c>
      <c r="D1278" s="16">
        <v>186481</v>
      </c>
      <c r="E1278" s="16">
        <v>10994</v>
      </c>
      <c r="F1278" s="18" t="s">
        <v>303</v>
      </c>
      <c r="G1278" s="16" t="s">
        <v>3</v>
      </c>
      <c r="H1278" s="16" t="s">
        <v>304</v>
      </c>
      <c r="I1278" s="16" t="s">
        <v>61</v>
      </c>
    </row>
    <row r="1279" spans="2:9" x14ac:dyDescent="0.25">
      <c r="B1279" s="16" t="s">
        <v>2</v>
      </c>
      <c r="C1279" s="17">
        <v>45092</v>
      </c>
      <c r="D1279" s="16">
        <v>186479</v>
      </c>
      <c r="E1279" s="16">
        <v>10994</v>
      </c>
      <c r="F1279" s="18" t="s">
        <v>303</v>
      </c>
      <c r="G1279" s="16" t="s">
        <v>3</v>
      </c>
      <c r="H1279" s="16" t="s">
        <v>304</v>
      </c>
      <c r="I1279" s="16" t="s">
        <v>61</v>
      </c>
    </row>
    <row r="1280" spans="2:9" x14ac:dyDescent="0.25">
      <c r="B1280" s="16" t="s">
        <v>2</v>
      </c>
      <c r="C1280" s="17">
        <v>45092</v>
      </c>
      <c r="D1280" s="16">
        <v>186484</v>
      </c>
      <c r="E1280" s="16">
        <v>10994</v>
      </c>
      <c r="F1280" s="18" t="s">
        <v>303</v>
      </c>
      <c r="G1280" s="16" t="s">
        <v>3</v>
      </c>
      <c r="H1280" s="16" t="s">
        <v>304</v>
      </c>
      <c r="I1280" s="16" t="s">
        <v>61</v>
      </c>
    </row>
    <row r="1281" spans="2:9" x14ac:dyDescent="0.25">
      <c r="B1281" s="16" t="s">
        <v>26</v>
      </c>
      <c r="C1281" s="17">
        <v>45092</v>
      </c>
      <c r="D1281" s="16">
        <v>4325661</v>
      </c>
      <c r="E1281" s="16">
        <v>1174</v>
      </c>
      <c r="F1281" s="18" t="s">
        <v>100</v>
      </c>
      <c r="G1281" s="16" t="s">
        <v>4</v>
      </c>
      <c r="H1281" s="16" t="s">
        <v>75</v>
      </c>
      <c r="I1281" s="16" t="s">
        <v>61</v>
      </c>
    </row>
    <row r="1282" spans="2:9" x14ac:dyDescent="0.25">
      <c r="B1282" s="16" t="s">
        <v>22</v>
      </c>
      <c r="C1282" s="17">
        <v>45092</v>
      </c>
      <c r="D1282" s="16">
        <v>186346</v>
      </c>
      <c r="E1282" s="16">
        <v>10994</v>
      </c>
      <c r="F1282" s="18" t="s">
        <v>303</v>
      </c>
      <c r="G1282" s="16" t="s">
        <v>3</v>
      </c>
      <c r="H1282" s="16" t="s">
        <v>304</v>
      </c>
      <c r="I1282" s="16" t="s">
        <v>61</v>
      </c>
    </row>
    <row r="1283" spans="2:9" x14ac:dyDescent="0.25">
      <c r="B1283" s="16" t="s">
        <v>22</v>
      </c>
      <c r="C1283" s="17">
        <v>45092</v>
      </c>
      <c r="D1283" s="16">
        <v>186360</v>
      </c>
      <c r="E1283" s="16">
        <v>10994</v>
      </c>
      <c r="F1283" s="18" t="s">
        <v>303</v>
      </c>
      <c r="G1283" s="16" t="s">
        <v>3</v>
      </c>
      <c r="H1283" s="16" t="s">
        <v>304</v>
      </c>
      <c r="I1283" s="16" t="s">
        <v>61</v>
      </c>
    </row>
    <row r="1284" spans="2:9" x14ac:dyDescent="0.25">
      <c r="B1284" s="16" t="s">
        <v>40</v>
      </c>
      <c r="C1284" s="17">
        <v>45092</v>
      </c>
      <c r="D1284" s="16">
        <v>11148559</v>
      </c>
      <c r="E1284" s="16">
        <v>9455</v>
      </c>
      <c r="F1284" s="18" t="s">
        <v>151</v>
      </c>
      <c r="G1284" s="16" t="s">
        <v>16</v>
      </c>
      <c r="H1284" s="16" t="s">
        <v>36</v>
      </c>
      <c r="I1284" s="16" t="s">
        <v>61</v>
      </c>
    </row>
    <row r="1285" spans="2:9" x14ac:dyDescent="0.25">
      <c r="B1285" s="16" t="s">
        <v>40</v>
      </c>
      <c r="C1285" s="17">
        <v>45092</v>
      </c>
      <c r="D1285" s="16">
        <v>979101</v>
      </c>
      <c r="E1285" s="16">
        <v>9434</v>
      </c>
      <c r="F1285" s="18" t="s">
        <v>23</v>
      </c>
      <c r="G1285" s="16" t="s">
        <v>5</v>
      </c>
      <c r="H1285" s="16" t="s">
        <v>184</v>
      </c>
      <c r="I1285" s="16" t="s">
        <v>61</v>
      </c>
    </row>
    <row r="1286" spans="2:9" x14ac:dyDescent="0.25">
      <c r="B1286" s="16" t="s">
        <v>40</v>
      </c>
      <c r="C1286" s="17">
        <v>45092</v>
      </c>
      <c r="D1286" s="16">
        <v>186480</v>
      </c>
      <c r="E1286" s="16">
        <v>10994</v>
      </c>
      <c r="F1286" s="18" t="s">
        <v>303</v>
      </c>
      <c r="G1286" s="16" t="s">
        <v>3</v>
      </c>
      <c r="H1286" s="16" t="s">
        <v>45</v>
      </c>
      <c r="I1286" s="16" t="s">
        <v>305</v>
      </c>
    </row>
    <row r="1287" spans="2:9" x14ac:dyDescent="0.25">
      <c r="B1287" s="16" t="s">
        <v>40</v>
      </c>
      <c r="C1287" s="17">
        <v>45092</v>
      </c>
      <c r="D1287" s="16">
        <v>186483</v>
      </c>
      <c r="E1287" s="16">
        <v>10994</v>
      </c>
      <c r="F1287" s="18" t="s">
        <v>303</v>
      </c>
      <c r="G1287" s="16" t="s">
        <v>3</v>
      </c>
      <c r="H1287" s="16" t="s">
        <v>45</v>
      </c>
      <c r="I1287" s="16" t="s">
        <v>305</v>
      </c>
    </row>
    <row r="1288" spans="2:9" x14ac:dyDescent="0.25">
      <c r="B1288" s="16" t="s">
        <v>33</v>
      </c>
      <c r="C1288" s="17">
        <v>45092</v>
      </c>
      <c r="D1288" s="16">
        <v>901239</v>
      </c>
      <c r="E1288" s="16">
        <v>10760</v>
      </c>
      <c r="F1288" s="18" t="s">
        <v>306</v>
      </c>
      <c r="G1288" s="16" t="s">
        <v>3</v>
      </c>
      <c r="H1288" s="16" t="s">
        <v>49</v>
      </c>
      <c r="I1288" s="16" t="s">
        <v>120</v>
      </c>
    </row>
    <row r="1289" spans="2:9" x14ac:dyDescent="0.25">
      <c r="B1289" s="16" t="s">
        <v>2</v>
      </c>
      <c r="C1289" s="17">
        <v>45092</v>
      </c>
      <c r="D1289" s="16">
        <v>634781</v>
      </c>
      <c r="E1289" s="16">
        <v>3610</v>
      </c>
      <c r="F1289" s="18" t="s">
        <v>8</v>
      </c>
      <c r="G1289" s="16" t="s">
        <v>6</v>
      </c>
      <c r="H1289" s="16" t="s">
        <v>38</v>
      </c>
      <c r="I1289" s="16" t="s">
        <v>103</v>
      </c>
    </row>
    <row r="1290" spans="2:9" x14ac:dyDescent="0.25">
      <c r="B1290" s="16" t="s">
        <v>2</v>
      </c>
      <c r="C1290" s="17">
        <v>45092</v>
      </c>
      <c r="D1290" s="16">
        <v>2989</v>
      </c>
      <c r="E1290" s="16">
        <v>67905</v>
      </c>
      <c r="F1290" s="18" t="s">
        <v>196</v>
      </c>
      <c r="G1290" s="16" t="s">
        <v>7</v>
      </c>
      <c r="H1290" s="16" t="s">
        <v>38</v>
      </c>
      <c r="I1290" s="16" t="s">
        <v>17</v>
      </c>
    </row>
    <row r="1291" spans="2:9" x14ac:dyDescent="0.25">
      <c r="B1291" s="16" t="s">
        <v>2</v>
      </c>
      <c r="C1291" s="17">
        <v>45092</v>
      </c>
      <c r="D1291" s="16">
        <v>2670</v>
      </c>
      <c r="E1291" s="16">
        <v>11539</v>
      </c>
      <c r="F1291" s="18" t="s">
        <v>263</v>
      </c>
      <c r="G1291" s="16" t="s">
        <v>4</v>
      </c>
      <c r="H1291" s="16" t="s">
        <v>36</v>
      </c>
      <c r="I1291" s="16" t="s">
        <v>61</v>
      </c>
    </row>
    <row r="1292" spans="2:9" x14ac:dyDescent="0.25">
      <c r="B1292" s="16" t="s">
        <v>40</v>
      </c>
      <c r="C1292" s="17">
        <v>45092</v>
      </c>
      <c r="D1292" s="16">
        <v>282495</v>
      </c>
      <c r="E1292" s="16">
        <v>11564</v>
      </c>
      <c r="F1292" s="18" t="s">
        <v>82</v>
      </c>
      <c r="G1292" s="16" t="s">
        <v>7</v>
      </c>
      <c r="H1292" s="16" t="s">
        <v>41</v>
      </c>
      <c r="I1292" s="16" t="s">
        <v>103</v>
      </c>
    </row>
    <row r="1293" spans="2:9" x14ac:dyDescent="0.25">
      <c r="B1293" s="16" t="s">
        <v>210</v>
      </c>
      <c r="C1293" s="17">
        <v>45093</v>
      </c>
      <c r="D1293" s="16">
        <v>119088</v>
      </c>
      <c r="E1293" s="16">
        <v>11604</v>
      </c>
      <c r="F1293" s="18" t="s">
        <v>63</v>
      </c>
      <c r="G1293" s="16" t="s">
        <v>262</v>
      </c>
      <c r="H1293" s="16" t="s">
        <v>38</v>
      </c>
      <c r="I1293" s="16" t="s">
        <v>103</v>
      </c>
    </row>
    <row r="1294" spans="2:9" x14ac:dyDescent="0.25">
      <c r="B1294" s="16" t="s">
        <v>26</v>
      </c>
      <c r="C1294" s="17">
        <v>45093</v>
      </c>
      <c r="D1294" s="16">
        <v>251000</v>
      </c>
      <c r="E1294" s="16">
        <v>12435</v>
      </c>
      <c r="F1294" s="18" t="s">
        <v>85</v>
      </c>
      <c r="G1294" s="16" t="s">
        <v>52</v>
      </c>
      <c r="H1294" s="16" t="s">
        <v>28</v>
      </c>
      <c r="I1294" s="16" t="s">
        <v>73</v>
      </c>
    </row>
    <row r="1295" spans="2:9" x14ac:dyDescent="0.25">
      <c r="B1295" s="16" t="s">
        <v>26</v>
      </c>
      <c r="C1295" s="17">
        <v>45093</v>
      </c>
      <c r="D1295" s="16">
        <v>30685</v>
      </c>
      <c r="E1295" s="16">
        <v>14349</v>
      </c>
      <c r="F1295" s="18" t="s">
        <v>307</v>
      </c>
      <c r="G1295" s="16" t="s">
        <v>5</v>
      </c>
      <c r="H1295" s="16" t="s">
        <v>28</v>
      </c>
      <c r="I1295" s="16" t="s">
        <v>61</v>
      </c>
    </row>
    <row r="1296" spans="2:9" x14ac:dyDescent="0.25">
      <c r="B1296" s="16" t="s">
        <v>33</v>
      </c>
      <c r="C1296" s="17">
        <v>45093</v>
      </c>
      <c r="D1296" s="16">
        <v>8440980</v>
      </c>
      <c r="E1296" s="16">
        <v>9389</v>
      </c>
      <c r="F1296" s="18" t="s">
        <v>119</v>
      </c>
      <c r="G1296" s="16" t="s">
        <v>3</v>
      </c>
      <c r="H1296" s="16" t="s">
        <v>184</v>
      </c>
      <c r="I1296" s="16" t="s">
        <v>120</v>
      </c>
    </row>
    <row r="1297" spans="2:9" x14ac:dyDescent="0.25">
      <c r="B1297" s="16" t="s">
        <v>210</v>
      </c>
      <c r="C1297" s="17">
        <v>45093</v>
      </c>
      <c r="D1297" s="16">
        <v>30686</v>
      </c>
      <c r="E1297" s="16">
        <v>14349</v>
      </c>
      <c r="F1297" s="18" t="s">
        <v>307</v>
      </c>
      <c r="G1297" s="16" t="s">
        <v>5</v>
      </c>
      <c r="H1297" s="16" t="s">
        <v>28</v>
      </c>
      <c r="I1297" s="16" t="s">
        <v>61</v>
      </c>
    </row>
    <row r="1298" spans="2:9" x14ac:dyDescent="0.25">
      <c r="B1298" s="16" t="s">
        <v>26</v>
      </c>
      <c r="C1298" s="17">
        <v>45093</v>
      </c>
      <c r="D1298" s="16">
        <v>119087</v>
      </c>
      <c r="E1298" s="16">
        <v>11604</v>
      </c>
      <c r="F1298" s="18" t="s">
        <v>63</v>
      </c>
      <c r="G1298" s="16" t="s">
        <v>262</v>
      </c>
      <c r="H1298" s="16" t="s">
        <v>38</v>
      </c>
      <c r="I1298" s="16" t="s">
        <v>103</v>
      </c>
    </row>
    <row r="1299" spans="2:9" x14ac:dyDescent="0.25">
      <c r="B1299" s="16" t="s">
        <v>26</v>
      </c>
      <c r="C1299" s="17">
        <v>45093</v>
      </c>
      <c r="D1299" s="16">
        <v>1065466</v>
      </c>
      <c r="E1299" s="16">
        <v>9378</v>
      </c>
      <c r="F1299" s="18" t="s">
        <v>30</v>
      </c>
      <c r="G1299" s="16" t="s">
        <v>5</v>
      </c>
      <c r="H1299" s="16" t="s">
        <v>186</v>
      </c>
      <c r="I1299" s="16" t="s">
        <v>61</v>
      </c>
    </row>
    <row r="1300" spans="2:9" x14ac:dyDescent="0.25">
      <c r="B1300" s="16" t="s">
        <v>26</v>
      </c>
      <c r="C1300" s="17">
        <v>45093</v>
      </c>
      <c r="D1300" s="16">
        <v>1065451</v>
      </c>
      <c r="E1300" s="16">
        <v>9378</v>
      </c>
      <c r="F1300" s="18" t="s">
        <v>30</v>
      </c>
      <c r="G1300" s="16" t="s">
        <v>5</v>
      </c>
      <c r="H1300" s="16" t="s">
        <v>186</v>
      </c>
      <c r="I1300" s="16" t="s">
        <v>61</v>
      </c>
    </row>
    <row r="1301" spans="2:9" x14ac:dyDescent="0.25">
      <c r="B1301" s="16" t="s">
        <v>2</v>
      </c>
      <c r="C1301" s="17">
        <v>45093</v>
      </c>
      <c r="D1301" s="16">
        <v>95385</v>
      </c>
      <c r="E1301" s="16">
        <v>2049</v>
      </c>
      <c r="F1301" s="18" t="s">
        <v>154</v>
      </c>
      <c r="G1301" s="16" t="s">
        <v>16</v>
      </c>
      <c r="H1301" s="16" t="s">
        <v>36</v>
      </c>
      <c r="I1301" s="16" t="s">
        <v>61</v>
      </c>
    </row>
    <row r="1302" spans="2:9" x14ac:dyDescent="0.25">
      <c r="B1302" s="16" t="s">
        <v>2</v>
      </c>
      <c r="C1302" s="17">
        <v>45093</v>
      </c>
      <c r="D1302" s="16">
        <v>30683</v>
      </c>
      <c r="E1302" s="16">
        <v>14349</v>
      </c>
      <c r="F1302" s="18" t="s">
        <v>307</v>
      </c>
      <c r="G1302" s="16" t="s">
        <v>16</v>
      </c>
      <c r="H1302" s="16" t="s">
        <v>28</v>
      </c>
      <c r="I1302" s="16" t="s">
        <v>61</v>
      </c>
    </row>
    <row r="1303" spans="2:9" x14ac:dyDescent="0.25">
      <c r="B1303" s="16" t="s">
        <v>2</v>
      </c>
      <c r="C1303" s="17">
        <v>45093</v>
      </c>
      <c r="D1303" s="16">
        <v>34522</v>
      </c>
      <c r="E1303" s="16">
        <v>66204</v>
      </c>
      <c r="F1303" s="18" t="s">
        <v>302</v>
      </c>
      <c r="G1303" s="16" t="s">
        <v>3</v>
      </c>
      <c r="H1303" s="16" t="s">
        <v>45</v>
      </c>
      <c r="I1303" s="16" t="s">
        <v>61</v>
      </c>
    </row>
    <row r="1304" spans="2:9" x14ac:dyDescent="0.25">
      <c r="B1304" s="16" t="s">
        <v>22</v>
      </c>
      <c r="C1304" s="17">
        <v>45093</v>
      </c>
      <c r="D1304" s="16">
        <v>34539</v>
      </c>
      <c r="E1304" s="16">
        <v>66204</v>
      </c>
      <c r="F1304" s="18" t="s">
        <v>302</v>
      </c>
      <c r="G1304" s="16" t="s">
        <v>3</v>
      </c>
      <c r="H1304" s="16" t="s">
        <v>45</v>
      </c>
      <c r="I1304" s="16" t="s">
        <v>61</v>
      </c>
    </row>
    <row r="1305" spans="2:9" x14ac:dyDescent="0.25">
      <c r="B1305" s="16" t="s">
        <v>22</v>
      </c>
      <c r="C1305" s="17">
        <v>45093</v>
      </c>
      <c r="D1305" s="16">
        <v>8441033</v>
      </c>
      <c r="E1305" s="16">
        <v>9389</v>
      </c>
      <c r="F1305" s="18" t="s">
        <v>119</v>
      </c>
      <c r="G1305" s="16" t="s">
        <v>3</v>
      </c>
      <c r="H1305" s="16" t="s">
        <v>36</v>
      </c>
      <c r="I1305" s="16" t="s">
        <v>61</v>
      </c>
    </row>
    <row r="1306" spans="2:9" x14ac:dyDescent="0.25">
      <c r="B1306" s="16" t="s">
        <v>40</v>
      </c>
      <c r="C1306" s="17">
        <v>45093</v>
      </c>
      <c r="D1306" s="16">
        <v>1790207</v>
      </c>
      <c r="E1306" s="16">
        <v>1015</v>
      </c>
      <c r="F1306" s="18" t="s">
        <v>134</v>
      </c>
      <c r="G1306" s="16" t="s">
        <v>4</v>
      </c>
      <c r="H1306" s="16" t="s">
        <v>75</v>
      </c>
      <c r="I1306" s="16" t="s">
        <v>308</v>
      </c>
    </row>
    <row r="1307" spans="2:9" x14ac:dyDescent="0.25">
      <c r="B1307" s="16" t="s">
        <v>210</v>
      </c>
      <c r="C1307" s="17">
        <v>45093</v>
      </c>
      <c r="D1307" s="16">
        <v>1790174</v>
      </c>
      <c r="E1307" s="16">
        <v>1015</v>
      </c>
      <c r="F1307" s="18" t="s">
        <v>134</v>
      </c>
      <c r="G1307" s="16" t="s">
        <v>4</v>
      </c>
      <c r="H1307" s="16" t="s">
        <v>75</v>
      </c>
      <c r="I1307" s="16" t="s">
        <v>308</v>
      </c>
    </row>
    <row r="1308" spans="2:9" x14ac:dyDescent="0.25">
      <c r="B1308" s="16" t="s">
        <v>40</v>
      </c>
      <c r="C1308" s="17">
        <v>45093</v>
      </c>
      <c r="D1308" s="16">
        <v>4326230</v>
      </c>
      <c r="E1308" s="16">
        <v>1174</v>
      </c>
      <c r="F1308" s="18" t="s">
        <v>100</v>
      </c>
      <c r="G1308" s="16" t="s">
        <v>4</v>
      </c>
      <c r="H1308" s="16" t="s">
        <v>184</v>
      </c>
      <c r="I1308" s="16" t="s">
        <v>61</v>
      </c>
    </row>
    <row r="1309" spans="2:9" x14ac:dyDescent="0.25">
      <c r="B1309" s="16" t="s">
        <v>26</v>
      </c>
      <c r="C1309" s="17">
        <v>45093</v>
      </c>
      <c r="D1309" s="16">
        <v>636214</v>
      </c>
      <c r="E1309" s="16">
        <v>7182</v>
      </c>
      <c r="F1309" s="18" t="s">
        <v>80</v>
      </c>
      <c r="G1309" s="16" t="s">
        <v>52</v>
      </c>
      <c r="H1309" s="16" t="s">
        <v>309</v>
      </c>
      <c r="I1309" s="16" t="s">
        <v>103</v>
      </c>
    </row>
    <row r="1310" spans="2:9" x14ac:dyDescent="0.25">
      <c r="B1310" s="16" t="s">
        <v>26</v>
      </c>
      <c r="C1310" s="17">
        <v>45093</v>
      </c>
      <c r="D1310" s="16">
        <v>636213</v>
      </c>
      <c r="E1310" s="16">
        <v>7182</v>
      </c>
      <c r="F1310" s="18" t="s">
        <v>80</v>
      </c>
      <c r="G1310" s="16" t="s">
        <v>52</v>
      </c>
      <c r="H1310" s="16" t="s">
        <v>309</v>
      </c>
      <c r="I1310" s="16" t="s">
        <v>103</v>
      </c>
    </row>
    <row r="1311" spans="2:9" x14ac:dyDescent="0.25">
      <c r="B1311" s="16" t="s">
        <v>26</v>
      </c>
      <c r="C1311" s="17">
        <v>45093</v>
      </c>
      <c r="D1311" s="16">
        <v>95405</v>
      </c>
      <c r="E1311" s="16">
        <v>2049</v>
      </c>
      <c r="F1311" s="18" t="s">
        <v>154</v>
      </c>
      <c r="G1311" s="16" t="s">
        <v>16</v>
      </c>
      <c r="H1311" s="16" t="s">
        <v>186</v>
      </c>
      <c r="I1311" s="16" t="s">
        <v>61</v>
      </c>
    </row>
    <row r="1312" spans="2:9" x14ac:dyDescent="0.25">
      <c r="B1312" s="16" t="s">
        <v>210</v>
      </c>
      <c r="C1312" s="17">
        <v>45093</v>
      </c>
      <c r="D1312" s="16">
        <v>3819</v>
      </c>
      <c r="E1312" s="16">
        <v>70670</v>
      </c>
      <c r="F1312" s="18" t="s">
        <v>101</v>
      </c>
      <c r="G1312" s="16" t="s">
        <v>4</v>
      </c>
      <c r="H1312" s="16" t="s">
        <v>46</v>
      </c>
      <c r="I1312" s="16" t="s">
        <v>51</v>
      </c>
    </row>
    <row r="1313" spans="2:9" x14ac:dyDescent="0.25">
      <c r="B1313" s="16" t="s">
        <v>210</v>
      </c>
      <c r="C1313" s="17">
        <v>45093</v>
      </c>
      <c r="D1313" s="16">
        <v>23110</v>
      </c>
      <c r="E1313" s="16">
        <v>70670</v>
      </c>
      <c r="F1313" s="18" t="s">
        <v>101</v>
      </c>
      <c r="G1313" s="16" t="s">
        <v>4</v>
      </c>
      <c r="H1313" s="16" t="s">
        <v>46</v>
      </c>
      <c r="I1313" s="16" t="s">
        <v>51</v>
      </c>
    </row>
    <row r="1314" spans="2:9" x14ac:dyDescent="0.25">
      <c r="B1314" s="16" t="s">
        <v>210</v>
      </c>
      <c r="C1314" s="17">
        <v>45093</v>
      </c>
      <c r="D1314" s="16">
        <v>23111</v>
      </c>
      <c r="E1314" s="16">
        <v>70670</v>
      </c>
      <c r="F1314" s="18" t="s">
        <v>101</v>
      </c>
      <c r="G1314" s="16" t="s">
        <v>4</v>
      </c>
      <c r="H1314" s="16" t="s">
        <v>46</v>
      </c>
      <c r="I1314" s="16" t="s">
        <v>51</v>
      </c>
    </row>
    <row r="1315" spans="2:9" x14ac:dyDescent="0.25">
      <c r="B1315" s="16" t="s">
        <v>210</v>
      </c>
      <c r="C1315" s="17">
        <v>45093</v>
      </c>
      <c r="D1315" s="16">
        <v>4006920</v>
      </c>
      <c r="E1315" s="16">
        <v>10322</v>
      </c>
      <c r="F1315" s="18" t="s">
        <v>310</v>
      </c>
      <c r="G1315" s="16" t="s">
        <v>4</v>
      </c>
      <c r="H1315" s="16" t="s">
        <v>41</v>
      </c>
      <c r="I1315" s="16" t="s">
        <v>103</v>
      </c>
    </row>
    <row r="1316" spans="2:9" x14ac:dyDescent="0.25">
      <c r="B1316" s="16" t="s">
        <v>210</v>
      </c>
      <c r="C1316" s="17">
        <v>45093</v>
      </c>
      <c r="D1316" s="16">
        <v>104076</v>
      </c>
      <c r="E1316" s="16">
        <v>10489</v>
      </c>
      <c r="F1316" s="18" t="s">
        <v>278</v>
      </c>
      <c r="G1316" s="16" t="s">
        <v>3</v>
      </c>
      <c r="H1316" s="16" t="s">
        <v>46</v>
      </c>
      <c r="I1316" s="16" t="s">
        <v>61</v>
      </c>
    </row>
    <row r="1317" spans="2:9" x14ac:dyDescent="0.25">
      <c r="B1317" s="16" t="s">
        <v>2</v>
      </c>
      <c r="C1317" s="17">
        <v>45093</v>
      </c>
      <c r="D1317" s="16">
        <v>196603</v>
      </c>
      <c r="E1317" s="16">
        <v>3189</v>
      </c>
      <c r="F1317" s="18" t="s">
        <v>311</v>
      </c>
      <c r="G1317" s="16" t="s">
        <v>16</v>
      </c>
      <c r="H1317" s="16" t="s">
        <v>49</v>
      </c>
      <c r="I1317" s="16" t="s">
        <v>103</v>
      </c>
    </row>
    <row r="1318" spans="2:9" x14ac:dyDescent="0.25">
      <c r="B1318" s="16" t="s">
        <v>33</v>
      </c>
      <c r="C1318" s="17">
        <v>45093</v>
      </c>
      <c r="D1318" s="16">
        <v>72091</v>
      </c>
      <c r="E1318" s="16">
        <v>1002</v>
      </c>
      <c r="F1318" s="18" t="s">
        <v>178</v>
      </c>
      <c r="G1318" s="16" t="s">
        <v>3</v>
      </c>
      <c r="H1318" s="16" t="s">
        <v>46</v>
      </c>
      <c r="I1318" s="16" t="s">
        <v>103</v>
      </c>
    </row>
    <row r="1319" spans="2:9" x14ac:dyDescent="0.25">
      <c r="B1319" s="16" t="s">
        <v>33</v>
      </c>
      <c r="C1319" s="17">
        <v>45093</v>
      </c>
      <c r="D1319" s="16">
        <v>71622</v>
      </c>
      <c r="E1319" s="16">
        <v>1002</v>
      </c>
      <c r="F1319" s="18" t="s">
        <v>178</v>
      </c>
      <c r="G1319" s="16" t="s">
        <v>3</v>
      </c>
      <c r="H1319" s="16" t="s">
        <v>46</v>
      </c>
      <c r="I1319" s="16" t="s">
        <v>103</v>
      </c>
    </row>
    <row r="1320" spans="2:9" x14ac:dyDescent="0.25">
      <c r="B1320" s="16" t="s">
        <v>2</v>
      </c>
      <c r="C1320" s="17">
        <v>45094</v>
      </c>
      <c r="D1320" s="16">
        <v>109803</v>
      </c>
      <c r="E1320" s="16">
        <v>9490</v>
      </c>
      <c r="F1320" s="18" t="s">
        <v>172</v>
      </c>
      <c r="G1320" s="16" t="s">
        <v>5</v>
      </c>
      <c r="H1320" s="16" t="s">
        <v>97</v>
      </c>
      <c r="I1320" s="16" t="s">
        <v>312</v>
      </c>
    </row>
    <row r="1321" spans="2:9" x14ac:dyDescent="0.25">
      <c r="B1321" s="16" t="s">
        <v>33</v>
      </c>
      <c r="C1321" s="17">
        <v>45094</v>
      </c>
      <c r="D1321" s="16">
        <v>119143</v>
      </c>
      <c r="E1321" s="16">
        <v>11604</v>
      </c>
      <c r="F1321" s="18" t="s">
        <v>63</v>
      </c>
      <c r="G1321" s="16" t="s">
        <v>6</v>
      </c>
      <c r="H1321" s="16" t="s">
        <v>38</v>
      </c>
      <c r="I1321" s="16" t="s">
        <v>20</v>
      </c>
    </row>
    <row r="1322" spans="2:9" x14ac:dyDescent="0.25">
      <c r="B1322" s="16" t="s">
        <v>40</v>
      </c>
      <c r="C1322" s="17">
        <v>45094</v>
      </c>
      <c r="D1322" s="16">
        <v>119144</v>
      </c>
      <c r="E1322" s="16">
        <v>11604</v>
      </c>
      <c r="F1322" s="18" t="s">
        <v>63</v>
      </c>
      <c r="G1322" s="16" t="s">
        <v>6</v>
      </c>
      <c r="H1322" s="16" t="s">
        <v>38</v>
      </c>
      <c r="I1322" s="16" t="s">
        <v>17</v>
      </c>
    </row>
    <row r="1323" spans="2:9" x14ac:dyDescent="0.25">
      <c r="B1323" s="16" t="s">
        <v>210</v>
      </c>
      <c r="C1323" s="17">
        <v>45096</v>
      </c>
      <c r="D1323" s="16">
        <v>1794350</v>
      </c>
      <c r="E1323" s="16">
        <v>9480</v>
      </c>
      <c r="F1323" s="18" t="s">
        <v>147</v>
      </c>
      <c r="G1323" s="16" t="s">
        <v>5</v>
      </c>
      <c r="H1323" s="16" t="s">
        <v>28</v>
      </c>
      <c r="I1323" s="16" t="s">
        <v>73</v>
      </c>
    </row>
    <row r="1324" spans="2:9" x14ac:dyDescent="0.25">
      <c r="B1324" s="16" t="s">
        <v>26</v>
      </c>
      <c r="C1324" s="17">
        <v>45096</v>
      </c>
      <c r="D1324" s="16">
        <v>187499</v>
      </c>
      <c r="E1324" s="16">
        <v>10994</v>
      </c>
      <c r="F1324" s="18" t="s">
        <v>303</v>
      </c>
      <c r="G1324" s="16" t="s">
        <v>3</v>
      </c>
      <c r="H1324" s="16" t="s">
        <v>45</v>
      </c>
      <c r="I1324" s="16" t="s">
        <v>61</v>
      </c>
    </row>
    <row r="1325" spans="2:9" x14ac:dyDescent="0.25">
      <c r="B1325" s="16" t="s">
        <v>26</v>
      </c>
      <c r="C1325" s="17">
        <v>45096</v>
      </c>
      <c r="D1325" s="16">
        <v>142636</v>
      </c>
      <c r="E1325" s="16">
        <v>9398</v>
      </c>
      <c r="F1325" s="18" t="s">
        <v>65</v>
      </c>
      <c r="G1325" s="16" t="s">
        <v>16</v>
      </c>
      <c r="H1325" s="16" t="s">
        <v>190</v>
      </c>
      <c r="I1325" s="16" t="s">
        <v>17</v>
      </c>
    </row>
    <row r="1326" spans="2:9" x14ac:dyDescent="0.25">
      <c r="B1326" s="16" t="s">
        <v>22</v>
      </c>
      <c r="C1326" s="17">
        <v>45096</v>
      </c>
      <c r="D1326" s="16">
        <v>77339</v>
      </c>
      <c r="E1326" s="16">
        <v>64460</v>
      </c>
      <c r="F1326" s="18" t="s">
        <v>139</v>
      </c>
      <c r="G1326" s="16" t="s">
        <v>5</v>
      </c>
      <c r="H1326" s="16" t="s">
        <v>28</v>
      </c>
      <c r="I1326" s="16" t="s">
        <v>61</v>
      </c>
    </row>
    <row r="1327" spans="2:9" x14ac:dyDescent="0.25">
      <c r="B1327" s="16" t="s">
        <v>22</v>
      </c>
      <c r="C1327" s="17">
        <v>45096</v>
      </c>
      <c r="D1327" s="16">
        <v>77341</v>
      </c>
      <c r="E1327" s="16">
        <v>64460</v>
      </c>
      <c r="F1327" s="18" t="s">
        <v>139</v>
      </c>
      <c r="G1327" s="16" t="s">
        <v>5</v>
      </c>
      <c r="H1327" s="16" t="s">
        <v>28</v>
      </c>
      <c r="I1327" s="16" t="s">
        <v>61</v>
      </c>
    </row>
    <row r="1328" spans="2:9" x14ac:dyDescent="0.25">
      <c r="B1328" s="16" t="s">
        <v>2</v>
      </c>
      <c r="C1328" s="17">
        <v>45096</v>
      </c>
      <c r="D1328" s="16">
        <v>981637</v>
      </c>
      <c r="E1328" s="16">
        <v>9434</v>
      </c>
      <c r="F1328" s="18" t="s">
        <v>23</v>
      </c>
      <c r="G1328" s="16" t="s">
        <v>16</v>
      </c>
      <c r="H1328" s="16" t="s">
        <v>28</v>
      </c>
      <c r="I1328" s="16" t="s">
        <v>61</v>
      </c>
    </row>
    <row r="1329" spans="2:9" x14ac:dyDescent="0.25">
      <c r="B1329" s="16" t="s">
        <v>2</v>
      </c>
      <c r="C1329" s="17">
        <v>45096</v>
      </c>
      <c r="D1329" s="16">
        <v>981638</v>
      </c>
      <c r="E1329" s="16">
        <v>9434</v>
      </c>
      <c r="F1329" s="18" t="s">
        <v>23</v>
      </c>
      <c r="G1329" s="16" t="s">
        <v>16</v>
      </c>
      <c r="H1329" s="16" t="s">
        <v>28</v>
      </c>
      <c r="I1329" s="16" t="s">
        <v>61</v>
      </c>
    </row>
    <row r="1330" spans="2:9" x14ac:dyDescent="0.25">
      <c r="B1330" s="16" t="s">
        <v>2</v>
      </c>
      <c r="C1330" s="17">
        <v>45096</v>
      </c>
      <c r="D1330" s="16">
        <v>981639</v>
      </c>
      <c r="E1330" s="16">
        <v>9434</v>
      </c>
      <c r="F1330" s="18" t="s">
        <v>23</v>
      </c>
      <c r="G1330" s="16" t="s">
        <v>16</v>
      </c>
      <c r="H1330" s="16" t="s">
        <v>28</v>
      </c>
      <c r="I1330" s="16" t="s">
        <v>61</v>
      </c>
    </row>
    <row r="1331" spans="2:9" x14ac:dyDescent="0.25">
      <c r="B1331" s="16" t="s">
        <v>2</v>
      </c>
      <c r="C1331" s="17">
        <v>45096</v>
      </c>
      <c r="D1331" s="16">
        <v>981641</v>
      </c>
      <c r="E1331" s="16">
        <v>9434</v>
      </c>
      <c r="F1331" s="18" t="s">
        <v>23</v>
      </c>
      <c r="G1331" s="16" t="s">
        <v>16</v>
      </c>
      <c r="H1331" s="16" t="s">
        <v>28</v>
      </c>
      <c r="I1331" s="16" t="s">
        <v>61</v>
      </c>
    </row>
    <row r="1332" spans="2:9" x14ac:dyDescent="0.25">
      <c r="B1332" s="16" t="s">
        <v>2</v>
      </c>
      <c r="C1332" s="17">
        <v>45096</v>
      </c>
      <c r="D1332" s="16">
        <v>981642</v>
      </c>
      <c r="E1332" s="16">
        <v>9434</v>
      </c>
      <c r="F1332" s="18" t="s">
        <v>23</v>
      </c>
      <c r="G1332" s="16" t="s">
        <v>16</v>
      </c>
      <c r="H1332" s="16" t="s">
        <v>28</v>
      </c>
      <c r="I1332" s="16" t="s">
        <v>61</v>
      </c>
    </row>
    <row r="1333" spans="2:9" x14ac:dyDescent="0.25">
      <c r="B1333" s="16" t="s">
        <v>2</v>
      </c>
      <c r="C1333" s="17">
        <v>45096</v>
      </c>
      <c r="D1333" s="16">
        <v>166725</v>
      </c>
      <c r="E1333" s="16">
        <v>7929</v>
      </c>
      <c r="F1333" s="18" t="s">
        <v>313</v>
      </c>
      <c r="G1333" s="16" t="s">
        <v>7</v>
      </c>
      <c r="H1333" s="16" t="s">
        <v>49</v>
      </c>
      <c r="I1333" s="16" t="s">
        <v>17</v>
      </c>
    </row>
    <row r="1334" spans="2:9" x14ac:dyDescent="0.25">
      <c r="B1334" s="16" t="s">
        <v>2</v>
      </c>
      <c r="C1334" s="17">
        <v>45096</v>
      </c>
      <c r="D1334" s="16">
        <v>65809</v>
      </c>
      <c r="E1334" s="16">
        <v>5346</v>
      </c>
      <c r="F1334" s="18" t="s">
        <v>277</v>
      </c>
      <c r="G1334" s="16" t="s">
        <v>7</v>
      </c>
      <c r="H1334" s="16" t="s">
        <v>38</v>
      </c>
      <c r="I1334" s="16" t="s">
        <v>17</v>
      </c>
    </row>
    <row r="1335" spans="2:9" x14ac:dyDescent="0.25">
      <c r="B1335" s="16" t="s">
        <v>210</v>
      </c>
      <c r="C1335" s="17">
        <v>45096</v>
      </c>
      <c r="D1335" s="16" t="s">
        <v>54</v>
      </c>
      <c r="E1335" s="16">
        <v>66808</v>
      </c>
      <c r="F1335" s="18" t="s">
        <v>314</v>
      </c>
      <c r="G1335" s="16" t="s">
        <v>3</v>
      </c>
      <c r="H1335" s="16" t="s">
        <v>28</v>
      </c>
      <c r="I1335" s="16" t="s">
        <v>61</v>
      </c>
    </row>
    <row r="1336" spans="2:9" x14ac:dyDescent="0.25">
      <c r="B1336" s="16" t="s">
        <v>40</v>
      </c>
      <c r="C1336" s="17">
        <v>45096</v>
      </c>
      <c r="D1336" s="16">
        <v>187496</v>
      </c>
      <c r="E1336" s="16">
        <v>10994</v>
      </c>
      <c r="F1336" s="18" t="s">
        <v>303</v>
      </c>
      <c r="G1336" s="16" t="s">
        <v>3</v>
      </c>
      <c r="H1336" s="16" t="s">
        <v>304</v>
      </c>
      <c r="I1336" s="16" t="s">
        <v>61</v>
      </c>
    </row>
    <row r="1337" spans="2:9" x14ac:dyDescent="0.25">
      <c r="B1337" s="16" t="s">
        <v>40</v>
      </c>
      <c r="C1337" s="17">
        <v>45096</v>
      </c>
      <c r="D1337" s="16">
        <v>187503</v>
      </c>
      <c r="E1337" s="16">
        <v>10994</v>
      </c>
      <c r="F1337" s="18" t="s">
        <v>303</v>
      </c>
      <c r="G1337" s="16" t="s">
        <v>3</v>
      </c>
      <c r="H1337" s="16" t="s">
        <v>304</v>
      </c>
      <c r="I1337" s="16" t="s">
        <v>61</v>
      </c>
    </row>
    <row r="1338" spans="2:9" x14ac:dyDescent="0.25">
      <c r="B1338" s="16" t="s">
        <v>22</v>
      </c>
      <c r="C1338" s="17">
        <v>45096</v>
      </c>
      <c r="D1338" s="16">
        <v>187498</v>
      </c>
      <c r="E1338" s="16">
        <v>10994</v>
      </c>
      <c r="F1338" s="18" t="s">
        <v>303</v>
      </c>
      <c r="G1338" s="16" t="s">
        <v>3</v>
      </c>
      <c r="H1338" s="16" t="s">
        <v>304</v>
      </c>
      <c r="I1338" s="16" t="s">
        <v>61</v>
      </c>
    </row>
    <row r="1339" spans="2:9" x14ac:dyDescent="0.25">
      <c r="B1339" s="16" t="s">
        <v>33</v>
      </c>
      <c r="C1339" s="17">
        <v>45096</v>
      </c>
      <c r="D1339" s="16">
        <v>636178</v>
      </c>
      <c r="E1339" s="16">
        <v>3610</v>
      </c>
      <c r="F1339" s="18" t="s">
        <v>8</v>
      </c>
      <c r="G1339" s="16" t="s">
        <v>6</v>
      </c>
      <c r="H1339" s="16" t="s">
        <v>38</v>
      </c>
      <c r="I1339" s="16" t="s">
        <v>17</v>
      </c>
    </row>
    <row r="1340" spans="2:9" x14ac:dyDescent="0.25">
      <c r="B1340" s="16" t="s">
        <v>33</v>
      </c>
      <c r="C1340" s="17">
        <v>45096</v>
      </c>
      <c r="D1340" s="16">
        <v>1792187</v>
      </c>
      <c r="E1340" s="16">
        <v>9480</v>
      </c>
      <c r="F1340" s="18" t="s">
        <v>147</v>
      </c>
      <c r="G1340" s="16" t="s">
        <v>5</v>
      </c>
      <c r="H1340" s="16" t="s">
        <v>221</v>
      </c>
      <c r="I1340" s="16" t="s">
        <v>61</v>
      </c>
    </row>
    <row r="1341" spans="2:9" x14ac:dyDescent="0.25">
      <c r="B1341" s="16" t="s">
        <v>33</v>
      </c>
      <c r="C1341" s="17">
        <v>45096</v>
      </c>
      <c r="D1341" s="16">
        <v>30680</v>
      </c>
      <c r="E1341" s="16">
        <v>14349</v>
      </c>
      <c r="F1341" s="18" t="s">
        <v>307</v>
      </c>
      <c r="G1341" s="16" t="s">
        <v>5</v>
      </c>
      <c r="H1341" s="16" t="s">
        <v>28</v>
      </c>
      <c r="I1341" s="16" t="s">
        <v>61</v>
      </c>
    </row>
    <row r="1342" spans="2:9" x14ac:dyDescent="0.25">
      <c r="B1342" s="16" t="s">
        <v>22</v>
      </c>
      <c r="C1342" s="17">
        <v>45096</v>
      </c>
      <c r="D1342" s="16">
        <v>142547</v>
      </c>
      <c r="E1342" s="16">
        <v>9398</v>
      </c>
      <c r="F1342" s="18" t="s">
        <v>65</v>
      </c>
      <c r="G1342" s="16" t="s">
        <v>16</v>
      </c>
      <c r="H1342" s="16" t="s">
        <v>49</v>
      </c>
      <c r="I1342" s="16" t="s">
        <v>61</v>
      </c>
    </row>
    <row r="1343" spans="2:9" x14ac:dyDescent="0.25">
      <c r="B1343" s="16" t="s">
        <v>22</v>
      </c>
      <c r="C1343" s="17">
        <v>45096</v>
      </c>
      <c r="D1343" s="16">
        <v>142544</v>
      </c>
      <c r="E1343" s="16">
        <v>9398</v>
      </c>
      <c r="F1343" s="18" t="s">
        <v>65</v>
      </c>
      <c r="G1343" s="16" t="s">
        <v>16</v>
      </c>
      <c r="H1343" s="16" t="s">
        <v>186</v>
      </c>
      <c r="I1343" s="16" t="s">
        <v>61</v>
      </c>
    </row>
    <row r="1344" spans="2:9" x14ac:dyDescent="0.25">
      <c r="B1344" s="16" t="s">
        <v>40</v>
      </c>
      <c r="C1344" s="17">
        <v>45096</v>
      </c>
      <c r="D1344" s="16">
        <v>577298</v>
      </c>
      <c r="E1344" s="16">
        <v>9500</v>
      </c>
      <c r="F1344" s="18" t="s">
        <v>112</v>
      </c>
      <c r="G1344" s="16" t="s">
        <v>16</v>
      </c>
      <c r="H1344" s="16" t="s">
        <v>184</v>
      </c>
      <c r="I1344" s="16" t="s">
        <v>61</v>
      </c>
    </row>
    <row r="1345" spans="2:9" x14ac:dyDescent="0.25">
      <c r="B1345" s="16" t="s">
        <v>40</v>
      </c>
      <c r="C1345" s="17">
        <v>45096</v>
      </c>
      <c r="D1345" s="16">
        <v>245558</v>
      </c>
      <c r="E1345" s="16">
        <v>70748</v>
      </c>
      <c r="F1345" s="18" t="s">
        <v>315</v>
      </c>
      <c r="G1345" s="16" t="s">
        <v>16</v>
      </c>
      <c r="H1345" s="16" t="s">
        <v>220</v>
      </c>
      <c r="I1345" s="16" t="s">
        <v>61</v>
      </c>
    </row>
    <row r="1346" spans="2:9" x14ac:dyDescent="0.25">
      <c r="B1346" s="16" t="s">
        <v>40</v>
      </c>
      <c r="C1346" s="17">
        <v>45096</v>
      </c>
      <c r="D1346" s="16">
        <v>245552</v>
      </c>
      <c r="E1346" s="16">
        <v>70748</v>
      </c>
      <c r="F1346" s="18" t="s">
        <v>315</v>
      </c>
      <c r="G1346" s="16" t="s">
        <v>16</v>
      </c>
      <c r="H1346" s="16" t="s">
        <v>220</v>
      </c>
      <c r="I1346" s="16" t="s">
        <v>61</v>
      </c>
    </row>
    <row r="1347" spans="2:9" x14ac:dyDescent="0.25">
      <c r="B1347" s="16" t="s">
        <v>26</v>
      </c>
      <c r="C1347" s="17">
        <v>45097</v>
      </c>
      <c r="D1347" s="16">
        <v>10332</v>
      </c>
      <c r="E1347" s="16">
        <v>63826</v>
      </c>
      <c r="F1347" s="18" t="s">
        <v>182</v>
      </c>
      <c r="G1347" s="16" t="s">
        <v>16</v>
      </c>
      <c r="H1347" s="16" t="s">
        <v>186</v>
      </c>
      <c r="I1347" s="16" t="s">
        <v>61</v>
      </c>
    </row>
    <row r="1348" spans="2:9" x14ac:dyDescent="0.25">
      <c r="B1348" s="16" t="s">
        <v>2</v>
      </c>
      <c r="C1348" s="17">
        <v>45097</v>
      </c>
      <c r="D1348" s="16">
        <v>61924</v>
      </c>
      <c r="E1348" s="16">
        <v>68566</v>
      </c>
      <c r="F1348" s="18" t="s">
        <v>156</v>
      </c>
      <c r="G1348" s="16" t="s">
        <v>5</v>
      </c>
      <c r="H1348" s="16" t="s">
        <v>28</v>
      </c>
      <c r="I1348" s="16" t="s">
        <v>73</v>
      </c>
    </row>
    <row r="1349" spans="2:9" x14ac:dyDescent="0.25">
      <c r="B1349" s="16" t="s">
        <v>2</v>
      </c>
      <c r="C1349" s="17">
        <v>45097</v>
      </c>
      <c r="D1349" s="16">
        <v>8447064</v>
      </c>
      <c r="E1349" s="16">
        <v>68566</v>
      </c>
      <c r="F1349" s="18" t="s">
        <v>156</v>
      </c>
      <c r="G1349" s="16" t="s">
        <v>52</v>
      </c>
      <c r="H1349" s="16" t="s">
        <v>28</v>
      </c>
      <c r="I1349" s="16" t="s">
        <v>73</v>
      </c>
    </row>
    <row r="1350" spans="2:9" x14ac:dyDescent="0.25">
      <c r="B1350" s="16" t="s">
        <v>2</v>
      </c>
      <c r="C1350" s="17">
        <v>45097</v>
      </c>
      <c r="D1350" s="16">
        <v>8447063</v>
      </c>
      <c r="E1350" s="16">
        <v>68566</v>
      </c>
      <c r="F1350" s="18" t="s">
        <v>156</v>
      </c>
      <c r="G1350" s="16" t="s">
        <v>52</v>
      </c>
      <c r="H1350" s="16" t="s">
        <v>28</v>
      </c>
      <c r="I1350" s="16" t="s">
        <v>73</v>
      </c>
    </row>
    <row r="1351" spans="2:9" x14ac:dyDescent="0.25">
      <c r="B1351" s="16" t="s">
        <v>210</v>
      </c>
      <c r="C1351" s="17">
        <v>45097</v>
      </c>
      <c r="D1351" s="16">
        <v>33116</v>
      </c>
      <c r="E1351" s="16"/>
      <c r="F1351" s="18" t="s">
        <v>20</v>
      </c>
      <c r="G1351" s="16" t="s">
        <v>54</v>
      </c>
      <c r="H1351" s="16" t="s">
        <v>54</v>
      </c>
      <c r="I1351" s="16" t="s">
        <v>20</v>
      </c>
    </row>
    <row r="1352" spans="2:9" x14ac:dyDescent="0.25">
      <c r="B1352" s="16" t="s">
        <v>40</v>
      </c>
      <c r="C1352" s="17">
        <v>45097</v>
      </c>
      <c r="D1352" s="16">
        <v>980422</v>
      </c>
      <c r="E1352" s="16">
        <v>9434</v>
      </c>
      <c r="F1352" s="18" t="s">
        <v>23</v>
      </c>
      <c r="G1352" s="16" t="s">
        <v>16</v>
      </c>
      <c r="H1352" s="16" t="s">
        <v>220</v>
      </c>
      <c r="I1352" s="16" t="s">
        <v>61</v>
      </c>
    </row>
    <row r="1353" spans="2:9" x14ac:dyDescent="0.25">
      <c r="B1353" s="16" t="s">
        <v>2</v>
      </c>
      <c r="C1353" s="17">
        <v>45097</v>
      </c>
      <c r="D1353" s="16">
        <v>980497</v>
      </c>
      <c r="E1353" s="16">
        <v>10263</v>
      </c>
      <c r="F1353" s="18" t="s">
        <v>34</v>
      </c>
      <c r="G1353" s="16" t="s">
        <v>16</v>
      </c>
      <c r="H1353" s="16" t="s">
        <v>184</v>
      </c>
      <c r="I1353" s="16" t="s">
        <v>61</v>
      </c>
    </row>
    <row r="1354" spans="2:9" x14ac:dyDescent="0.25">
      <c r="B1354" s="16" t="s">
        <v>40</v>
      </c>
      <c r="C1354" s="17">
        <v>45097</v>
      </c>
      <c r="D1354" s="16">
        <v>980424</v>
      </c>
      <c r="E1354" s="16">
        <v>9434</v>
      </c>
      <c r="F1354" s="18" t="s">
        <v>23</v>
      </c>
      <c r="G1354" s="16" t="s">
        <v>16</v>
      </c>
      <c r="H1354" s="16" t="s">
        <v>220</v>
      </c>
      <c r="I1354" s="16" t="s">
        <v>61</v>
      </c>
    </row>
    <row r="1355" spans="2:9" x14ac:dyDescent="0.25">
      <c r="B1355" s="16" t="s">
        <v>40</v>
      </c>
      <c r="C1355" s="17">
        <v>45097</v>
      </c>
      <c r="D1355" s="16">
        <v>980426</v>
      </c>
      <c r="E1355" s="16">
        <v>9434</v>
      </c>
      <c r="F1355" s="18" t="s">
        <v>23</v>
      </c>
      <c r="G1355" s="16" t="s">
        <v>16</v>
      </c>
      <c r="H1355" s="16" t="s">
        <v>220</v>
      </c>
      <c r="I1355" s="16" t="s">
        <v>61</v>
      </c>
    </row>
    <row r="1356" spans="2:9" x14ac:dyDescent="0.25">
      <c r="B1356" s="16" t="s">
        <v>40</v>
      </c>
      <c r="C1356" s="17">
        <v>45097</v>
      </c>
      <c r="D1356" s="16">
        <v>980427</v>
      </c>
      <c r="E1356" s="16">
        <v>9434</v>
      </c>
      <c r="F1356" s="18" t="s">
        <v>23</v>
      </c>
      <c r="G1356" s="16" t="s">
        <v>16</v>
      </c>
      <c r="H1356" s="16" t="s">
        <v>220</v>
      </c>
      <c r="I1356" s="16" t="s">
        <v>61</v>
      </c>
    </row>
    <row r="1357" spans="2:9" x14ac:dyDescent="0.25">
      <c r="B1357" s="16" t="s">
        <v>40</v>
      </c>
      <c r="C1357" s="17">
        <v>45097</v>
      </c>
      <c r="D1357" s="16">
        <v>980129</v>
      </c>
      <c r="E1357" s="16">
        <v>9434</v>
      </c>
      <c r="F1357" s="18" t="s">
        <v>23</v>
      </c>
      <c r="G1357" s="16" t="s">
        <v>16</v>
      </c>
      <c r="H1357" s="16" t="s">
        <v>220</v>
      </c>
      <c r="I1357" s="16" t="s">
        <v>61</v>
      </c>
    </row>
    <row r="1358" spans="2:9" x14ac:dyDescent="0.25">
      <c r="B1358" s="16" t="s">
        <v>210</v>
      </c>
      <c r="C1358" s="17">
        <v>45097</v>
      </c>
      <c r="D1358" s="16">
        <v>4850575</v>
      </c>
      <c r="E1358" s="16">
        <v>9430</v>
      </c>
      <c r="F1358" s="18" t="s">
        <v>185</v>
      </c>
      <c r="G1358" s="16" t="s">
        <v>16</v>
      </c>
      <c r="H1358" s="16" t="s">
        <v>49</v>
      </c>
      <c r="I1358" s="16" t="s">
        <v>17</v>
      </c>
    </row>
    <row r="1359" spans="2:9" x14ac:dyDescent="0.25">
      <c r="B1359" s="16" t="s">
        <v>210</v>
      </c>
      <c r="C1359" s="17">
        <v>45097</v>
      </c>
      <c r="D1359" s="16">
        <v>7149</v>
      </c>
      <c r="E1359" s="16">
        <v>63097</v>
      </c>
      <c r="F1359" s="18" t="s">
        <v>316</v>
      </c>
      <c r="G1359" s="16" t="s">
        <v>7</v>
      </c>
      <c r="H1359" s="16" t="s">
        <v>38</v>
      </c>
      <c r="I1359" s="16" t="s">
        <v>17</v>
      </c>
    </row>
    <row r="1360" spans="2:9" x14ac:dyDescent="0.25">
      <c r="B1360" s="16" t="s">
        <v>40</v>
      </c>
      <c r="C1360" s="17">
        <v>45097</v>
      </c>
      <c r="D1360" s="16">
        <v>119205</v>
      </c>
      <c r="E1360" s="16">
        <v>11604</v>
      </c>
      <c r="F1360" s="18" t="s">
        <v>63</v>
      </c>
      <c r="G1360" s="16" t="s">
        <v>262</v>
      </c>
      <c r="H1360" s="16" t="s">
        <v>38</v>
      </c>
      <c r="I1360" s="16" t="s">
        <v>17</v>
      </c>
    </row>
    <row r="1361" spans="2:9" x14ac:dyDescent="0.25">
      <c r="B1361" s="16" t="s">
        <v>40</v>
      </c>
      <c r="C1361" s="17">
        <v>45097</v>
      </c>
      <c r="D1361" s="16">
        <v>213008</v>
      </c>
      <c r="E1361" s="16">
        <v>9813</v>
      </c>
      <c r="F1361" s="18" t="s">
        <v>86</v>
      </c>
      <c r="G1361" s="16" t="s">
        <v>4</v>
      </c>
      <c r="H1361" s="16" t="s">
        <v>184</v>
      </c>
      <c r="I1361" s="16" t="s">
        <v>317</v>
      </c>
    </row>
    <row r="1362" spans="2:9" x14ac:dyDescent="0.25">
      <c r="B1362" s="16" t="s">
        <v>22</v>
      </c>
      <c r="C1362" s="17">
        <v>45097</v>
      </c>
      <c r="D1362" s="16">
        <v>20627</v>
      </c>
      <c r="E1362" s="16">
        <v>14818</v>
      </c>
      <c r="F1362" s="18" t="s">
        <v>90</v>
      </c>
      <c r="G1362" s="16" t="s">
        <v>4</v>
      </c>
      <c r="H1362" s="16" t="s">
        <v>186</v>
      </c>
      <c r="I1362" s="16" t="s">
        <v>17</v>
      </c>
    </row>
    <row r="1363" spans="2:9" x14ac:dyDescent="0.25">
      <c r="B1363" s="16" t="s">
        <v>210</v>
      </c>
      <c r="C1363" s="17">
        <v>45097</v>
      </c>
      <c r="D1363" s="16">
        <v>119202</v>
      </c>
      <c r="E1363" s="16">
        <v>11604</v>
      </c>
      <c r="F1363" s="18" t="s">
        <v>63</v>
      </c>
      <c r="G1363" s="16" t="s">
        <v>262</v>
      </c>
      <c r="H1363" s="16" t="s">
        <v>38</v>
      </c>
      <c r="I1363" s="16" t="s">
        <v>17</v>
      </c>
    </row>
    <row r="1364" spans="2:9" x14ac:dyDescent="0.25">
      <c r="B1364" s="16" t="s">
        <v>40</v>
      </c>
      <c r="C1364" s="17">
        <v>45097</v>
      </c>
      <c r="D1364" s="16" t="s">
        <v>318</v>
      </c>
      <c r="E1364" s="16">
        <v>10263</v>
      </c>
      <c r="F1364" s="18" t="s">
        <v>34</v>
      </c>
      <c r="G1364" s="16" t="s">
        <v>16</v>
      </c>
      <c r="H1364" s="16" t="s">
        <v>46</v>
      </c>
      <c r="I1364" s="16" t="s">
        <v>103</v>
      </c>
    </row>
    <row r="1365" spans="2:9" x14ac:dyDescent="0.25">
      <c r="B1365" s="16" t="s">
        <v>210</v>
      </c>
      <c r="C1365" s="17">
        <v>45097</v>
      </c>
      <c r="D1365" s="16">
        <v>981654</v>
      </c>
      <c r="E1365" s="16">
        <v>9434</v>
      </c>
      <c r="F1365" s="18" t="s">
        <v>23</v>
      </c>
      <c r="G1365" s="16" t="s">
        <v>6</v>
      </c>
      <c r="H1365" s="16" t="s">
        <v>36</v>
      </c>
      <c r="I1365" s="16" t="s">
        <v>61</v>
      </c>
    </row>
    <row r="1366" spans="2:9" x14ac:dyDescent="0.25">
      <c r="B1366" s="16" t="s">
        <v>2</v>
      </c>
      <c r="C1366" s="17">
        <v>45097</v>
      </c>
      <c r="D1366" s="16">
        <v>238336</v>
      </c>
      <c r="E1366" s="16">
        <v>1175</v>
      </c>
      <c r="F1366" s="18" t="s">
        <v>81</v>
      </c>
      <c r="G1366" s="16" t="s">
        <v>7</v>
      </c>
      <c r="H1366" s="16" t="s">
        <v>41</v>
      </c>
      <c r="I1366" s="16" t="s">
        <v>103</v>
      </c>
    </row>
    <row r="1367" spans="2:9" x14ac:dyDescent="0.25">
      <c r="B1367" s="16" t="s">
        <v>22</v>
      </c>
      <c r="C1367" s="17">
        <v>45097</v>
      </c>
      <c r="D1367" s="16">
        <v>201710</v>
      </c>
      <c r="E1367" s="16">
        <v>1100</v>
      </c>
      <c r="F1367" s="18" t="s">
        <v>152</v>
      </c>
      <c r="G1367" s="16" t="s">
        <v>5</v>
      </c>
      <c r="H1367" s="16" t="s">
        <v>114</v>
      </c>
      <c r="I1367" s="16" t="s">
        <v>319</v>
      </c>
    </row>
    <row r="1368" spans="2:9" x14ac:dyDescent="0.25">
      <c r="B1368" s="16" t="s">
        <v>33</v>
      </c>
      <c r="C1368" s="17">
        <v>45097</v>
      </c>
      <c r="D1368" s="16">
        <v>175164</v>
      </c>
      <c r="E1368" s="16">
        <v>9599</v>
      </c>
      <c r="F1368" s="18" t="s">
        <v>43</v>
      </c>
      <c r="G1368" s="16" t="s">
        <v>16</v>
      </c>
      <c r="H1368" s="16" t="s">
        <v>71</v>
      </c>
      <c r="I1368" s="16" t="s">
        <v>103</v>
      </c>
    </row>
    <row r="1369" spans="2:9" x14ac:dyDescent="0.25">
      <c r="B1369" s="16" t="s">
        <v>33</v>
      </c>
      <c r="C1369" s="17">
        <v>45097</v>
      </c>
      <c r="D1369" s="16">
        <v>175162</v>
      </c>
      <c r="E1369" s="16">
        <v>9599</v>
      </c>
      <c r="F1369" s="18" t="s">
        <v>43</v>
      </c>
      <c r="G1369" s="16" t="s">
        <v>16</v>
      </c>
      <c r="H1369" s="16" t="s">
        <v>71</v>
      </c>
      <c r="I1369" s="16" t="s">
        <v>103</v>
      </c>
    </row>
    <row r="1370" spans="2:9" x14ac:dyDescent="0.25">
      <c r="B1370" s="16" t="s">
        <v>33</v>
      </c>
      <c r="C1370" s="17">
        <v>45097</v>
      </c>
      <c r="D1370" s="16">
        <v>175163</v>
      </c>
      <c r="E1370" s="16">
        <v>9599</v>
      </c>
      <c r="F1370" s="18" t="s">
        <v>43</v>
      </c>
      <c r="G1370" s="16" t="s">
        <v>16</v>
      </c>
      <c r="H1370" s="16" t="s">
        <v>71</v>
      </c>
      <c r="I1370" s="16" t="s">
        <v>103</v>
      </c>
    </row>
    <row r="1371" spans="2:9" x14ac:dyDescent="0.25">
      <c r="B1371" s="16" t="s">
        <v>210</v>
      </c>
      <c r="C1371" s="17">
        <v>45097</v>
      </c>
      <c r="D1371" s="16">
        <v>981653</v>
      </c>
      <c r="E1371" s="16">
        <v>9434</v>
      </c>
      <c r="F1371" s="18" t="s">
        <v>23</v>
      </c>
      <c r="G1371" s="16" t="s">
        <v>6</v>
      </c>
      <c r="H1371" s="16" t="s">
        <v>71</v>
      </c>
      <c r="I1371" s="16" t="s">
        <v>17</v>
      </c>
    </row>
    <row r="1372" spans="2:9" x14ac:dyDescent="0.25">
      <c r="B1372" s="16" t="s">
        <v>2</v>
      </c>
      <c r="C1372" s="17">
        <v>45098</v>
      </c>
      <c r="D1372" s="16">
        <v>186481</v>
      </c>
      <c r="E1372" s="16">
        <v>10994</v>
      </c>
      <c r="F1372" s="18" t="s">
        <v>303</v>
      </c>
      <c r="G1372" s="16" t="s">
        <v>3</v>
      </c>
      <c r="H1372" s="16" t="s">
        <v>176</v>
      </c>
      <c r="I1372" s="16" t="s">
        <v>132</v>
      </c>
    </row>
    <row r="1373" spans="2:9" x14ac:dyDescent="0.25">
      <c r="B1373" s="16" t="s">
        <v>2</v>
      </c>
      <c r="C1373" s="17">
        <v>45098</v>
      </c>
      <c r="D1373" s="16">
        <v>186484</v>
      </c>
      <c r="E1373" s="16">
        <v>10994</v>
      </c>
      <c r="F1373" s="18" t="s">
        <v>303</v>
      </c>
      <c r="G1373" s="16" t="s">
        <v>3</v>
      </c>
      <c r="H1373" s="16" t="s">
        <v>176</v>
      </c>
      <c r="I1373" s="16" t="s">
        <v>132</v>
      </c>
    </row>
    <row r="1374" spans="2:9" x14ac:dyDescent="0.25">
      <c r="B1374" s="16" t="s">
        <v>2</v>
      </c>
      <c r="C1374" s="17">
        <v>45098</v>
      </c>
      <c r="D1374" s="16">
        <v>186479</v>
      </c>
      <c r="E1374" s="16">
        <v>10994</v>
      </c>
      <c r="F1374" s="18" t="s">
        <v>303</v>
      </c>
      <c r="G1374" s="16" t="s">
        <v>3</v>
      </c>
      <c r="H1374" s="16" t="s">
        <v>176</v>
      </c>
      <c r="I1374" s="16" t="s">
        <v>132</v>
      </c>
    </row>
    <row r="1375" spans="2:9" x14ac:dyDescent="0.25">
      <c r="B1375" s="16" t="s">
        <v>22</v>
      </c>
      <c r="C1375" s="17">
        <v>45098</v>
      </c>
      <c r="D1375" s="16">
        <v>767273</v>
      </c>
      <c r="E1375" s="16">
        <v>1032</v>
      </c>
      <c r="F1375" s="18" t="s">
        <v>225</v>
      </c>
      <c r="G1375" s="16" t="s">
        <v>5</v>
      </c>
      <c r="H1375" s="16" t="s">
        <v>186</v>
      </c>
      <c r="I1375" s="16" t="s">
        <v>61</v>
      </c>
    </row>
    <row r="1376" spans="2:9" x14ac:dyDescent="0.25">
      <c r="B1376" s="16" t="s">
        <v>26</v>
      </c>
      <c r="C1376" s="17">
        <v>45098</v>
      </c>
      <c r="D1376" s="16">
        <v>187499</v>
      </c>
      <c r="E1376" s="16">
        <v>10994</v>
      </c>
      <c r="F1376" s="18" t="s">
        <v>303</v>
      </c>
      <c r="G1376" s="16" t="s">
        <v>3</v>
      </c>
      <c r="H1376" s="16" t="s">
        <v>41</v>
      </c>
      <c r="I1376" s="16" t="s">
        <v>17</v>
      </c>
    </row>
    <row r="1377" spans="2:9" x14ac:dyDescent="0.25">
      <c r="B1377" s="16" t="s">
        <v>20</v>
      </c>
      <c r="C1377" s="17">
        <v>45098</v>
      </c>
      <c r="D1377" s="16">
        <v>186360</v>
      </c>
      <c r="E1377" s="16">
        <v>10994</v>
      </c>
      <c r="F1377" s="18" t="s">
        <v>303</v>
      </c>
      <c r="G1377" s="16" t="s">
        <v>3</v>
      </c>
      <c r="H1377" s="16" t="s">
        <v>28</v>
      </c>
      <c r="I1377" s="16" t="s">
        <v>61</v>
      </c>
    </row>
    <row r="1378" spans="2:9" x14ac:dyDescent="0.25">
      <c r="B1378" s="16" t="s">
        <v>22</v>
      </c>
      <c r="C1378" s="17">
        <v>45098</v>
      </c>
      <c r="D1378" s="16">
        <v>186346</v>
      </c>
      <c r="E1378" s="16">
        <v>10994</v>
      </c>
      <c r="F1378" s="18" t="s">
        <v>303</v>
      </c>
      <c r="G1378" s="16" t="s">
        <v>3</v>
      </c>
      <c r="H1378" s="16" t="s">
        <v>28</v>
      </c>
      <c r="I1378" s="16" t="s">
        <v>61</v>
      </c>
    </row>
    <row r="1379" spans="2:9" x14ac:dyDescent="0.25">
      <c r="B1379" s="16" t="s">
        <v>22</v>
      </c>
      <c r="C1379" s="17">
        <v>45098</v>
      </c>
      <c r="D1379" s="16">
        <v>187498</v>
      </c>
      <c r="E1379" s="16">
        <v>10994</v>
      </c>
      <c r="F1379" s="18" t="s">
        <v>303</v>
      </c>
      <c r="G1379" s="16" t="s">
        <v>3</v>
      </c>
      <c r="H1379" s="16" t="s">
        <v>28</v>
      </c>
      <c r="I1379" s="16" t="s">
        <v>61</v>
      </c>
    </row>
    <row r="1380" spans="2:9" x14ac:dyDescent="0.25">
      <c r="B1380" s="16" t="s">
        <v>33</v>
      </c>
      <c r="C1380" s="17">
        <v>45098</v>
      </c>
      <c r="D1380" s="16">
        <v>20644</v>
      </c>
      <c r="E1380" s="16">
        <v>14818</v>
      </c>
      <c r="F1380" s="18" t="s">
        <v>90</v>
      </c>
      <c r="G1380" s="16" t="s">
        <v>4</v>
      </c>
      <c r="H1380" s="16" t="s">
        <v>184</v>
      </c>
      <c r="I1380" s="16" t="s">
        <v>61</v>
      </c>
    </row>
    <row r="1381" spans="2:9" x14ac:dyDescent="0.25">
      <c r="B1381" s="16" t="s">
        <v>22</v>
      </c>
      <c r="C1381" s="17">
        <v>45098</v>
      </c>
      <c r="D1381" s="16">
        <v>8450264</v>
      </c>
      <c r="E1381" s="16">
        <v>9389</v>
      </c>
      <c r="F1381" s="18" t="s">
        <v>119</v>
      </c>
      <c r="G1381" s="16" t="s">
        <v>3</v>
      </c>
      <c r="H1381" s="16" t="s">
        <v>186</v>
      </c>
      <c r="I1381" s="16" t="s">
        <v>61</v>
      </c>
    </row>
    <row r="1382" spans="2:9" x14ac:dyDescent="0.25">
      <c r="B1382" s="16" t="s">
        <v>26</v>
      </c>
      <c r="C1382" s="17">
        <v>45098</v>
      </c>
      <c r="D1382" s="16">
        <v>534510</v>
      </c>
      <c r="E1382" s="16">
        <v>9530</v>
      </c>
      <c r="F1382" s="18" t="s">
        <v>320</v>
      </c>
      <c r="G1382" s="16" t="s">
        <v>5</v>
      </c>
      <c r="H1382" s="16" t="s">
        <v>31</v>
      </c>
      <c r="I1382" s="16" t="s">
        <v>32</v>
      </c>
    </row>
    <row r="1383" spans="2:9" x14ac:dyDescent="0.25">
      <c r="B1383" s="16" t="s">
        <v>33</v>
      </c>
      <c r="C1383" s="17">
        <v>45098</v>
      </c>
      <c r="D1383" s="16">
        <v>979462</v>
      </c>
      <c r="E1383" s="16">
        <v>10263</v>
      </c>
      <c r="F1383" s="18" t="s">
        <v>34</v>
      </c>
      <c r="G1383" s="16" t="s">
        <v>16</v>
      </c>
      <c r="H1383" s="16" t="s">
        <v>39</v>
      </c>
      <c r="I1383" s="16" t="s">
        <v>61</v>
      </c>
    </row>
    <row r="1384" spans="2:9" x14ac:dyDescent="0.25">
      <c r="B1384" s="16" t="s">
        <v>33</v>
      </c>
      <c r="C1384" s="17">
        <v>45098</v>
      </c>
      <c r="D1384" s="16">
        <v>4851439</v>
      </c>
      <c r="E1384" s="16">
        <v>9430</v>
      </c>
      <c r="F1384" s="18" t="s">
        <v>185</v>
      </c>
      <c r="G1384" s="16" t="s">
        <v>16</v>
      </c>
      <c r="H1384" s="16" t="s">
        <v>39</v>
      </c>
      <c r="I1384" s="16" t="s">
        <v>246</v>
      </c>
    </row>
    <row r="1385" spans="2:9" x14ac:dyDescent="0.25">
      <c r="B1385" s="16" t="s">
        <v>210</v>
      </c>
      <c r="C1385" s="17">
        <v>45098</v>
      </c>
      <c r="D1385" s="16">
        <v>1110603</v>
      </c>
      <c r="E1385" s="16">
        <v>6037</v>
      </c>
      <c r="F1385" s="18" t="s">
        <v>257</v>
      </c>
      <c r="G1385" s="16" t="s">
        <v>16</v>
      </c>
      <c r="H1385" s="16" t="s">
        <v>49</v>
      </c>
      <c r="I1385" s="16" t="s">
        <v>59</v>
      </c>
    </row>
    <row r="1386" spans="2:9" x14ac:dyDescent="0.25">
      <c r="B1386" s="16" t="s">
        <v>40</v>
      </c>
      <c r="C1386" s="17">
        <v>45098</v>
      </c>
      <c r="D1386" s="16">
        <v>980280</v>
      </c>
      <c r="E1386" s="16">
        <v>10263</v>
      </c>
      <c r="F1386" s="18" t="s">
        <v>34</v>
      </c>
      <c r="G1386" s="16" t="s">
        <v>16</v>
      </c>
      <c r="H1386" s="16" t="s">
        <v>184</v>
      </c>
      <c r="I1386" s="16" t="s">
        <v>59</v>
      </c>
    </row>
    <row r="1387" spans="2:9" x14ac:dyDescent="0.25">
      <c r="B1387" s="16" t="s">
        <v>40</v>
      </c>
      <c r="C1387" s="17">
        <v>45098</v>
      </c>
      <c r="D1387" s="16">
        <v>980308</v>
      </c>
      <c r="E1387" s="16">
        <v>10263</v>
      </c>
      <c r="F1387" s="18" t="s">
        <v>34</v>
      </c>
      <c r="G1387" s="16" t="s">
        <v>16</v>
      </c>
      <c r="H1387" s="16" t="s">
        <v>184</v>
      </c>
      <c r="I1387" s="16" t="s">
        <v>59</v>
      </c>
    </row>
    <row r="1388" spans="2:9" x14ac:dyDescent="0.25">
      <c r="B1388" s="16" t="s">
        <v>40</v>
      </c>
      <c r="C1388" s="17">
        <v>45098</v>
      </c>
      <c r="D1388" s="16">
        <v>980317</v>
      </c>
      <c r="E1388" s="16">
        <v>10263</v>
      </c>
      <c r="F1388" s="18" t="s">
        <v>34</v>
      </c>
      <c r="G1388" s="16" t="s">
        <v>16</v>
      </c>
      <c r="H1388" s="16" t="s">
        <v>49</v>
      </c>
      <c r="I1388" s="16" t="s">
        <v>59</v>
      </c>
    </row>
    <row r="1389" spans="2:9" x14ac:dyDescent="0.25">
      <c r="B1389" s="16" t="s">
        <v>40</v>
      </c>
      <c r="C1389" s="17">
        <v>45098</v>
      </c>
      <c r="D1389" s="16">
        <v>1789320</v>
      </c>
      <c r="E1389" s="16">
        <v>9480</v>
      </c>
      <c r="F1389" s="18" t="s">
        <v>147</v>
      </c>
      <c r="G1389" s="16" t="s">
        <v>16</v>
      </c>
      <c r="H1389" s="16" t="s">
        <v>49</v>
      </c>
      <c r="I1389" s="16" t="s">
        <v>17</v>
      </c>
    </row>
    <row r="1390" spans="2:9" x14ac:dyDescent="0.25">
      <c r="B1390" s="16" t="s">
        <v>26</v>
      </c>
      <c r="C1390" s="17">
        <v>45099</v>
      </c>
      <c r="D1390" s="16">
        <v>176478</v>
      </c>
      <c r="E1390" s="16">
        <v>1672</v>
      </c>
      <c r="F1390" s="18" t="s">
        <v>230</v>
      </c>
      <c r="G1390" s="16" t="s">
        <v>52</v>
      </c>
      <c r="H1390" s="16" t="s">
        <v>28</v>
      </c>
      <c r="I1390" s="16" t="s">
        <v>61</v>
      </c>
    </row>
    <row r="1391" spans="2:9" x14ac:dyDescent="0.25">
      <c r="B1391" s="16" t="s">
        <v>26</v>
      </c>
      <c r="C1391" s="17">
        <v>45099</v>
      </c>
      <c r="D1391" s="16">
        <v>34483</v>
      </c>
      <c r="E1391" s="16">
        <v>66204</v>
      </c>
      <c r="F1391" s="18" t="s">
        <v>302</v>
      </c>
      <c r="G1391" s="16" t="s">
        <v>3</v>
      </c>
      <c r="H1391" s="16" t="s">
        <v>28</v>
      </c>
      <c r="I1391" s="16" t="s">
        <v>120</v>
      </c>
    </row>
    <row r="1392" spans="2:9" x14ac:dyDescent="0.25">
      <c r="B1392" s="16" t="s">
        <v>26</v>
      </c>
      <c r="C1392" s="17">
        <v>45099</v>
      </c>
      <c r="D1392" s="16">
        <v>162276</v>
      </c>
      <c r="E1392" s="16">
        <v>8281</v>
      </c>
      <c r="F1392" s="18" t="s">
        <v>321</v>
      </c>
      <c r="G1392" s="16" t="s">
        <v>5</v>
      </c>
      <c r="H1392" s="16" t="s">
        <v>28</v>
      </c>
      <c r="I1392" s="16" t="s">
        <v>61</v>
      </c>
    </row>
    <row r="1393" spans="2:9" x14ac:dyDescent="0.25">
      <c r="B1393" s="16" t="s">
        <v>26</v>
      </c>
      <c r="C1393" s="17">
        <v>45099</v>
      </c>
      <c r="D1393" s="16">
        <v>984071</v>
      </c>
      <c r="E1393" s="16">
        <v>9403</v>
      </c>
      <c r="F1393" s="18" t="s">
        <v>153</v>
      </c>
      <c r="G1393" s="16" t="s">
        <v>16</v>
      </c>
      <c r="H1393" s="16" t="s">
        <v>186</v>
      </c>
      <c r="I1393" s="16" t="s">
        <v>61</v>
      </c>
    </row>
    <row r="1394" spans="2:9" x14ac:dyDescent="0.25">
      <c r="B1394" s="16" t="s">
        <v>22</v>
      </c>
      <c r="C1394" s="17">
        <v>45099</v>
      </c>
      <c r="D1394" s="16">
        <v>162274</v>
      </c>
      <c r="E1394" s="16">
        <v>8281</v>
      </c>
      <c r="F1394" s="18" t="s">
        <v>321</v>
      </c>
      <c r="G1394" s="16" t="s">
        <v>5</v>
      </c>
      <c r="H1394" s="16" t="s">
        <v>28</v>
      </c>
      <c r="I1394" s="16" t="s">
        <v>61</v>
      </c>
    </row>
    <row r="1395" spans="2:9" x14ac:dyDescent="0.25">
      <c r="B1395" s="16" t="s">
        <v>22</v>
      </c>
      <c r="C1395" s="17">
        <v>45099</v>
      </c>
      <c r="D1395" s="16">
        <v>4328653</v>
      </c>
      <c r="E1395" s="16">
        <v>1174</v>
      </c>
      <c r="F1395" s="18" t="s">
        <v>100</v>
      </c>
      <c r="G1395" s="16" t="s">
        <v>4</v>
      </c>
      <c r="H1395" s="16" t="s">
        <v>186</v>
      </c>
      <c r="I1395" s="16" t="s">
        <v>61</v>
      </c>
    </row>
    <row r="1396" spans="2:9" x14ac:dyDescent="0.25">
      <c r="B1396" s="16" t="s">
        <v>2</v>
      </c>
      <c r="C1396" s="17">
        <v>45099</v>
      </c>
      <c r="D1396" s="16">
        <v>984078</v>
      </c>
      <c r="E1396" s="16">
        <v>9403</v>
      </c>
      <c r="F1396" s="18" t="s">
        <v>153</v>
      </c>
      <c r="G1396" s="16" t="s">
        <v>16</v>
      </c>
      <c r="H1396" s="16" t="s">
        <v>184</v>
      </c>
      <c r="I1396" s="16" t="s">
        <v>61</v>
      </c>
    </row>
    <row r="1397" spans="2:9" x14ac:dyDescent="0.25">
      <c r="B1397" s="16" t="s">
        <v>2</v>
      </c>
      <c r="C1397" s="17">
        <v>45099</v>
      </c>
      <c r="D1397" s="16">
        <v>982782</v>
      </c>
      <c r="E1397" s="16">
        <v>9434</v>
      </c>
      <c r="F1397" s="18" t="s">
        <v>23</v>
      </c>
      <c r="G1397" s="16" t="s">
        <v>6</v>
      </c>
      <c r="H1397" s="16" t="s">
        <v>184</v>
      </c>
      <c r="I1397" s="16" t="s">
        <v>61</v>
      </c>
    </row>
    <row r="1398" spans="2:9" x14ac:dyDescent="0.25">
      <c r="B1398" s="16" t="s">
        <v>2</v>
      </c>
      <c r="C1398" s="17">
        <v>45099</v>
      </c>
      <c r="D1398" s="16">
        <v>1391554</v>
      </c>
      <c r="E1398" s="16">
        <v>13235</v>
      </c>
      <c r="F1398" s="18" t="s">
        <v>99</v>
      </c>
      <c r="G1398" s="16" t="s">
        <v>4</v>
      </c>
      <c r="H1398" s="16" t="s">
        <v>36</v>
      </c>
      <c r="I1398" s="16" t="s">
        <v>288</v>
      </c>
    </row>
    <row r="1399" spans="2:9" x14ac:dyDescent="0.25">
      <c r="B1399" s="16" t="s">
        <v>2</v>
      </c>
      <c r="C1399" s="17">
        <v>45099</v>
      </c>
      <c r="D1399" s="16">
        <v>957935</v>
      </c>
      <c r="E1399" s="16">
        <v>9675</v>
      </c>
      <c r="F1399" s="18" t="s">
        <v>60</v>
      </c>
      <c r="G1399" s="16" t="s">
        <v>54</v>
      </c>
      <c r="H1399" s="16" t="s">
        <v>184</v>
      </c>
      <c r="I1399" s="16" t="s">
        <v>61</v>
      </c>
    </row>
    <row r="1400" spans="2:9" x14ac:dyDescent="0.25">
      <c r="B1400" s="16" t="s">
        <v>2</v>
      </c>
      <c r="C1400" s="17">
        <v>45099</v>
      </c>
      <c r="D1400" s="16">
        <v>120362</v>
      </c>
      <c r="E1400" s="16">
        <v>9796</v>
      </c>
      <c r="F1400" s="18" t="s">
        <v>322</v>
      </c>
      <c r="G1400" s="16" t="s">
        <v>3</v>
      </c>
      <c r="H1400" s="16" t="s">
        <v>46</v>
      </c>
      <c r="I1400" s="16" t="s">
        <v>17</v>
      </c>
    </row>
    <row r="1401" spans="2:9" x14ac:dyDescent="0.25">
      <c r="B1401" s="16" t="s">
        <v>33</v>
      </c>
      <c r="C1401" s="17">
        <v>45099</v>
      </c>
      <c r="D1401" s="16">
        <v>637639</v>
      </c>
      <c r="E1401" s="16">
        <v>3610</v>
      </c>
      <c r="F1401" s="18" t="s">
        <v>8</v>
      </c>
      <c r="G1401" s="16" t="s">
        <v>6</v>
      </c>
      <c r="H1401" s="16" t="s">
        <v>38</v>
      </c>
      <c r="I1401" s="16" t="s">
        <v>17</v>
      </c>
    </row>
    <row r="1402" spans="2:9" x14ac:dyDescent="0.25">
      <c r="B1402" s="16" t="s">
        <v>33</v>
      </c>
      <c r="C1402" s="17">
        <v>45099</v>
      </c>
      <c r="D1402" s="16">
        <v>119290</v>
      </c>
      <c r="E1402" s="16">
        <v>11604</v>
      </c>
      <c r="F1402" s="18" t="s">
        <v>63</v>
      </c>
      <c r="G1402" s="16" t="s">
        <v>6</v>
      </c>
      <c r="H1402" s="16" t="s">
        <v>38</v>
      </c>
      <c r="I1402" s="16" t="s">
        <v>17</v>
      </c>
    </row>
    <row r="1403" spans="2:9" x14ac:dyDescent="0.25">
      <c r="B1403" s="16" t="s">
        <v>33</v>
      </c>
      <c r="C1403" s="17">
        <v>45099</v>
      </c>
      <c r="D1403" s="16">
        <v>984080</v>
      </c>
      <c r="E1403" s="16">
        <v>9403</v>
      </c>
      <c r="F1403" s="18" t="s">
        <v>153</v>
      </c>
      <c r="G1403" s="16" t="s">
        <v>16</v>
      </c>
      <c r="H1403" s="16" t="s">
        <v>184</v>
      </c>
      <c r="I1403" s="16" t="s">
        <v>61</v>
      </c>
    </row>
    <row r="1404" spans="2:9" x14ac:dyDescent="0.25">
      <c r="B1404" s="16" t="s">
        <v>33</v>
      </c>
      <c r="C1404" s="17">
        <v>45099</v>
      </c>
      <c r="D1404" s="16">
        <v>238495</v>
      </c>
      <c r="E1404" s="16">
        <v>1175</v>
      </c>
      <c r="F1404" s="18" t="s">
        <v>81</v>
      </c>
      <c r="G1404" s="16" t="s">
        <v>7</v>
      </c>
      <c r="H1404" s="16" t="s">
        <v>38</v>
      </c>
      <c r="I1404" s="16" t="s">
        <v>17</v>
      </c>
    </row>
    <row r="1405" spans="2:9" x14ac:dyDescent="0.25">
      <c r="B1405" s="16" t="s">
        <v>210</v>
      </c>
      <c r="C1405" s="17">
        <v>45099</v>
      </c>
      <c r="D1405" s="16">
        <v>981547</v>
      </c>
      <c r="E1405" s="16">
        <v>10263</v>
      </c>
      <c r="F1405" s="18" t="s">
        <v>34</v>
      </c>
      <c r="G1405" s="16" t="s">
        <v>16</v>
      </c>
      <c r="H1405" s="16" t="s">
        <v>184</v>
      </c>
      <c r="I1405" s="16" t="s">
        <v>61</v>
      </c>
    </row>
    <row r="1406" spans="2:9" x14ac:dyDescent="0.25">
      <c r="B1406" s="16" t="s">
        <v>22</v>
      </c>
      <c r="C1406" s="17">
        <v>45099</v>
      </c>
      <c r="D1406" s="16">
        <v>984068</v>
      </c>
      <c r="E1406" s="16">
        <v>9403</v>
      </c>
      <c r="F1406" s="18" t="s">
        <v>153</v>
      </c>
      <c r="G1406" s="16" t="s">
        <v>16</v>
      </c>
      <c r="H1406" s="16" t="s">
        <v>184</v>
      </c>
      <c r="I1406" s="16" t="s">
        <v>61</v>
      </c>
    </row>
    <row r="1407" spans="2:9" x14ac:dyDescent="0.25">
      <c r="B1407" s="16" t="s">
        <v>33</v>
      </c>
      <c r="C1407" s="17">
        <v>45099</v>
      </c>
      <c r="D1407" s="16">
        <v>1789326</v>
      </c>
      <c r="E1407" s="16">
        <v>9480</v>
      </c>
      <c r="F1407" s="18" t="s">
        <v>147</v>
      </c>
      <c r="G1407" s="16" t="s">
        <v>16</v>
      </c>
      <c r="H1407" s="16" t="s">
        <v>28</v>
      </c>
      <c r="I1407" s="16" t="s">
        <v>73</v>
      </c>
    </row>
    <row r="1408" spans="2:9" x14ac:dyDescent="0.25">
      <c r="B1408" s="16" t="s">
        <v>33</v>
      </c>
      <c r="C1408" s="17">
        <v>45099</v>
      </c>
      <c r="D1408" s="16">
        <v>1789314</v>
      </c>
      <c r="E1408" s="16">
        <v>9480</v>
      </c>
      <c r="F1408" s="18" t="s">
        <v>147</v>
      </c>
      <c r="G1408" s="16" t="s">
        <v>16</v>
      </c>
      <c r="H1408" s="16" t="s">
        <v>28</v>
      </c>
      <c r="I1408" s="16" t="s">
        <v>73</v>
      </c>
    </row>
    <row r="1409" spans="2:9" x14ac:dyDescent="0.25">
      <c r="B1409" s="16" t="s">
        <v>210</v>
      </c>
      <c r="C1409" s="17">
        <v>45099</v>
      </c>
      <c r="D1409" s="16">
        <v>1136414</v>
      </c>
      <c r="E1409" s="16">
        <v>9516</v>
      </c>
      <c r="F1409" s="18" t="s">
        <v>110</v>
      </c>
      <c r="G1409" s="16" t="s">
        <v>334</v>
      </c>
      <c r="H1409" s="16" t="s">
        <v>186</v>
      </c>
      <c r="I1409" s="16" t="s">
        <v>61</v>
      </c>
    </row>
    <row r="1410" spans="2:9" x14ac:dyDescent="0.25">
      <c r="B1410" s="16" t="s">
        <v>22</v>
      </c>
      <c r="C1410" s="17">
        <v>45099</v>
      </c>
      <c r="D1410" s="16">
        <v>982609</v>
      </c>
      <c r="E1410" s="16">
        <v>9434</v>
      </c>
      <c r="F1410" s="18" t="s">
        <v>23</v>
      </c>
      <c r="G1410" s="16" t="s">
        <v>16</v>
      </c>
      <c r="H1410" s="16" t="s">
        <v>49</v>
      </c>
      <c r="I1410" s="16" t="s">
        <v>17</v>
      </c>
    </row>
    <row r="1411" spans="2:9" x14ac:dyDescent="0.25">
      <c r="B1411" s="16" t="s">
        <v>22</v>
      </c>
      <c r="C1411" s="17">
        <v>45099</v>
      </c>
      <c r="D1411" s="16">
        <v>981413</v>
      </c>
      <c r="E1411" s="16">
        <v>10263</v>
      </c>
      <c r="F1411" s="18" t="s">
        <v>34</v>
      </c>
      <c r="G1411" s="16" t="s">
        <v>16</v>
      </c>
      <c r="H1411" s="16" t="s">
        <v>184</v>
      </c>
      <c r="I1411" s="16" t="s">
        <v>61</v>
      </c>
    </row>
    <row r="1412" spans="2:9" x14ac:dyDescent="0.25">
      <c r="B1412" s="16" t="s">
        <v>22</v>
      </c>
      <c r="C1412" s="17">
        <v>45099</v>
      </c>
      <c r="D1412" s="16">
        <v>33069</v>
      </c>
      <c r="E1412" s="16">
        <v>66251</v>
      </c>
      <c r="F1412" s="18" t="s">
        <v>323</v>
      </c>
      <c r="G1412" s="16" t="s">
        <v>3</v>
      </c>
      <c r="H1412" s="16" t="s">
        <v>45</v>
      </c>
      <c r="I1412" s="16" t="s">
        <v>61</v>
      </c>
    </row>
    <row r="1413" spans="2:9" x14ac:dyDescent="0.25">
      <c r="B1413" s="16" t="s">
        <v>210</v>
      </c>
      <c r="C1413" s="17">
        <v>45099</v>
      </c>
      <c r="D1413" s="16">
        <v>33116</v>
      </c>
      <c r="E1413" s="16">
        <v>66251</v>
      </c>
      <c r="F1413" s="18" t="s">
        <v>323</v>
      </c>
      <c r="G1413" s="16" t="s">
        <v>3</v>
      </c>
      <c r="H1413" s="16" t="s">
        <v>45</v>
      </c>
      <c r="I1413" s="16" t="s">
        <v>232</v>
      </c>
    </row>
    <row r="1414" spans="2:9" x14ac:dyDescent="0.25">
      <c r="B1414" s="16" t="s">
        <v>2</v>
      </c>
      <c r="C1414" s="17">
        <v>45099</v>
      </c>
      <c r="D1414" s="16">
        <v>162273</v>
      </c>
      <c r="E1414" s="16">
        <v>8281</v>
      </c>
      <c r="F1414" s="18" t="s">
        <v>321</v>
      </c>
      <c r="G1414" s="16" t="s">
        <v>5</v>
      </c>
      <c r="H1414" s="16" t="s">
        <v>46</v>
      </c>
      <c r="I1414" s="16" t="s">
        <v>17</v>
      </c>
    </row>
    <row r="1415" spans="2:9" x14ac:dyDescent="0.25">
      <c r="B1415" s="16" t="s">
        <v>210</v>
      </c>
      <c r="C1415" s="17">
        <v>45099</v>
      </c>
      <c r="D1415" s="16">
        <v>984087</v>
      </c>
      <c r="E1415" s="16">
        <v>9403</v>
      </c>
      <c r="F1415" s="18" t="s">
        <v>153</v>
      </c>
      <c r="G1415" s="16" t="s">
        <v>16</v>
      </c>
      <c r="H1415" s="16" t="s">
        <v>186</v>
      </c>
      <c r="I1415" s="16" t="s">
        <v>61</v>
      </c>
    </row>
    <row r="1416" spans="2:9" x14ac:dyDescent="0.25">
      <c r="B1416" s="16" t="s">
        <v>210</v>
      </c>
      <c r="C1416" s="17">
        <v>45099</v>
      </c>
      <c r="D1416" s="16">
        <v>2117225</v>
      </c>
      <c r="E1416" s="16">
        <v>9459</v>
      </c>
      <c r="F1416" s="18" t="s">
        <v>105</v>
      </c>
      <c r="G1416" s="16" t="s">
        <v>52</v>
      </c>
      <c r="H1416" s="16" t="s">
        <v>186</v>
      </c>
      <c r="I1416" s="16" t="s">
        <v>324</v>
      </c>
    </row>
    <row r="1417" spans="2:9" x14ac:dyDescent="0.25">
      <c r="B1417" s="16" t="s">
        <v>210</v>
      </c>
      <c r="C1417" s="17">
        <v>45099</v>
      </c>
      <c r="D1417" s="16">
        <v>87354</v>
      </c>
      <c r="E1417" s="16">
        <v>63522</v>
      </c>
      <c r="F1417" s="18" t="s">
        <v>325</v>
      </c>
      <c r="G1417" s="16" t="s">
        <v>3</v>
      </c>
      <c r="H1417" s="16" t="s">
        <v>39</v>
      </c>
      <c r="I1417" s="16" t="s">
        <v>61</v>
      </c>
    </row>
    <row r="1418" spans="2:9" x14ac:dyDescent="0.25">
      <c r="B1418" s="16" t="s">
        <v>210</v>
      </c>
      <c r="C1418" s="17">
        <v>45099</v>
      </c>
      <c r="D1418" s="16">
        <v>1136414</v>
      </c>
      <c r="E1418" s="16">
        <v>9516</v>
      </c>
      <c r="F1418" s="18" t="s">
        <v>110</v>
      </c>
      <c r="G1418" s="16" t="s">
        <v>16</v>
      </c>
      <c r="H1418" s="16" t="s">
        <v>184</v>
      </c>
      <c r="I1418" s="16" t="s">
        <v>61</v>
      </c>
    </row>
    <row r="1419" spans="2:9" x14ac:dyDescent="0.25">
      <c r="B1419" s="16" t="s">
        <v>210</v>
      </c>
      <c r="C1419" s="17">
        <v>45099</v>
      </c>
      <c r="D1419" s="16">
        <v>4328889</v>
      </c>
      <c r="E1419" s="16">
        <v>1174</v>
      </c>
      <c r="F1419" s="18" t="s">
        <v>100</v>
      </c>
      <c r="G1419" s="16" t="s">
        <v>4</v>
      </c>
      <c r="H1419" s="16" t="s">
        <v>46</v>
      </c>
      <c r="I1419" s="16" t="s">
        <v>103</v>
      </c>
    </row>
    <row r="1420" spans="2:9" x14ac:dyDescent="0.25">
      <c r="B1420" s="16" t="s">
        <v>210</v>
      </c>
      <c r="C1420" s="17">
        <v>45099</v>
      </c>
      <c r="D1420" s="16">
        <v>4328890</v>
      </c>
      <c r="E1420" s="16">
        <v>1174</v>
      </c>
      <c r="F1420" s="18" t="s">
        <v>100</v>
      </c>
      <c r="G1420" s="16" t="s">
        <v>4</v>
      </c>
      <c r="H1420" s="16" t="s">
        <v>46</v>
      </c>
      <c r="I1420" s="16" t="s">
        <v>103</v>
      </c>
    </row>
    <row r="1421" spans="2:9" x14ac:dyDescent="0.25">
      <c r="B1421" s="16" t="s">
        <v>210</v>
      </c>
      <c r="C1421" s="17">
        <v>45099</v>
      </c>
      <c r="D1421" s="16">
        <v>4328891</v>
      </c>
      <c r="E1421" s="16">
        <v>1174</v>
      </c>
      <c r="F1421" s="18" t="s">
        <v>100</v>
      </c>
      <c r="G1421" s="16" t="s">
        <v>4</v>
      </c>
      <c r="H1421" s="16" t="s">
        <v>46</v>
      </c>
      <c r="I1421" s="16" t="s">
        <v>103</v>
      </c>
    </row>
    <row r="1422" spans="2:9" x14ac:dyDescent="0.25">
      <c r="B1422" s="16" t="s">
        <v>210</v>
      </c>
      <c r="C1422" s="17">
        <v>45099</v>
      </c>
      <c r="D1422" s="16">
        <v>4328892</v>
      </c>
      <c r="E1422" s="16">
        <v>1174</v>
      </c>
      <c r="F1422" s="18" t="s">
        <v>100</v>
      </c>
      <c r="G1422" s="16" t="s">
        <v>4</v>
      </c>
      <c r="H1422" s="16" t="s">
        <v>46</v>
      </c>
      <c r="I1422" s="16" t="s">
        <v>103</v>
      </c>
    </row>
    <row r="1423" spans="2:9" x14ac:dyDescent="0.25">
      <c r="B1423" s="16" t="s">
        <v>210</v>
      </c>
      <c r="C1423" s="17">
        <v>45099</v>
      </c>
      <c r="D1423" s="16">
        <v>4328893</v>
      </c>
      <c r="E1423" s="16">
        <v>1174</v>
      </c>
      <c r="F1423" s="18" t="s">
        <v>100</v>
      </c>
      <c r="G1423" s="16" t="s">
        <v>4</v>
      </c>
      <c r="H1423" s="16" t="s">
        <v>46</v>
      </c>
      <c r="I1423" s="16" t="s">
        <v>103</v>
      </c>
    </row>
    <row r="1424" spans="2:9" x14ac:dyDescent="0.25">
      <c r="B1424" s="16" t="s">
        <v>33</v>
      </c>
      <c r="C1424" s="17">
        <v>45099</v>
      </c>
      <c r="D1424" s="16">
        <v>175163</v>
      </c>
      <c r="E1424" s="16">
        <v>9599</v>
      </c>
      <c r="F1424" s="18" t="s">
        <v>43</v>
      </c>
      <c r="G1424" s="16" t="s">
        <v>16</v>
      </c>
      <c r="H1424" s="16" t="s">
        <v>28</v>
      </c>
      <c r="I1424" s="16" t="s">
        <v>92</v>
      </c>
    </row>
    <row r="1425" spans="2:9" x14ac:dyDescent="0.25">
      <c r="B1425" s="16" t="s">
        <v>33</v>
      </c>
      <c r="C1425" s="17">
        <v>45099</v>
      </c>
      <c r="D1425" s="16">
        <v>175164</v>
      </c>
      <c r="E1425" s="16">
        <v>9599</v>
      </c>
      <c r="F1425" s="18" t="s">
        <v>43</v>
      </c>
      <c r="G1425" s="16" t="s">
        <v>16</v>
      </c>
      <c r="H1425" s="16" t="s">
        <v>28</v>
      </c>
      <c r="I1425" s="16" t="s">
        <v>92</v>
      </c>
    </row>
    <row r="1426" spans="2:9" x14ac:dyDescent="0.25">
      <c r="B1426" s="16" t="s">
        <v>33</v>
      </c>
      <c r="C1426" s="17">
        <v>45099</v>
      </c>
      <c r="D1426" s="16">
        <v>175162</v>
      </c>
      <c r="E1426" s="16">
        <v>9599</v>
      </c>
      <c r="F1426" s="18" t="s">
        <v>43</v>
      </c>
      <c r="G1426" s="16" t="s">
        <v>16</v>
      </c>
      <c r="H1426" s="16" t="s">
        <v>28</v>
      </c>
      <c r="I1426" s="16" t="s">
        <v>92</v>
      </c>
    </row>
    <row r="1427" spans="2:9" x14ac:dyDescent="0.25">
      <c r="B1427" s="16" t="s">
        <v>22</v>
      </c>
      <c r="C1427" s="17">
        <v>45099</v>
      </c>
      <c r="D1427" s="16">
        <v>1797220</v>
      </c>
      <c r="E1427" s="16">
        <v>9480</v>
      </c>
      <c r="F1427" s="18" t="s">
        <v>147</v>
      </c>
      <c r="G1427" s="16" t="s">
        <v>5</v>
      </c>
      <c r="H1427" s="16" t="s">
        <v>28</v>
      </c>
      <c r="I1427" s="16" t="s">
        <v>73</v>
      </c>
    </row>
    <row r="1428" spans="2:9" x14ac:dyDescent="0.25">
      <c r="B1428" s="16" t="s">
        <v>22</v>
      </c>
      <c r="C1428" s="17">
        <v>45099</v>
      </c>
      <c r="D1428" s="16">
        <v>1797221</v>
      </c>
      <c r="E1428" s="16">
        <v>9480</v>
      </c>
      <c r="F1428" s="18" t="s">
        <v>147</v>
      </c>
      <c r="G1428" s="16" t="s">
        <v>5</v>
      </c>
      <c r="H1428" s="16" t="s">
        <v>28</v>
      </c>
      <c r="I1428" s="16" t="s">
        <v>73</v>
      </c>
    </row>
    <row r="1429" spans="2:9" x14ac:dyDescent="0.25">
      <c r="B1429" s="16" t="s">
        <v>22</v>
      </c>
      <c r="C1429" s="17">
        <v>45099</v>
      </c>
      <c r="D1429" s="16">
        <v>95449</v>
      </c>
      <c r="E1429" s="16">
        <v>2049</v>
      </c>
      <c r="F1429" s="18" t="s">
        <v>154</v>
      </c>
      <c r="G1429" s="16" t="s">
        <v>16</v>
      </c>
      <c r="H1429" s="16" t="s">
        <v>46</v>
      </c>
      <c r="I1429" s="16" t="s">
        <v>17</v>
      </c>
    </row>
    <row r="1430" spans="2:9" x14ac:dyDescent="0.25">
      <c r="B1430" s="16" t="s">
        <v>22</v>
      </c>
      <c r="C1430" s="17">
        <v>45099</v>
      </c>
      <c r="D1430" s="16">
        <v>95452</v>
      </c>
      <c r="E1430" s="16">
        <v>2049</v>
      </c>
      <c r="F1430" s="18" t="s">
        <v>154</v>
      </c>
      <c r="G1430" s="16" t="s">
        <v>16</v>
      </c>
      <c r="H1430" s="16" t="s">
        <v>46</v>
      </c>
      <c r="I1430" s="16" t="s">
        <v>103</v>
      </c>
    </row>
    <row r="1431" spans="2:9" x14ac:dyDescent="0.25">
      <c r="B1431" s="16" t="s">
        <v>22</v>
      </c>
      <c r="C1431" s="17">
        <v>45099</v>
      </c>
      <c r="D1431" s="16">
        <v>95450</v>
      </c>
      <c r="E1431" s="16">
        <v>2049</v>
      </c>
      <c r="F1431" s="18" t="s">
        <v>154</v>
      </c>
      <c r="G1431" s="16" t="s">
        <v>16</v>
      </c>
      <c r="H1431" s="16" t="s">
        <v>46</v>
      </c>
      <c r="I1431" s="16" t="s">
        <v>17</v>
      </c>
    </row>
    <row r="1432" spans="2:9" x14ac:dyDescent="0.25">
      <c r="B1432" s="16" t="s">
        <v>22</v>
      </c>
      <c r="C1432" s="17">
        <v>45099</v>
      </c>
      <c r="D1432" s="16">
        <v>981436</v>
      </c>
      <c r="E1432" s="16">
        <v>10263</v>
      </c>
      <c r="F1432" s="18" t="s">
        <v>34</v>
      </c>
      <c r="G1432" s="16" t="s">
        <v>16</v>
      </c>
      <c r="H1432" s="16" t="s">
        <v>186</v>
      </c>
      <c r="I1432" s="16" t="s">
        <v>17</v>
      </c>
    </row>
    <row r="1433" spans="2:9" x14ac:dyDescent="0.25">
      <c r="B1433" s="16" t="s">
        <v>22</v>
      </c>
      <c r="C1433" s="17">
        <v>45099</v>
      </c>
      <c r="D1433" s="16">
        <v>87381</v>
      </c>
      <c r="E1433" s="16">
        <v>63522</v>
      </c>
      <c r="F1433" s="18" t="s">
        <v>325</v>
      </c>
      <c r="G1433" s="16" t="s">
        <v>3</v>
      </c>
      <c r="H1433" s="16" t="s">
        <v>39</v>
      </c>
      <c r="I1433" s="16" t="s">
        <v>61</v>
      </c>
    </row>
    <row r="1434" spans="2:9" x14ac:dyDescent="0.25">
      <c r="B1434" s="16" t="s">
        <v>40</v>
      </c>
      <c r="C1434" s="17">
        <v>45099</v>
      </c>
      <c r="D1434" s="16">
        <v>87352</v>
      </c>
      <c r="E1434" s="16">
        <v>63522</v>
      </c>
      <c r="F1434" s="18" t="s">
        <v>325</v>
      </c>
      <c r="G1434" s="16" t="s">
        <v>3</v>
      </c>
      <c r="H1434" s="16" t="s">
        <v>39</v>
      </c>
      <c r="I1434" s="16" t="s">
        <v>61</v>
      </c>
    </row>
    <row r="1435" spans="2:9" x14ac:dyDescent="0.25">
      <c r="B1435" s="16" t="s">
        <v>40</v>
      </c>
      <c r="C1435" s="17">
        <v>45099</v>
      </c>
      <c r="D1435" s="16">
        <v>2846802</v>
      </c>
      <c r="E1435" s="16">
        <v>9468</v>
      </c>
      <c r="F1435" s="18" t="s">
        <v>145</v>
      </c>
      <c r="G1435" s="16" t="s">
        <v>5</v>
      </c>
      <c r="H1435" s="16" t="s">
        <v>184</v>
      </c>
      <c r="I1435" s="16" t="s">
        <v>61</v>
      </c>
    </row>
    <row r="1436" spans="2:9" x14ac:dyDescent="0.25">
      <c r="B1436" s="16" t="s">
        <v>26</v>
      </c>
      <c r="C1436" s="17">
        <v>45099</v>
      </c>
      <c r="D1436" s="16">
        <v>981494</v>
      </c>
      <c r="E1436" s="16">
        <v>10263</v>
      </c>
      <c r="F1436" s="18" t="s">
        <v>34</v>
      </c>
      <c r="G1436" s="16" t="s">
        <v>16</v>
      </c>
      <c r="H1436" s="16" t="s">
        <v>186</v>
      </c>
      <c r="I1436" s="16" t="s">
        <v>61</v>
      </c>
    </row>
    <row r="1437" spans="2:9" x14ac:dyDescent="0.25">
      <c r="B1437" s="16" t="s">
        <v>26</v>
      </c>
      <c r="C1437" s="17">
        <v>45099</v>
      </c>
      <c r="D1437" s="16">
        <v>981471</v>
      </c>
      <c r="E1437" s="16">
        <v>10263</v>
      </c>
      <c r="F1437" s="18" t="s">
        <v>34</v>
      </c>
      <c r="G1437" s="16" t="s">
        <v>16</v>
      </c>
      <c r="H1437" s="16" t="s">
        <v>186</v>
      </c>
      <c r="I1437" s="16" t="s">
        <v>61</v>
      </c>
    </row>
    <row r="1438" spans="2:9" x14ac:dyDescent="0.25">
      <c r="B1438" s="16" t="s">
        <v>22</v>
      </c>
      <c r="C1438" s="17">
        <v>45100</v>
      </c>
      <c r="D1438" s="16">
        <v>1797220</v>
      </c>
      <c r="E1438" s="16">
        <v>9480</v>
      </c>
      <c r="F1438" s="18" t="s">
        <v>147</v>
      </c>
      <c r="G1438" s="16" t="s">
        <v>5</v>
      </c>
      <c r="H1438" s="16" t="s">
        <v>28</v>
      </c>
      <c r="I1438" s="16" t="s">
        <v>73</v>
      </c>
    </row>
    <row r="1439" spans="2:9" x14ac:dyDescent="0.25">
      <c r="B1439" s="16" t="s">
        <v>22</v>
      </c>
      <c r="C1439" s="17">
        <v>45100</v>
      </c>
      <c r="D1439" s="16">
        <v>1797221</v>
      </c>
      <c r="E1439" s="16">
        <v>9480</v>
      </c>
      <c r="F1439" s="18" t="s">
        <v>147</v>
      </c>
      <c r="G1439" s="16" t="s">
        <v>5</v>
      </c>
      <c r="H1439" s="16" t="s">
        <v>28</v>
      </c>
      <c r="I1439" s="16" t="s">
        <v>73</v>
      </c>
    </row>
    <row r="1440" spans="2:9" x14ac:dyDescent="0.25">
      <c r="B1440" s="16" t="s">
        <v>22</v>
      </c>
      <c r="C1440" s="17">
        <v>45100</v>
      </c>
      <c r="D1440" s="16">
        <v>984069</v>
      </c>
      <c r="E1440" s="16">
        <v>9403</v>
      </c>
      <c r="F1440" s="18" t="s">
        <v>153</v>
      </c>
      <c r="G1440" s="16" t="s">
        <v>5</v>
      </c>
      <c r="H1440" s="16" t="s">
        <v>28</v>
      </c>
      <c r="I1440" s="16" t="s">
        <v>73</v>
      </c>
    </row>
    <row r="1441" spans="2:9" x14ac:dyDescent="0.25">
      <c r="B1441" s="16" t="s">
        <v>22</v>
      </c>
      <c r="C1441" s="17">
        <v>45100</v>
      </c>
      <c r="D1441" s="16">
        <v>984067</v>
      </c>
      <c r="E1441" s="16">
        <v>9403</v>
      </c>
      <c r="F1441" s="18" t="s">
        <v>153</v>
      </c>
      <c r="G1441" s="16" t="s">
        <v>16</v>
      </c>
      <c r="H1441" s="16" t="s">
        <v>28</v>
      </c>
      <c r="I1441" s="16" t="s">
        <v>73</v>
      </c>
    </row>
    <row r="1442" spans="2:9" x14ac:dyDescent="0.25">
      <c r="B1442" s="16" t="s">
        <v>26</v>
      </c>
      <c r="C1442" s="17">
        <v>45100</v>
      </c>
      <c r="D1442" s="16">
        <v>24016</v>
      </c>
      <c r="E1442" s="16">
        <v>11216</v>
      </c>
      <c r="F1442" s="18" t="s">
        <v>326</v>
      </c>
      <c r="G1442" s="16" t="s">
        <v>4</v>
      </c>
      <c r="H1442" s="16" t="s">
        <v>36</v>
      </c>
      <c r="I1442" s="16" t="s">
        <v>61</v>
      </c>
    </row>
    <row r="1443" spans="2:9" x14ac:dyDescent="0.25">
      <c r="B1443" s="16" t="s">
        <v>210</v>
      </c>
      <c r="C1443" s="17">
        <v>45100</v>
      </c>
      <c r="D1443" s="16">
        <v>104076</v>
      </c>
      <c r="E1443" s="16">
        <v>10489</v>
      </c>
      <c r="F1443" s="18" t="s">
        <v>278</v>
      </c>
      <c r="G1443" s="16" t="s">
        <v>3</v>
      </c>
      <c r="H1443" s="16" t="s">
        <v>300</v>
      </c>
      <c r="I1443" s="16" t="s">
        <v>301</v>
      </c>
    </row>
    <row r="1444" spans="2:9" x14ac:dyDescent="0.25">
      <c r="B1444" s="16" t="s">
        <v>210</v>
      </c>
      <c r="C1444" s="17">
        <v>45100</v>
      </c>
      <c r="D1444" s="16">
        <v>507623</v>
      </c>
      <c r="E1444" s="16">
        <v>12012</v>
      </c>
      <c r="F1444" s="18" t="s">
        <v>328</v>
      </c>
      <c r="G1444" s="16" t="s">
        <v>4</v>
      </c>
      <c r="H1444" s="16" t="s">
        <v>184</v>
      </c>
      <c r="I1444" s="16" t="s">
        <v>42</v>
      </c>
    </row>
    <row r="1445" spans="2:9" x14ac:dyDescent="0.25">
      <c r="B1445" s="16" t="s">
        <v>33</v>
      </c>
      <c r="C1445" s="17">
        <v>45100</v>
      </c>
      <c r="D1445" s="16">
        <v>95443</v>
      </c>
      <c r="E1445" s="16">
        <v>2049</v>
      </c>
      <c r="F1445" s="18" t="s">
        <v>154</v>
      </c>
      <c r="G1445" s="16" t="s">
        <v>334</v>
      </c>
      <c r="H1445" s="16" t="s">
        <v>184</v>
      </c>
      <c r="I1445" s="16" t="s">
        <v>61</v>
      </c>
    </row>
    <row r="1446" spans="2:9" x14ac:dyDescent="0.25">
      <c r="B1446" s="16" t="s">
        <v>22</v>
      </c>
      <c r="C1446" s="17">
        <v>45100</v>
      </c>
      <c r="D1446" s="16">
        <v>10449</v>
      </c>
      <c r="E1446" s="16">
        <v>71017</v>
      </c>
      <c r="F1446" s="18" t="s">
        <v>327</v>
      </c>
      <c r="G1446" s="16" t="s">
        <v>3</v>
      </c>
      <c r="H1446" s="16" t="s">
        <v>45</v>
      </c>
      <c r="I1446" s="16" t="s">
        <v>17</v>
      </c>
    </row>
    <row r="1447" spans="2:9" x14ac:dyDescent="0.25">
      <c r="B1447" s="16" t="s">
        <v>210</v>
      </c>
      <c r="C1447" s="17">
        <v>45100</v>
      </c>
      <c r="D1447" s="16">
        <v>3844488</v>
      </c>
      <c r="E1447" s="16">
        <v>3506</v>
      </c>
      <c r="F1447" s="18" t="s">
        <v>77</v>
      </c>
      <c r="G1447" s="16" t="s">
        <v>4</v>
      </c>
      <c r="H1447" s="16" t="s">
        <v>46</v>
      </c>
      <c r="I1447" s="16" t="s">
        <v>115</v>
      </c>
    </row>
    <row r="1448" spans="2:9" x14ac:dyDescent="0.25">
      <c r="B1448" s="16" t="s">
        <v>2</v>
      </c>
      <c r="C1448" s="17">
        <v>45100</v>
      </c>
      <c r="D1448" s="16">
        <v>1547800</v>
      </c>
      <c r="E1448" s="16">
        <v>9482</v>
      </c>
      <c r="F1448" s="18" t="s">
        <v>329</v>
      </c>
      <c r="G1448" s="16" t="s">
        <v>16</v>
      </c>
      <c r="H1448" s="16" t="s">
        <v>39</v>
      </c>
      <c r="I1448" s="16" t="s">
        <v>61</v>
      </c>
    </row>
    <row r="1449" spans="2:9" x14ac:dyDescent="0.25">
      <c r="B1449" s="16" t="s">
        <v>2</v>
      </c>
      <c r="C1449" s="17">
        <v>45100</v>
      </c>
      <c r="D1449" s="16">
        <v>5105640</v>
      </c>
      <c r="E1449" s="16">
        <v>15102</v>
      </c>
      <c r="F1449" s="18" t="s">
        <v>160</v>
      </c>
      <c r="G1449" s="16" t="s">
        <v>4</v>
      </c>
      <c r="H1449" s="16" t="s">
        <v>39</v>
      </c>
      <c r="I1449" s="16" t="s">
        <v>61</v>
      </c>
    </row>
    <row r="1450" spans="2:9" x14ac:dyDescent="0.25">
      <c r="B1450" s="16" t="s">
        <v>2</v>
      </c>
      <c r="C1450" s="17">
        <v>45100</v>
      </c>
      <c r="D1450" s="16">
        <v>162273</v>
      </c>
      <c r="E1450" s="16">
        <v>8281</v>
      </c>
      <c r="F1450" s="18" t="s">
        <v>321</v>
      </c>
      <c r="G1450" s="16" t="s">
        <v>54</v>
      </c>
      <c r="H1450" s="16" t="s">
        <v>54</v>
      </c>
      <c r="I1450" s="16" t="s">
        <v>61</v>
      </c>
    </row>
    <row r="1451" spans="2:9" x14ac:dyDescent="0.25">
      <c r="B1451" s="16" t="s">
        <v>22</v>
      </c>
      <c r="C1451" s="17">
        <v>45100</v>
      </c>
      <c r="D1451" s="16">
        <v>5106177</v>
      </c>
      <c r="E1451" s="16">
        <v>15102</v>
      </c>
      <c r="F1451" s="18" t="s">
        <v>160</v>
      </c>
      <c r="G1451" s="16" t="s">
        <v>3</v>
      </c>
      <c r="H1451" s="16" t="s">
        <v>184</v>
      </c>
      <c r="I1451" s="16" t="s">
        <v>17</v>
      </c>
    </row>
    <row r="1452" spans="2:9" x14ac:dyDescent="0.25">
      <c r="B1452" s="16" t="s">
        <v>40</v>
      </c>
      <c r="C1452" s="17">
        <v>45100</v>
      </c>
      <c r="D1452" s="16">
        <v>269337</v>
      </c>
      <c r="E1452" s="16">
        <v>37945</v>
      </c>
      <c r="F1452" s="18" t="s">
        <v>166</v>
      </c>
      <c r="G1452" s="16" t="s">
        <v>5</v>
      </c>
      <c r="H1452" s="16" t="s">
        <v>36</v>
      </c>
      <c r="I1452" s="16" t="s">
        <v>330</v>
      </c>
    </row>
    <row r="1453" spans="2:9" x14ac:dyDescent="0.25">
      <c r="B1453" s="16" t="s">
        <v>40</v>
      </c>
      <c r="C1453" s="17">
        <v>45100</v>
      </c>
      <c r="D1453" s="16">
        <v>213372</v>
      </c>
      <c r="E1453" s="16">
        <v>9813</v>
      </c>
      <c r="F1453" s="18" t="s">
        <v>86</v>
      </c>
      <c r="G1453" s="16" t="s">
        <v>4</v>
      </c>
      <c r="H1453" s="16" t="s">
        <v>36</v>
      </c>
      <c r="I1453" s="16" t="s">
        <v>331</v>
      </c>
    </row>
    <row r="1454" spans="2:9" x14ac:dyDescent="0.25">
      <c r="B1454" s="16" t="s">
        <v>33</v>
      </c>
      <c r="C1454" s="17">
        <v>45100</v>
      </c>
      <c r="D1454" s="16">
        <v>77325</v>
      </c>
      <c r="E1454" s="16">
        <v>64460</v>
      </c>
      <c r="F1454" s="18" t="s">
        <v>139</v>
      </c>
      <c r="G1454" s="16" t="s">
        <v>5</v>
      </c>
      <c r="H1454" s="16" t="s">
        <v>71</v>
      </c>
      <c r="I1454" s="16" t="s">
        <v>17</v>
      </c>
    </row>
    <row r="1455" spans="2:9" x14ac:dyDescent="0.25">
      <c r="B1455" s="16" t="s">
        <v>33</v>
      </c>
      <c r="C1455" s="17">
        <v>45100</v>
      </c>
      <c r="D1455" s="16">
        <v>77335</v>
      </c>
      <c r="E1455" s="16">
        <v>64460</v>
      </c>
      <c r="F1455" s="18" t="s">
        <v>139</v>
      </c>
      <c r="G1455" s="16" t="s">
        <v>5</v>
      </c>
      <c r="H1455" s="16" t="s">
        <v>71</v>
      </c>
      <c r="I1455" s="16" t="s">
        <v>17</v>
      </c>
    </row>
    <row r="1456" spans="2:9" x14ac:dyDescent="0.25">
      <c r="B1456" s="16" t="s">
        <v>33</v>
      </c>
      <c r="C1456" s="17">
        <v>45100</v>
      </c>
      <c r="D1456" s="16">
        <v>77328</v>
      </c>
      <c r="E1456" s="16">
        <v>64460</v>
      </c>
      <c r="F1456" s="18" t="s">
        <v>139</v>
      </c>
      <c r="G1456" s="16" t="s">
        <v>5</v>
      </c>
      <c r="H1456" s="16" t="s">
        <v>71</v>
      </c>
      <c r="I1456" s="16" t="s">
        <v>17</v>
      </c>
    </row>
    <row r="1457" spans="2:9" x14ac:dyDescent="0.25">
      <c r="B1457" s="16" t="s">
        <v>33</v>
      </c>
      <c r="C1457" s="17">
        <v>45100</v>
      </c>
      <c r="D1457" s="16">
        <v>269472</v>
      </c>
      <c r="E1457" s="16">
        <v>37945</v>
      </c>
      <c r="F1457" s="18" t="s">
        <v>166</v>
      </c>
      <c r="G1457" s="16" t="s">
        <v>5</v>
      </c>
      <c r="H1457" s="16" t="s">
        <v>71</v>
      </c>
      <c r="I1457" s="16" t="s">
        <v>17</v>
      </c>
    </row>
    <row r="1458" spans="2:9" x14ac:dyDescent="0.25">
      <c r="B1458" s="16" t="s">
        <v>33</v>
      </c>
      <c r="C1458" s="17">
        <v>45100</v>
      </c>
      <c r="D1458" s="16">
        <v>269471</v>
      </c>
      <c r="E1458" s="16">
        <v>37945</v>
      </c>
      <c r="F1458" s="18" t="s">
        <v>166</v>
      </c>
      <c r="G1458" s="16" t="s">
        <v>5</v>
      </c>
      <c r="H1458" s="16" t="s">
        <v>71</v>
      </c>
      <c r="I1458" s="16" t="s">
        <v>17</v>
      </c>
    </row>
    <row r="1459" spans="2:9" x14ac:dyDescent="0.25">
      <c r="B1459" s="16" t="s">
        <v>210</v>
      </c>
      <c r="C1459" s="17">
        <v>45100</v>
      </c>
      <c r="D1459" s="16">
        <v>5105635</v>
      </c>
      <c r="E1459" s="16">
        <v>15102</v>
      </c>
      <c r="F1459" s="18" t="s">
        <v>160</v>
      </c>
      <c r="G1459" s="16" t="s">
        <v>3</v>
      </c>
      <c r="H1459" s="16" t="s">
        <v>75</v>
      </c>
      <c r="I1459" s="16" t="s">
        <v>232</v>
      </c>
    </row>
    <row r="1460" spans="2:9" x14ac:dyDescent="0.25">
      <c r="B1460" s="16" t="s">
        <v>40</v>
      </c>
      <c r="C1460" s="17">
        <v>45100</v>
      </c>
      <c r="D1460" s="16">
        <v>5105616</v>
      </c>
      <c r="E1460" s="16">
        <v>15102</v>
      </c>
      <c r="F1460" s="18" t="s">
        <v>160</v>
      </c>
      <c r="G1460" s="16" t="s">
        <v>3</v>
      </c>
      <c r="H1460" s="16" t="s">
        <v>71</v>
      </c>
      <c r="I1460" s="16" t="s">
        <v>17</v>
      </c>
    </row>
    <row r="1461" spans="2:9" x14ac:dyDescent="0.25">
      <c r="B1461" s="16" t="s">
        <v>40</v>
      </c>
      <c r="C1461" s="17">
        <v>45100</v>
      </c>
      <c r="D1461" s="16">
        <v>5105620</v>
      </c>
      <c r="E1461" s="16">
        <v>15102</v>
      </c>
      <c r="F1461" s="18" t="s">
        <v>160</v>
      </c>
      <c r="G1461" s="16" t="s">
        <v>3</v>
      </c>
      <c r="H1461" s="16" t="s">
        <v>71</v>
      </c>
      <c r="I1461" s="16" t="s">
        <v>17</v>
      </c>
    </row>
    <row r="1462" spans="2:9" x14ac:dyDescent="0.25">
      <c r="B1462" s="16" t="s">
        <v>40</v>
      </c>
      <c r="C1462" s="17">
        <v>45100</v>
      </c>
      <c r="D1462" s="16">
        <v>5105622</v>
      </c>
      <c r="E1462" s="16">
        <v>15102</v>
      </c>
      <c r="F1462" s="18" t="s">
        <v>160</v>
      </c>
      <c r="G1462" s="16" t="s">
        <v>3</v>
      </c>
      <c r="H1462" s="16" t="s">
        <v>71</v>
      </c>
      <c r="I1462" s="16" t="s">
        <v>17</v>
      </c>
    </row>
    <row r="1463" spans="2:9" x14ac:dyDescent="0.25">
      <c r="B1463" s="16" t="s">
        <v>40</v>
      </c>
      <c r="C1463" s="17">
        <v>45100</v>
      </c>
      <c r="D1463" s="16">
        <v>5105619</v>
      </c>
      <c r="E1463" s="16">
        <v>15102</v>
      </c>
      <c r="F1463" s="18" t="s">
        <v>160</v>
      </c>
      <c r="G1463" s="16" t="s">
        <v>3</v>
      </c>
      <c r="H1463" s="16" t="s">
        <v>71</v>
      </c>
      <c r="I1463" s="16" t="s">
        <v>17</v>
      </c>
    </row>
    <row r="1464" spans="2:9" x14ac:dyDescent="0.25">
      <c r="B1464" s="16" t="s">
        <v>40</v>
      </c>
      <c r="C1464" s="17">
        <v>45100</v>
      </c>
      <c r="D1464" s="16">
        <v>5105617</v>
      </c>
      <c r="E1464" s="16">
        <v>15102</v>
      </c>
      <c r="F1464" s="18" t="s">
        <v>160</v>
      </c>
      <c r="G1464" s="16" t="s">
        <v>3</v>
      </c>
      <c r="H1464" s="16" t="s">
        <v>71</v>
      </c>
      <c r="I1464" s="16" t="s">
        <v>17</v>
      </c>
    </row>
    <row r="1465" spans="2:9" x14ac:dyDescent="0.25">
      <c r="B1465" s="16" t="s">
        <v>40</v>
      </c>
      <c r="C1465" s="17">
        <v>45100</v>
      </c>
      <c r="D1465" s="16">
        <v>510618</v>
      </c>
      <c r="E1465" s="16">
        <v>15102</v>
      </c>
      <c r="F1465" s="18" t="s">
        <v>160</v>
      </c>
      <c r="G1465" s="16" t="s">
        <v>3</v>
      </c>
      <c r="H1465" s="16" t="s">
        <v>71</v>
      </c>
      <c r="I1465" s="16" t="s">
        <v>17</v>
      </c>
    </row>
    <row r="1466" spans="2:9" x14ac:dyDescent="0.25">
      <c r="B1466" s="16" t="s">
        <v>40</v>
      </c>
      <c r="C1466" s="17">
        <v>45100</v>
      </c>
      <c r="D1466" s="16">
        <v>5105624</v>
      </c>
      <c r="E1466" s="16">
        <v>15102</v>
      </c>
      <c r="F1466" s="18" t="s">
        <v>160</v>
      </c>
      <c r="G1466" s="16" t="s">
        <v>3</v>
      </c>
      <c r="H1466" s="16" t="s">
        <v>71</v>
      </c>
      <c r="I1466" s="16" t="s">
        <v>17</v>
      </c>
    </row>
    <row r="1467" spans="2:9" x14ac:dyDescent="0.25">
      <c r="B1467" s="16" t="s">
        <v>22</v>
      </c>
      <c r="C1467" s="17">
        <v>45103</v>
      </c>
      <c r="D1467" s="16">
        <v>1137880</v>
      </c>
      <c r="E1467" s="16">
        <v>9516</v>
      </c>
      <c r="F1467" s="18" t="s">
        <v>110</v>
      </c>
      <c r="G1467" s="16" t="s">
        <v>54</v>
      </c>
      <c r="H1467" s="16" t="s">
        <v>184</v>
      </c>
      <c r="I1467" s="16" t="s">
        <v>61</v>
      </c>
    </row>
    <row r="1468" spans="2:9" x14ac:dyDescent="0.25">
      <c r="B1468" s="16" t="s">
        <v>40</v>
      </c>
      <c r="C1468" s="17">
        <v>45103</v>
      </c>
      <c r="D1468" s="16">
        <v>50592</v>
      </c>
      <c r="E1468" s="16">
        <v>15133</v>
      </c>
      <c r="F1468" s="18" t="s">
        <v>171</v>
      </c>
      <c r="G1468" s="16" t="s">
        <v>4</v>
      </c>
      <c r="H1468" s="16" t="s">
        <v>31</v>
      </c>
      <c r="I1468" s="16" t="s">
        <v>332</v>
      </c>
    </row>
    <row r="1469" spans="2:9" x14ac:dyDescent="0.25">
      <c r="B1469" s="16" t="s">
        <v>40</v>
      </c>
      <c r="C1469" s="17">
        <v>45103</v>
      </c>
      <c r="D1469" s="16">
        <v>983266</v>
      </c>
      <c r="E1469" s="16">
        <v>9434</v>
      </c>
      <c r="F1469" s="18" t="s">
        <v>23</v>
      </c>
      <c r="G1469" s="16" t="s">
        <v>334</v>
      </c>
      <c r="H1469" s="16" t="s">
        <v>184</v>
      </c>
      <c r="I1469" s="16" t="s">
        <v>61</v>
      </c>
    </row>
    <row r="1470" spans="2:9" x14ac:dyDescent="0.25">
      <c r="B1470" s="16" t="s">
        <v>2</v>
      </c>
      <c r="C1470" s="17">
        <v>45103</v>
      </c>
      <c r="D1470" s="16">
        <v>937680</v>
      </c>
      <c r="E1470" s="16">
        <v>15116</v>
      </c>
      <c r="F1470" s="18" t="s">
        <v>50</v>
      </c>
      <c r="G1470" s="16" t="s">
        <v>334</v>
      </c>
      <c r="H1470" s="16" t="s">
        <v>186</v>
      </c>
      <c r="I1470" s="16" t="s">
        <v>20</v>
      </c>
    </row>
    <row r="1471" spans="2:9" x14ac:dyDescent="0.25">
      <c r="B1471" s="16" t="s">
        <v>210</v>
      </c>
      <c r="C1471" s="17">
        <v>45103</v>
      </c>
      <c r="D1471" s="16">
        <v>24450</v>
      </c>
      <c r="E1471" s="16">
        <v>70485</v>
      </c>
      <c r="F1471" s="18" t="s">
        <v>101</v>
      </c>
      <c r="G1471" s="16" t="s">
        <v>4</v>
      </c>
      <c r="H1471" s="16" t="s">
        <v>75</v>
      </c>
      <c r="I1471" s="16" t="s">
        <v>61</v>
      </c>
    </row>
    <row r="1472" spans="2:9" x14ac:dyDescent="0.25">
      <c r="B1472" s="16" t="s">
        <v>26</v>
      </c>
      <c r="C1472" s="17">
        <v>45103</v>
      </c>
      <c r="D1472" s="16">
        <v>27510</v>
      </c>
      <c r="E1472" s="16">
        <v>63875</v>
      </c>
      <c r="F1472" s="18" t="s">
        <v>146</v>
      </c>
      <c r="G1472" s="16" t="s">
        <v>5</v>
      </c>
      <c r="H1472" s="16" t="s">
        <v>75</v>
      </c>
      <c r="I1472" s="16" t="s">
        <v>17</v>
      </c>
    </row>
    <row r="1473" spans="2:9" x14ac:dyDescent="0.25">
      <c r="B1473" s="16" t="s">
        <v>2</v>
      </c>
      <c r="C1473" s="17">
        <v>45103</v>
      </c>
      <c r="D1473" s="16">
        <v>1114419</v>
      </c>
      <c r="E1473" s="16">
        <v>1139</v>
      </c>
      <c r="F1473" s="18" t="s">
        <v>66</v>
      </c>
      <c r="G1473" s="16" t="s">
        <v>334</v>
      </c>
      <c r="H1473" s="16" t="s">
        <v>137</v>
      </c>
      <c r="I1473" s="16" t="s">
        <v>17</v>
      </c>
    </row>
    <row r="1474" spans="2:9" x14ac:dyDescent="0.25">
      <c r="B1474" s="16" t="s">
        <v>210</v>
      </c>
      <c r="C1474" s="17">
        <v>45103</v>
      </c>
      <c r="D1474" s="16">
        <v>161610</v>
      </c>
      <c r="E1474" s="16">
        <v>7511</v>
      </c>
      <c r="F1474" s="18" t="s">
        <v>333</v>
      </c>
      <c r="G1474" s="16" t="s">
        <v>7</v>
      </c>
      <c r="H1474" s="16" t="s">
        <v>38</v>
      </c>
      <c r="I1474" s="16" t="s">
        <v>17</v>
      </c>
    </row>
    <row r="1475" spans="2:9" x14ac:dyDescent="0.25">
      <c r="B1475" s="16" t="s">
        <v>2</v>
      </c>
      <c r="C1475" s="17">
        <v>45103</v>
      </c>
      <c r="D1475" s="16">
        <v>490859</v>
      </c>
      <c r="E1475" s="16">
        <v>9453</v>
      </c>
      <c r="F1475" s="18" t="s">
        <v>249</v>
      </c>
      <c r="G1475" s="16" t="s">
        <v>5</v>
      </c>
      <c r="H1475" s="16" t="s">
        <v>71</v>
      </c>
      <c r="I1475" s="16" t="s">
        <v>17</v>
      </c>
    </row>
    <row r="1476" spans="2:9" x14ac:dyDescent="0.25">
      <c r="B1476" s="16" t="s">
        <v>22</v>
      </c>
      <c r="C1476" s="17">
        <v>45103</v>
      </c>
      <c r="D1476" s="16">
        <v>30681</v>
      </c>
      <c r="E1476" s="16">
        <v>14349</v>
      </c>
      <c r="F1476" s="18" t="s">
        <v>307</v>
      </c>
      <c r="G1476" s="16" t="s">
        <v>5</v>
      </c>
      <c r="H1476" s="16" t="s">
        <v>46</v>
      </c>
      <c r="I1476" s="16" t="s">
        <v>17</v>
      </c>
    </row>
    <row r="1477" spans="2:9" x14ac:dyDescent="0.25">
      <c r="B1477" s="16" t="s">
        <v>33</v>
      </c>
      <c r="C1477" s="17">
        <v>45104</v>
      </c>
      <c r="D1477" s="16">
        <v>119451</v>
      </c>
      <c r="E1477" s="16">
        <v>11604</v>
      </c>
      <c r="F1477" s="18" t="s">
        <v>63</v>
      </c>
      <c r="G1477" s="16" t="s">
        <v>6</v>
      </c>
      <c r="H1477" s="16" t="s">
        <v>38</v>
      </c>
      <c r="I1477" s="16" t="s">
        <v>17</v>
      </c>
    </row>
    <row r="1478" spans="2:9" x14ac:dyDescent="0.25">
      <c r="B1478" s="16" t="s">
        <v>26</v>
      </c>
      <c r="C1478" s="17">
        <v>45104</v>
      </c>
      <c r="D1478" s="16">
        <v>1069747</v>
      </c>
      <c r="E1478" s="16">
        <v>9378</v>
      </c>
      <c r="F1478" s="18" t="s">
        <v>30</v>
      </c>
      <c r="G1478" s="16" t="s">
        <v>3</v>
      </c>
      <c r="H1478" s="16" t="s">
        <v>31</v>
      </c>
      <c r="I1478" s="16" t="s">
        <v>32</v>
      </c>
    </row>
    <row r="1479" spans="2:9" x14ac:dyDescent="0.25">
      <c r="B1479" s="16" t="s">
        <v>22</v>
      </c>
      <c r="C1479" s="17">
        <v>45104</v>
      </c>
      <c r="D1479" s="16">
        <v>1069733</v>
      </c>
      <c r="E1479" s="16">
        <v>9378</v>
      </c>
      <c r="F1479" s="18" t="s">
        <v>30</v>
      </c>
      <c r="G1479" s="16" t="s">
        <v>3</v>
      </c>
      <c r="H1479" s="16" t="s">
        <v>31</v>
      </c>
      <c r="I1479" s="16" t="s">
        <v>32</v>
      </c>
    </row>
    <row r="1480" spans="2:9" x14ac:dyDescent="0.25">
      <c r="B1480" s="16" t="s">
        <v>210</v>
      </c>
      <c r="C1480" s="17">
        <v>45104</v>
      </c>
      <c r="D1480" s="16">
        <v>1069735</v>
      </c>
      <c r="E1480" s="16">
        <v>9378</v>
      </c>
      <c r="F1480" s="18" t="s">
        <v>30</v>
      </c>
      <c r="G1480" s="16" t="s">
        <v>3</v>
      </c>
      <c r="H1480" s="16" t="s">
        <v>31</v>
      </c>
      <c r="I1480" s="16" t="s">
        <v>32</v>
      </c>
    </row>
    <row r="1481" spans="2:9" x14ac:dyDescent="0.25">
      <c r="B1481" s="16" t="s">
        <v>210</v>
      </c>
      <c r="C1481" s="17">
        <v>45104</v>
      </c>
      <c r="D1481" s="16">
        <v>1069738</v>
      </c>
      <c r="E1481" s="16">
        <v>9378</v>
      </c>
      <c r="F1481" s="18" t="s">
        <v>30</v>
      </c>
      <c r="G1481" s="16" t="s">
        <v>3</v>
      </c>
      <c r="H1481" s="16" t="s">
        <v>49</v>
      </c>
      <c r="I1481" s="16" t="s">
        <v>17</v>
      </c>
    </row>
    <row r="1482" spans="2:9" x14ac:dyDescent="0.25">
      <c r="B1482" s="16" t="s">
        <v>210</v>
      </c>
      <c r="C1482" s="17">
        <v>45104</v>
      </c>
      <c r="D1482" s="16">
        <v>58728</v>
      </c>
      <c r="E1482" s="16">
        <v>11787</v>
      </c>
      <c r="F1482" s="18" t="s">
        <v>244</v>
      </c>
      <c r="G1482" s="16" t="s">
        <v>334</v>
      </c>
      <c r="H1482" s="16" t="s">
        <v>39</v>
      </c>
      <c r="I1482" s="16" t="s">
        <v>192</v>
      </c>
    </row>
    <row r="1483" spans="2:9" x14ac:dyDescent="0.25">
      <c r="B1483" s="16" t="s">
        <v>210</v>
      </c>
      <c r="C1483" s="17">
        <v>45104</v>
      </c>
      <c r="D1483" s="16">
        <v>58727</v>
      </c>
      <c r="E1483" s="16">
        <v>11787</v>
      </c>
      <c r="F1483" s="18" t="s">
        <v>244</v>
      </c>
      <c r="G1483" s="16" t="s">
        <v>334</v>
      </c>
      <c r="H1483" s="16" t="s">
        <v>39</v>
      </c>
      <c r="I1483" s="16" t="s">
        <v>192</v>
      </c>
    </row>
    <row r="1484" spans="2:9" x14ac:dyDescent="0.25">
      <c r="B1484" s="16" t="s">
        <v>26</v>
      </c>
      <c r="C1484" s="17">
        <v>45104</v>
      </c>
      <c r="D1484" s="16">
        <v>78080</v>
      </c>
      <c r="E1484" s="16">
        <v>64460</v>
      </c>
      <c r="F1484" s="18" t="s">
        <v>139</v>
      </c>
      <c r="G1484" s="16" t="s">
        <v>6</v>
      </c>
      <c r="H1484" s="16" t="s">
        <v>28</v>
      </c>
      <c r="I1484" s="16" t="s">
        <v>17</v>
      </c>
    </row>
    <row r="1485" spans="2:9" x14ac:dyDescent="0.25">
      <c r="B1485" s="16" t="s">
        <v>40</v>
      </c>
      <c r="C1485" s="17">
        <v>45104</v>
      </c>
      <c r="D1485" s="16">
        <v>5109609</v>
      </c>
      <c r="E1485" s="16">
        <v>15102</v>
      </c>
      <c r="F1485" s="18" t="s">
        <v>160</v>
      </c>
      <c r="G1485" s="16" t="s">
        <v>3</v>
      </c>
      <c r="H1485" s="16" t="s">
        <v>39</v>
      </c>
      <c r="I1485" s="16" t="s">
        <v>192</v>
      </c>
    </row>
    <row r="1486" spans="2:9" x14ac:dyDescent="0.25">
      <c r="B1486" s="16" t="s">
        <v>22</v>
      </c>
      <c r="C1486" s="17">
        <v>45104</v>
      </c>
      <c r="D1486" s="16">
        <v>30681</v>
      </c>
      <c r="E1486" s="16">
        <v>14349</v>
      </c>
      <c r="F1486" s="18" t="s">
        <v>307</v>
      </c>
      <c r="G1486" s="16" t="s">
        <v>5</v>
      </c>
      <c r="H1486" s="16" t="s">
        <v>28</v>
      </c>
      <c r="I1486" s="16" t="s">
        <v>17</v>
      </c>
    </row>
    <row r="1487" spans="2:9" x14ac:dyDescent="0.25">
      <c r="B1487" s="16" t="s">
        <v>210</v>
      </c>
      <c r="C1487" s="17">
        <v>45104</v>
      </c>
      <c r="D1487" s="16">
        <v>12185</v>
      </c>
      <c r="E1487" s="16">
        <v>71066</v>
      </c>
      <c r="F1487" s="18" t="s">
        <v>127</v>
      </c>
      <c r="G1487" s="16" t="s">
        <v>4</v>
      </c>
      <c r="H1487" s="16" t="s">
        <v>186</v>
      </c>
      <c r="I1487" s="16" t="s">
        <v>192</v>
      </c>
    </row>
    <row r="1488" spans="2:9" x14ac:dyDescent="0.25">
      <c r="B1488" s="16" t="s">
        <v>2</v>
      </c>
      <c r="C1488" s="17">
        <v>45104</v>
      </c>
      <c r="D1488" s="16">
        <v>938173</v>
      </c>
      <c r="E1488" s="16">
        <v>15116</v>
      </c>
      <c r="F1488" s="18" t="s">
        <v>50</v>
      </c>
      <c r="G1488" s="16" t="s">
        <v>334</v>
      </c>
      <c r="H1488" s="16" t="s">
        <v>71</v>
      </c>
      <c r="I1488" s="16" t="s">
        <v>17</v>
      </c>
    </row>
    <row r="1489" spans="2:9" x14ac:dyDescent="0.25">
      <c r="B1489" s="16" t="s">
        <v>2</v>
      </c>
      <c r="C1489" s="17">
        <v>45104</v>
      </c>
      <c r="D1489" s="16">
        <v>937681</v>
      </c>
      <c r="E1489" s="16">
        <v>15116</v>
      </c>
      <c r="F1489" s="18" t="s">
        <v>50</v>
      </c>
      <c r="G1489" s="16" t="s">
        <v>334</v>
      </c>
      <c r="H1489" s="16" t="s">
        <v>71</v>
      </c>
      <c r="I1489" s="16" t="s">
        <v>17</v>
      </c>
    </row>
    <row r="1490" spans="2:9" x14ac:dyDescent="0.25">
      <c r="B1490" s="16" t="s">
        <v>2</v>
      </c>
      <c r="C1490" s="17">
        <v>45104</v>
      </c>
      <c r="D1490" s="16">
        <v>4567</v>
      </c>
      <c r="E1490" s="16">
        <v>4567</v>
      </c>
      <c r="F1490" s="18" t="s">
        <v>336</v>
      </c>
      <c r="G1490" s="16" t="s">
        <v>7</v>
      </c>
      <c r="H1490" s="16" t="s">
        <v>38</v>
      </c>
      <c r="I1490" s="16" t="s">
        <v>17</v>
      </c>
    </row>
    <row r="1491" spans="2:9" x14ac:dyDescent="0.25">
      <c r="B1491" s="16" t="s">
        <v>2</v>
      </c>
      <c r="C1491" s="17">
        <v>45104</v>
      </c>
      <c r="D1491" s="16">
        <v>983800</v>
      </c>
      <c r="E1491" s="16">
        <v>10263</v>
      </c>
      <c r="F1491" s="18" t="s">
        <v>34</v>
      </c>
      <c r="G1491" s="16" t="s">
        <v>16</v>
      </c>
      <c r="H1491" s="16" t="s">
        <v>186</v>
      </c>
      <c r="I1491" s="16" t="s">
        <v>192</v>
      </c>
    </row>
    <row r="1492" spans="2:9" x14ac:dyDescent="0.25">
      <c r="B1492" s="16" t="s">
        <v>26</v>
      </c>
      <c r="C1492" s="17">
        <v>45105</v>
      </c>
      <c r="D1492" s="16">
        <v>271049</v>
      </c>
      <c r="E1492" s="16">
        <v>37945</v>
      </c>
      <c r="F1492" s="18" t="s">
        <v>166</v>
      </c>
      <c r="G1492" s="16" t="s">
        <v>5</v>
      </c>
      <c r="H1492" s="16" t="s">
        <v>28</v>
      </c>
      <c r="I1492" s="16" t="s">
        <v>61</v>
      </c>
    </row>
    <row r="1493" spans="2:9" x14ac:dyDescent="0.25">
      <c r="B1493" s="16" t="s">
        <v>26</v>
      </c>
      <c r="C1493" s="17">
        <v>45105</v>
      </c>
      <c r="D1493" s="16">
        <v>271048</v>
      </c>
      <c r="E1493" s="16">
        <v>37945</v>
      </c>
      <c r="F1493" s="18" t="s">
        <v>166</v>
      </c>
      <c r="G1493" s="16" t="s">
        <v>5</v>
      </c>
      <c r="H1493" s="16" t="s">
        <v>28</v>
      </c>
      <c r="I1493" s="16" t="s">
        <v>61</v>
      </c>
    </row>
    <row r="1494" spans="2:9" x14ac:dyDescent="0.25">
      <c r="B1494" s="16" t="s">
        <v>26</v>
      </c>
      <c r="C1494" s="17">
        <v>45105</v>
      </c>
      <c r="D1494" s="16">
        <v>271047</v>
      </c>
      <c r="E1494" s="16">
        <v>37945</v>
      </c>
      <c r="F1494" s="18" t="s">
        <v>166</v>
      </c>
      <c r="G1494" s="16" t="s">
        <v>5</v>
      </c>
      <c r="H1494" s="16" t="s">
        <v>28</v>
      </c>
      <c r="I1494" s="16" t="s">
        <v>61</v>
      </c>
    </row>
    <row r="1495" spans="2:9" x14ac:dyDescent="0.25">
      <c r="B1495" s="16" t="s">
        <v>26</v>
      </c>
      <c r="C1495" s="17">
        <v>45105</v>
      </c>
      <c r="D1495" s="16">
        <v>271050</v>
      </c>
      <c r="E1495" s="16">
        <v>37945</v>
      </c>
      <c r="F1495" s="18" t="s">
        <v>166</v>
      </c>
      <c r="G1495" s="16" t="s">
        <v>5</v>
      </c>
      <c r="H1495" s="16" t="s">
        <v>28</v>
      </c>
      <c r="I1495" s="16" t="s">
        <v>61</v>
      </c>
    </row>
    <row r="1496" spans="2:9" x14ac:dyDescent="0.25">
      <c r="B1496" s="16" t="s">
        <v>26</v>
      </c>
      <c r="C1496" s="17">
        <v>45105</v>
      </c>
      <c r="D1496" s="16">
        <v>169114</v>
      </c>
      <c r="E1496" s="16">
        <v>10440</v>
      </c>
      <c r="F1496" s="18" t="s">
        <v>37</v>
      </c>
      <c r="G1496" s="16" t="s">
        <v>334</v>
      </c>
      <c r="H1496" s="16" t="s">
        <v>186</v>
      </c>
      <c r="I1496" s="16" t="s">
        <v>61</v>
      </c>
    </row>
    <row r="1497" spans="2:9" x14ac:dyDescent="0.25">
      <c r="B1497" s="16" t="s">
        <v>33</v>
      </c>
      <c r="C1497" s="17">
        <v>45105</v>
      </c>
      <c r="D1497" s="16">
        <v>271361</v>
      </c>
      <c r="E1497" s="16">
        <v>37945</v>
      </c>
      <c r="F1497" s="18" t="s">
        <v>166</v>
      </c>
      <c r="G1497" s="16" t="s">
        <v>5</v>
      </c>
      <c r="H1497" s="16" t="s">
        <v>184</v>
      </c>
      <c r="I1497" s="16" t="s">
        <v>61</v>
      </c>
    </row>
    <row r="1498" spans="2:9" x14ac:dyDescent="0.25">
      <c r="B1498" s="16" t="s">
        <v>33</v>
      </c>
      <c r="C1498" s="17">
        <v>45105</v>
      </c>
      <c r="D1498" s="16">
        <v>239008</v>
      </c>
      <c r="E1498" s="16">
        <v>1175</v>
      </c>
      <c r="F1498" s="18" t="s">
        <v>81</v>
      </c>
      <c r="G1498" s="16" t="s">
        <v>7</v>
      </c>
      <c r="H1498" s="16" t="s">
        <v>38</v>
      </c>
      <c r="I1498" s="16" t="s">
        <v>17</v>
      </c>
    </row>
    <row r="1499" spans="2:9" x14ac:dyDescent="0.25">
      <c r="B1499" s="16" t="s">
        <v>210</v>
      </c>
      <c r="C1499" s="17">
        <v>45105</v>
      </c>
      <c r="D1499" s="16">
        <v>110661</v>
      </c>
      <c r="E1499" s="16">
        <v>8842</v>
      </c>
      <c r="F1499" s="18" t="s">
        <v>264</v>
      </c>
      <c r="G1499" s="16" t="s">
        <v>7</v>
      </c>
      <c r="H1499" s="16" t="s">
        <v>38</v>
      </c>
      <c r="I1499" s="16" t="s">
        <v>17</v>
      </c>
    </row>
    <row r="1500" spans="2:9" x14ac:dyDescent="0.25">
      <c r="B1500" s="16" t="s">
        <v>210</v>
      </c>
      <c r="C1500" s="17">
        <v>45105</v>
      </c>
      <c r="D1500" s="16">
        <v>58728</v>
      </c>
      <c r="E1500" s="16">
        <v>11787</v>
      </c>
      <c r="F1500" s="18" t="s">
        <v>244</v>
      </c>
      <c r="G1500" s="16" t="s">
        <v>334</v>
      </c>
      <c r="H1500" s="16" t="s">
        <v>186</v>
      </c>
      <c r="I1500" s="16" t="s">
        <v>103</v>
      </c>
    </row>
    <row r="1501" spans="2:9" x14ac:dyDescent="0.25">
      <c r="B1501" s="16" t="s">
        <v>22</v>
      </c>
      <c r="C1501" s="17">
        <v>45105</v>
      </c>
      <c r="D1501" s="16">
        <v>202039</v>
      </c>
      <c r="E1501" s="16">
        <v>1100</v>
      </c>
      <c r="F1501" s="18" t="s">
        <v>152</v>
      </c>
      <c r="G1501" s="16" t="s">
        <v>5</v>
      </c>
      <c r="H1501" s="16" t="s">
        <v>89</v>
      </c>
      <c r="I1501" s="16" t="s">
        <v>17</v>
      </c>
    </row>
    <row r="1502" spans="2:9" x14ac:dyDescent="0.25">
      <c r="B1502" s="16" t="s">
        <v>22</v>
      </c>
      <c r="C1502" s="17">
        <v>45105</v>
      </c>
      <c r="D1502" s="16">
        <v>26286</v>
      </c>
      <c r="E1502" s="16">
        <v>11840</v>
      </c>
      <c r="F1502" s="18" t="s">
        <v>129</v>
      </c>
      <c r="G1502" s="16" t="s">
        <v>6</v>
      </c>
      <c r="H1502" s="16" t="s">
        <v>28</v>
      </c>
      <c r="I1502" s="16" t="s">
        <v>61</v>
      </c>
    </row>
    <row r="1503" spans="2:9" x14ac:dyDescent="0.25">
      <c r="B1503" s="16" t="s">
        <v>210</v>
      </c>
      <c r="C1503" s="17">
        <v>45105</v>
      </c>
      <c r="D1503" s="16">
        <v>185587</v>
      </c>
      <c r="E1503" s="16">
        <v>9398</v>
      </c>
      <c r="F1503" s="18" t="s">
        <v>65</v>
      </c>
      <c r="G1503" s="16" t="s">
        <v>16</v>
      </c>
      <c r="H1503" s="16" t="s">
        <v>184</v>
      </c>
      <c r="I1503" s="16" t="s">
        <v>59</v>
      </c>
    </row>
    <row r="1504" spans="2:9" x14ac:dyDescent="0.25">
      <c r="B1504" s="16" t="s">
        <v>210</v>
      </c>
      <c r="C1504" s="17">
        <v>45105</v>
      </c>
      <c r="D1504" s="16">
        <v>18588</v>
      </c>
      <c r="E1504" s="16">
        <v>9398</v>
      </c>
      <c r="F1504" s="18" t="s">
        <v>65</v>
      </c>
      <c r="G1504" s="16" t="s">
        <v>16</v>
      </c>
      <c r="H1504" s="16" t="s">
        <v>184</v>
      </c>
      <c r="I1504" s="16" t="s">
        <v>59</v>
      </c>
    </row>
    <row r="1505" spans="2:9" x14ac:dyDescent="0.25">
      <c r="B1505" s="16" t="s">
        <v>2</v>
      </c>
      <c r="C1505" s="17">
        <v>45105</v>
      </c>
      <c r="D1505" s="16">
        <v>185217</v>
      </c>
      <c r="E1505" s="16">
        <v>9398</v>
      </c>
      <c r="F1505" s="18" t="s">
        <v>65</v>
      </c>
      <c r="G1505" s="16" t="s">
        <v>16</v>
      </c>
      <c r="H1505" s="16" t="s">
        <v>49</v>
      </c>
      <c r="I1505" s="16" t="s">
        <v>103</v>
      </c>
    </row>
    <row r="1506" spans="2:9" x14ac:dyDescent="0.25">
      <c r="B1506" s="16" t="s">
        <v>2</v>
      </c>
      <c r="C1506" s="17">
        <v>45105</v>
      </c>
      <c r="D1506" s="16">
        <v>983981</v>
      </c>
      <c r="E1506" s="16">
        <v>9434</v>
      </c>
      <c r="F1506" s="18" t="s">
        <v>23</v>
      </c>
      <c r="G1506" s="16" t="s">
        <v>16</v>
      </c>
      <c r="H1506" s="16" t="s">
        <v>39</v>
      </c>
      <c r="I1506" s="16" t="s">
        <v>59</v>
      </c>
    </row>
    <row r="1507" spans="2:9" x14ac:dyDescent="0.25">
      <c r="B1507" s="16" t="s">
        <v>26</v>
      </c>
      <c r="C1507" s="17">
        <v>45106</v>
      </c>
      <c r="D1507" s="16">
        <v>16769</v>
      </c>
      <c r="E1507" s="16">
        <v>4381</v>
      </c>
      <c r="F1507" s="18" t="s">
        <v>337</v>
      </c>
      <c r="G1507" s="16" t="s">
        <v>3</v>
      </c>
      <c r="H1507" s="16" t="s">
        <v>28</v>
      </c>
      <c r="I1507" s="16" t="s">
        <v>73</v>
      </c>
    </row>
    <row r="1508" spans="2:9" x14ac:dyDescent="0.25">
      <c r="B1508" s="16" t="s">
        <v>26</v>
      </c>
      <c r="C1508" s="17">
        <v>45106</v>
      </c>
      <c r="D1508" s="16">
        <v>271047</v>
      </c>
      <c r="E1508" s="16">
        <v>37945</v>
      </c>
      <c r="F1508" s="18" t="s">
        <v>166</v>
      </c>
      <c r="G1508" s="16" t="s">
        <v>5</v>
      </c>
      <c r="H1508" s="16" t="s">
        <v>39</v>
      </c>
      <c r="I1508" s="16" t="s">
        <v>61</v>
      </c>
    </row>
    <row r="1509" spans="2:9" x14ac:dyDescent="0.25">
      <c r="B1509" s="16" t="s">
        <v>26</v>
      </c>
      <c r="C1509" s="17">
        <v>45106</v>
      </c>
      <c r="D1509" s="16">
        <v>986282</v>
      </c>
      <c r="E1509" s="16">
        <v>10263</v>
      </c>
      <c r="F1509" s="18" t="s">
        <v>34</v>
      </c>
      <c r="G1509" s="16" t="s">
        <v>16</v>
      </c>
      <c r="H1509" s="16" t="s">
        <v>39</v>
      </c>
      <c r="I1509" s="16" t="s">
        <v>17</v>
      </c>
    </row>
    <row r="1510" spans="2:9" x14ac:dyDescent="0.25">
      <c r="B1510" s="16" t="s">
        <v>2</v>
      </c>
      <c r="C1510" s="17">
        <v>45106</v>
      </c>
      <c r="D1510" s="16">
        <v>169699</v>
      </c>
      <c r="E1510" s="16">
        <v>10440</v>
      </c>
      <c r="F1510" s="18" t="s">
        <v>37</v>
      </c>
      <c r="G1510" s="16" t="s">
        <v>4</v>
      </c>
      <c r="H1510" s="16" t="s">
        <v>39</v>
      </c>
      <c r="I1510" s="16" t="s">
        <v>61</v>
      </c>
    </row>
    <row r="1511" spans="2:9" x14ac:dyDescent="0.25">
      <c r="B1511" s="16" t="s">
        <v>40</v>
      </c>
      <c r="C1511" s="17">
        <v>45106</v>
      </c>
      <c r="D1511" s="16">
        <v>119531</v>
      </c>
      <c r="E1511" s="16">
        <v>11604</v>
      </c>
      <c r="F1511" s="18" t="s">
        <v>63</v>
      </c>
      <c r="G1511" s="16" t="s">
        <v>262</v>
      </c>
      <c r="H1511" s="16" t="s">
        <v>38</v>
      </c>
      <c r="I1511" s="16" t="s">
        <v>103</v>
      </c>
    </row>
    <row r="1512" spans="2:9" x14ac:dyDescent="0.25">
      <c r="B1512" s="16" t="s">
        <v>33</v>
      </c>
      <c r="C1512" s="17">
        <v>45106</v>
      </c>
      <c r="D1512" s="16">
        <v>21678</v>
      </c>
      <c r="E1512" s="16">
        <v>2740</v>
      </c>
      <c r="F1512" s="18" t="s">
        <v>206</v>
      </c>
      <c r="G1512" s="16" t="s">
        <v>334</v>
      </c>
      <c r="H1512" s="16" t="s">
        <v>36</v>
      </c>
      <c r="I1512" s="16" t="s">
        <v>61</v>
      </c>
    </row>
    <row r="1513" spans="2:9" x14ac:dyDescent="0.25">
      <c r="B1513" s="16" t="s">
        <v>210</v>
      </c>
      <c r="C1513" s="17">
        <v>45106</v>
      </c>
      <c r="D1513" s="16">
        <v>42950</v>
      </c>
      <c r="E1513" s="16">
        <v>63846</v>
      </c>
      <c r="F1513" s="18" t="s">
        <v>271</v>
      </c>
      <c r="G1513" s="16" t="s">
        <v>3</v>
      </c>
      <c r="H1513" s="16" t="s">
        <v>184</v>
      </c>
      <c r="I1513" s="16" t="s">
        <v>61</v>
      </c>
    </row>
    <row r="1514" spans="2:9" x14ac:dyDescent="0.25">
      <c r="B1514" s="16" t="s">
        <v>210</v>
      </c>
      <c r="C1514" s="17">
        <v>45106</v>
      </c>
      <c r="D1514" s="16">
        <v>986154</v>
      </c>
      <c r="E1514" s="16">
        <v>10263</v>
      </c>
      <c r="F1514" s="18" t="s">
        <v>34</v>
      </c>
      <c r="G1514" s="16" t="s">
        <v>16</v>
      </c>
      <c r="H1514" s="16" t="s">
        <v>49</v>
      </c>
      <c r="I1514" s="16" t="s">
        <v>103</v>
      </c>
    </row>
    <row r="1515" spans="2:9" x14ac:dyDescent="0.25">
      <c r="B1515" s="16" t="s">
        <v>22</v>
      </c>
      <c r="C1515" s="17">
        <v>45106</v>
      </c>
      <c r="D1515" s="16">
        <v>985945</v>
      </c>
      <c r="E1515" s="16">
        <v>10263</v>
      </c>
      <c r="F1515" s="18" t="s">
        <v>34</v>
      </c>
      <c r="G1515" s="16" t="s">
        <v>16</v>
      </c>
      <c r="H1515" s="16" t="s">
        <v>49</v>
      </c>
      <c r="I1515" s="16" t="s">
        <v>17</v>
      </c>
    </row>
    <row r="1516" spans="2:9" x14ac:dyDescent="0.25">
      <c r="B1516" s="16" t="s">
        <v>22</v>
      </c>
      <c r="C1516" s="17">
        <v>45106</v>
      </c>
      <c r="D1516" s="16">
        <v>985978</v>
      </c>
      <c r="E1516" s="16">
        <v>10263</v>
      </c>
      <c r="F1516" s="18" t="s">
        <v>34</v>
      </c>
      <c r="G1516" s="16" t="s">
        <v>16</v>
      </c>
      <c r="H1516" s="16" t="s">
        <v>49</v>
      </c>
      <c r="I1516" s="16" t="s">
        <v>17</v>
      </c>
    </row>
    <row r="1517" spans="2:9" x14ac:dyDescent="0.25">
      <c r="B1517" s="16" t="s">
        <v>22</v>
      </c>
      <c r="C1517" s="17">
        <v>45106</v>
      </c>
      <c r="D1517" s="16">
        <v>985971</v>
      </c>
      <c r="E1517" s="16">
        <v>10263</v>
      </c>
      <c r="F1517" s="18" t="s">
        <v>34</v>
      </c>
      <c r="G1517" s="16" t="s">
        <v>16</v>
      </c>
      <c r="H1517" s="16" t="s">
        <v>49</v>
      </c>
      <c r="I1517" s="16" t="s">
        <v>17</v>
      </c>
    </row>
    <row r="1518" spans="2:9" x14ac:dyDescent="0.25">
      <c r="B1518" s="16" t="s">
        <v>22</v>
      </c>
      <c r="C1518" s="17">
        <v>45106</v>
      </c>
      <c r="D1518" s="16">
        <v>985943</v>
      </c>
      <c r="E1518" s="16">
        <v>10263</v>
      </c>
      <c r="F1518" s="18" t="s">
        <v>34</v>
      </c>
      <c r="G1518" s="16" t="s">
        <v>16</v>
      </c>
      <c r="H1518" s="16" t="s">
        <v>49</v>
      </c>
      <c r="I1518" s="16" t="s">
        <v>17</v>
      </c>
    </row>
    <row r="1519" spans="2:9" x14ac:dyDescent="0.25">
      <c r="B1519" s="16" t="s">
        <v>22</v>
      </c>
      <c r="C1519" s="17">
        <v>45106</v>
      </c>
      <c r="D1519" s="16">
        <v>985930</v>
      </c>
      <c r="E1519" s="16">
        <v>10263</v>
      </c>
      <c r="F1519" s="18" t="s">
        <v>34</v>
      </c>
      <c r="G1519" s="16" t="s">
        <v>16</v>
      </c>
      <c r="H1519" s="16" t="s">
        <v>49</v>
      </c>
      <c r="I1519" s="16" t="s">
        <v>17</v>
      </c>
    </row>
    <row r="1520" spans="2:9" x14ac:dyDescent="0.25">
      <c r="B1520" s="16" t="s">
        <v>26</v>
      </c>
      <c r="C1520" s="17">
        <v>45106</v>
      </c>
      <c r="D1520" s="16">
        <v>986226</v>
      </c>
      <c r="E1520" s="16">
        <v>10263</v>
      </c>
      <c r="F1520" s="18" t="s">
        <v>34</v>
      </c>
      <c r="G1520" s="16" t="s">
        <v>16</v>
      </c>
      <c r="H1520" s="16" t="s">
        <v>49</v>
      </c>
      <c r="I1520" s="16" t="s">
        <v>17</v>
      </c>
    </row>
    <row r="1521" spans="2:9" x14ac:dyDescent="0.25">
      <c r="B1521" s="16" t="s">
        <v>26</v>
      </c>
      <c r="C1521" s="17">
        <v>45106</v>
      </c>
      <c r="D1521" s="16">
        <v>986260</v>
      </c>
      <c r="E1521" s="16">
        <v>10263</v>
      </c>
      <c r="F1521" s="18" t="s">
        <v>34</v>
      </c>
      <c r="G1521" s="16" t="s">
        <v>16</v>
      </c>
      <c r="H1521" s="16" t="s">
        <v>49</v>
      </c>
      <c r="I1521" s="16" t="s">
        <v>17</v>
      </c>
    </row>
    <row r="1522" spans="2:9" x14ac:dyDescent="0.25">
      <c r="B1522" s="16" t="s">
        <v>210</v>
      </c>
      <c r="C1522" s="17">
        <v>45106</v>
      </c>
      <c r="D1522" s="16">
        <v>22541</v>
      </c>
      <c r="E1522" s="16">
        <v>10512</v>
      </c>
      <c r="F1522" s="18" t="s">
        <v>252</v>
      </c>
      <c r="G1522" s="16" t="s">
        <v>4</v>
      </c>
      <c r="H1522" s="16" t="s">
        <v>75</v>
      </c>
      <c r="I1522" s="16" t="s">
        <v>42</v>
      </c>
    </row>
    <row r="1523" spans="2:9" x14ac:dyDescent="0.25">
      <c r="B1523" s="16" t="s">
        <v>33</v>
      </c>
      <c r="C1523" s="17">
        <v>45106</v>
      </c>
      <c r="D1523" s="16">
        <v>985840</v>
      </c>
      <c r="E1523" s="16">
        <v>10263</v>
      </c>
      <c r="F1523" s="18" t="s">
        <v>34</v>
      </c>
      <c r="G1523" s="16" t="s">
        <v>16</v>
      </c>
      <c r="H1523" s="16" t="s">
        <v>49</v>
      </c>
      <c r="I1523" s="16" t="s">
        <v>103</v>
      </c>
    </row>
    <row r="1524" spans="2:9" x14ac:dyDescent="0.25">
      <c r="B1524" s="16" t="s">
        <v>33</v>
      </c>
      <c r="C1524" s="17">
        <v>45106</v>
      </c>
      <c r="D1524" s="16">
        <v>985830</v>
      </c>
      <c r="E1524" s="16">
        <v>10263</v>
      </c>
      <c r="F1524" s="18" t="s">
        <v>34</v>
      </c>
      <c r="G1524" s="16" t="s">
        <v>16</v>
      </c>
      <c r="H1524" s="16" t="s">
        <v>49</v>
      </c>
      <c r="I1524" s="16" t="s">
        <v>103</v>
      </c>
    </row>
    <row r="1525" spans="2:9" x14ac:dyDescent="0.25">
      <c r="B1525" s="16" t="s">
        <v>210</v>
      </c>
      <c r="C1525" s="17">
        <v>45108</v>
      </c>
      <c r="D1525" s="16">
        <v>693306</v>
      </c>
      <c r="E1525" s="16">
        <v>9526</v>
      </c>
      <c r="F1525" s="18" t="s">
        <v>79</v>
      </c>
      <c r="G1525" s="16" t="s">
        <v>5</v>
      </c>
      <c r="H1525" s="16" t="s">
        <v>186</v>
      </c>
      <c r="I1525" s="16" t="s">
        <v>120</v>
      </c>
    </row>
    <row r="1526" spans="2:9" x14ac:dyDescent="0.25">
      <c r="B1526" s="16" t="s">
        <v>210</v>
      </c>
      <c r="C1526" s="17">
        <v>45110</v>
      </c>
      <c r="D1526" s="16">
        <v>225077</v>
      </c>
      <c r="E1526" s="16">
        <v>9456</v>
      </c>
      <c r="F1526" s="18" t="s">
        <v>113</v>
      </c>
      <c r="G1526" s="16" t="s">
        <v>3</v>
      </c>
      <c r="H1526" s="16" t="s">
        <v>36</v>
      </c>
      <c r="I1526" s="16" t="s">
        <v>120</v>
      </c>
    </row>
    <row r="1527" spans="2:9" x14ac:dyDescent="0.25">
      <c r="B1527" s="16" t="s">
        <v>33</v>
      </c>
      <c r="C1527" s="17">
        <v>45110</v>
      </c>
      <c r="D1527" s="16">
        <v>239337</v>
      </c>
      <c r="E1527" s="16">
        <v>1175</v>
      </c>
      <c r="F1527" s="18" t="s">
        <v>81</v>
      </c>
      <c r="G1527" s="16" t="s">
        <v>7</v>
      </c>
      <c r="H1527" s="16" t="s">
        <v>38</v>
      </c>
      <c r="I1527" s="16" t="s">
        <v>17</v>
      </c>
    </row>
    <row r="1528" spans="2:9" x14ac:dyDescent="0.25">
      <c r="B1528" s="16" t="s">
        <v>2</v>
      </c>
      <c r="C1528" s="17">
        <v>45110</v>
      </c>
      <c r="D1528" s="16">
        <v>1803072</v>
      </c>
      <c r="E1528" s="16">
        <v>1015</v>
      </c>
      <c r="F1528" s="18" t="s">
        <v>134</v>
      </c>
      <c r="G1528" s="16" t="s">
        <v>4</v>
      </c>
      <c r="H1528" s="16" t="s">
        <v>54</v>
      </c>
      <c r="I1528" s="16" t="s">
        <v>61</v>
      </c>
    </row>
    <row r="1529" spans="2:9" x14ac:dyDescent="0.25">
      <c r="B1529" s="16" t="s">
        <v>40</v>
      </c>
      <c r="C1529" s="17">
        <v>45110</v>
      </c>
      <c r="D1529" s="16">
        <v>510842</v>
      </c>
      <c r="E1529" s="16">
        <v>12012</v>
      </c>
      <c r="F1529" s="18" t="s">
        <v>328</v>
      </c>
      <c r="G1529" s="16" t="s">
        <v>4</v>
      </c>
      <c r="H1529" s="16" t="s">
        <v>38</v>
      </c>
      <c r="I1529" s="16" t="s">
        <v>42</v>
      </c>
    </row>
    <row r="1530" spans="2:9" x14ac:dyDescent="0.25">
      <c r="B1530" s="16" t="s">
        <v>40</v>
      </c>
      <c r="C1530" s="17">
        <v>45110</v>
      </c>
      <c r="D1530" s="16">
        <v>510843</v>
      </c>
      <c r="E1530" s="16">
        <v>12012</v>
      </c>
      <c r="F1530" s="18" t="s">
        <v>328</v>
      </c>
      <c r="G1530" s="16" t="s">
        <v>4</v>
      </c>
      <c r="H1530" s="16" t="s">
        <v>38</v>
      </c>
      <c r="I1530" s="16" t="s">
        <v>42</v>
      </c>
    </row>
    <row r="1531" spans="2:9" x14ac:dyDescent="0.25">
      <c r="B1531" s="16" t="s">
        <v>2</v>
      </c>
      <c r="C1531" s="17">
        <v>45110</v>
      </c>
      <c r="D1531" s="16">
        <v>7503</v>
      </c>
      <c r="E1531" s="16">
        <v>63097</v>
      </c>
      <c r="F1531" s="18" t="s">
        <v>316</v>
      </c>
      <c r="G1531" s="16" t="s">
        <v>7</v>
      </c>
      <c r="H1531" s="16" t="s">
        <v>114</v>
      </c>
      <c r="I1531" s="16" t="s">
        <v>17</v>
      </c>
    </row>
    <row r="1532" spans="2:9" x14ac:dyDescent="0.25">
      <c r="B1532" s="16" t="s">
        <v>40</v>
      </c>
      <c r="C1532" s="17">
        <v>45110</v>
      </c>
      <c r="D1532" s="16">
        <v>66166</v>
      </c>
      <c r="E1532" s="16">
        <v>5346</v>
      </c>
      <c r="F1532" s="18" t="s">
        <v>277</v>
      </c>
      <c r="G1532" s="16" t="s">
        <v>7</v>
      </c>
      <c r="H1532" s="16" t="s">
        <v>38</v>
      </c>
      <c r="I1532" s="16" t="s">
        <v>17</v>
      </c>
    </row>
    <row r="1533" spans="2:9" x14ac:dyDescent="0.25">
      <c r="B1533" s="16" t="s">
        <v>26</v>
      </c>
      <c r="C1533" s="17">
        <v>45110</v>
      </c>
      <c r="D1533" s="16">
        <v>225062</v>
      </c>
      <c r="E1533" s="16">
        <v>9456</v>
      </c>
      <c r="F1533" s="18" t="s">
        <v>113</v>
      </c>
      <c r="G1533" s="16" t="s">
        <v>340</v>
      </c>
      <c r="H1533" s="16" t="s">
        <v>170</v>
      </c>
      <c r="I1533" s="16" t="s">
        <v>17</v>
      </c>
    </row>
    <row r="1534" spans="2:9" x14ac:dyDescent="0.25">
      <c r="B1534" s="16" t="s">
        <v>26</v>
      </c>
      <c r="C1534" s="17">
        <v>45110</v>
      </c>
      <c r="D1534" s="16">
        <v>16303</v>
      </c>
      <c r="E1534" s="16">
        <v>9591</v>
      </c>
      <c r="F1534" s="18" t="s">
        <v>338</v>
      </c>
      <c r="G1534" s="16" t="s">
        <v>5</v>
      </c>
      <c r="H1534" s="16" t="s">
        <v>75</v>
      </c>
      <c r="I1534" s="16" t="s">
        <v>103</v>
      </c>
    </row>
    <row r="1535" spans="2:9" x14ac:dyDescent="0.25">
      <c r="B1535" s="16" t="s">
        <v>2</v>
      </c>
      <c r="C1535" s="17">
        <v>45110</v>
      </c>
      <c r="D1535" s="16">
        <v>44222</v>
      </c>
      <c r="E1535" s="16">
        <v>12092</v>
      </c>
      <c r="F1535" s="18" t="s">
        <v>339</v>
      </c>
      <c r="G1535" s="16" t="s">
        <v>1</v>
      </c>
      <c r="H1535" s="16" t="s">
        <v>41</v>
      </c>
      <c r="I1535" s="16" t="s">
        <v>17</v>
      </c>
    </row>
    <row r="1536" spans="2:9" x14ac:dyDescent="0.25">
      <c r="B1536" s="16" t="s">
        <v>26</v>
      </c>
      <c r="C1536" s="17">
        <v>45111</v>
      </c>
      <c r="D1536" s="16">
        <v>1186749</v>
      </c>
      <c r="E1536" s="16">
        <v>2294</v>
      </c>
      <c r="F1536" s="18" t="s">
        <v>202</v>
      </c>
      <c r="G1536" s="16" t="s">
        <v>334</v>
      </c>
      <c r="H1536" s="16" t="s">
        <v>102</v>
      </c>
      <c r="I1536" s="16" t="s">
        <v>17</v>
      </c>
    </row>
    <row r="1537" spans="2:9" x14ac:dyDescent="0.25">
      <c r="B1537" s="16" t="s">
        <v>26</v>
      </c>
      <c r="C1537" s="17">
        <v>45111</v>
      </c>
      <c r="D1537" s="16">
        <v>985291</v>
      </c>
      <c r="E1537" s="16">
        <v>9434</v>
      </c>
      <c r="F1537" s="18" t="s">
        <v>23</v>
      </c>
      <c r="G1537" s="16" t="s">
        <v>334</v>
      </c>
      <c r="H1537" s="16" t="s">
        <v>300</v>
      </c>
      <c r="I1537" s="16" t="s">
        <v>301</v>
      </c>
    </row>
    <row r="1538" spans="2:9" x14ac:dyDescent="0.25">
      <c r="B1538" s="16" t="s">
        <v>22</v>
      </c>
      <c r="C1538" s="17">
        <v>45111</v>
      </c>
      <c r="D1538" s="16">
        <v>985281</v>
      </c>
      <c r="E1538" s="16">
        <v>9434</v>
      </c>
      <c r="F1538" s="18" t="s">
        <v>23</v>
      </c>
      <c r="G1538" s="16" t="s">
        <v>334</v>
      </c>
      <c r="H1538" s="16" t="s">
        <v>300</v>
      </c>
      <c r="I1538" s="16" t="s">
        <v>301</v>
      </c>
    </row>
    <row r="1539" spans="2:9" x14ac:dyDescent="0.25">
      <c r="B1539" s="16" t="s">
        <v>26</v>
      </c>
      <c r="C1539" s="17">
        <v>45111</v>
      </c>
      <c r="D1539" s="16">
        <v>1072355</v>
      </c>
      <c r="E1539" s="16">
        <v>9378</v>
      </c>
      <c r="F1539" s="18" t="s">
        <v>30</v>
      </c>
      <c r="G1539" s="16" t="s">
        <v>5</v>
      </c>
      <c r="H1539" s="16" t="s">
        <v>28</v>
      </c>
      <c r="I1539" s="16" t="s">
        <v>73</v>
      </c>
    </row>
    <row r="1540" spans="2:9" x14ac:dyDescent="0.25">
      <c r="B1540" s="16" t="s">
        <v>210</v>
      </c>
      <c r="C1540" s="17">
        <v>45111</v>
      </c>
      <c r="D1540" s="16">
        <v>985206</v>
      </c>
      <c r="E1540" s="16">
        <v>9434</v>
      </c>
      <c r="F1540" s="18" t="s">
        <v>23</v>
      </c>
      <c r="G1540" s="16" t="s">
        <v>341</v>
      </c>
      <c r="H1540" s="16" t="s">
        <v>300</v>
      </c>
      <c r="I1540" s="16" t="s">
        <v>301</v>
      </c>
    </row>
    <row r="1541" spans="2:9" x14ac:dyDescent="0.25">
      <c r="B1541" s="16" t="s">
        <v>26</v>
      </c>
      <c r="C1541" s="17">
        <v>45111</v>
      </c>
      <c r="D1541" s="16">
        <v>713774</v>
      </c>
      <c r="E1541" s="16">
        <v>5059</v>
      </c>
      <c r="F1541" s="18" t="s">
        <v>168</v>
      </c>
      <c r="G1541" s="16" t="s">
        <v>342</v>
      </c>
      <c r="H1541" s="16" t="s">
        <v>36</v>
      </c>
      <c r="I1541" s="16" t="s">
        <v>61</v>
      </c>
    </row>
    <row r="1542" spans="2:9" x14ac:dyDescent="0.25">
      <c r="B1542" s="16" t="s">
        <v>26</v>
      </c>
      <c r="C1542" s="17">
        <v>45111</v>
      </c>
      <c r="D1542" s="16">
        <v>10447</v>
      </c>
      <c r="E1542" s="16">
        <v>71017</v>
      </c>
      <c r="F1542" s="18" t="s">
        <v>20</v>
      </c>
      <c r="G1542" s="16" t="s">
        <v>343</v>
      </c>
      <c r="H1542" s="16" t="s">
        <v>36</v>
      </c>
      <c r="I1542" s="16" t="s">
        <v>344</v>
      </c>
    </row>
    <row r="1543" spans="2:9" x14ac:dyDescent="0.25">
      <c r="B1543" s="16" t="s">
        <v>2</v>
      </c>
      <c r="C1543" s="17">
        <v>45111</v>
      </c>
      <c r="D1543" s="16">
        <v>8477543</v>
      </c>
      <c r="E1543" s="16">
        <v>9389</v>
      </c>
      <c r="F1543" s="18" t="s">
        <v>119</v>
      </c>
      <c r="G1543" s="16" t="s">
        <v>343</v>
      </c>
      <c r="H1543" s="16" t="s">
        <v>184</v>
      </c>
      <c r="I1543" s="16" t="s">
        <v>61</v>
      </c>
    </row>
    <row r="1544" spans="2:9" x14ac:dyDescent="0.25">
      <c r="B1544" s="16" t="s">
        <v>2</v>
      </c>
      <c r="C1544" s="17">
        <v>45111</v>
      </c>
      <c r="D1544" s="16">
        <v>985207</v>
      </c>
      <c r="E1544" s="16">
        <v>9434</v>
      </c>
      <c r="F1544" s="18" t="s">
        <v>23</v>
      </c>
      <c r="G1544" s="16" t="s">
        <v>341</v>
      </c>
      <c r="H1544" s="16" t="s">
        <v>46</v>
      </c>
      <c r="I1544" s="16" t="s">
        <v>301</v>
      </c>
    </row>
    <row r="1545" spans="2:9" x14ac:dyDescent="0.25">
      <c r="B1545" s="16" t="s">
        <v>2</v>
      </c>
      <c r="C1545" s="17">
        <v>45111</v>
      </c>
      <c r="D1545" s="16">
        <v>985208</v>
      </c>
      <c r="E1545" s="16">
        <v>9434</v>
      </c>
      <c r="F1545" s="18" t="s">
        <v>23</v>
      </c>
      <c r="G1545" s="16" t="s">
        <v>341</v>
      </c>
      <c r="H1545" s="16" t="s">
        <v>46</v>
      </c>
      <c r="I1545" s="16" t="s">
        <v>301</v>
      </c>
    </row>
    <row r="1546" spans="2:9" x14ac:dyDescent="0.25">
      <c r="B1546" s="16" t="s">
        <v>2</v>
      </c>
      <c r="C1546" s="17">
        <v>45111</v>
      </c>
      <c r="D1546" s="16">
        <v>985211</v>
      </c>
      <c r="E1546" s="16">
        <v>9434</v>
      </c>
      <c r="F1546" s="18" t="s">
        <v>23</v>
      </c>
      <c r="G1546" s="16" t="s">
        <v>341</v>
      </c>
      <c r="H1546" s="16" t="s">
        <v>46</v>
      </c>
      <c r="I1546" s="16" t="s">
        <v>301</v>
      </c>
    </row>
    <row r="1547" spans="2:9" x14ac:dyDescent="0.25">
      <c r="B1547" s="16" t="s">
        <v>2</v>
      </c>
      <c r="C1547" s="17">
        <v>45111</v>
      </c>
      <c r="D1547" s="16">
        <v>985210</v>
      </c>
      <c r="E1547" s="16">
        <v>9434</v>
      </c>
      <c r="F1547" s="18" t="s">
        <v>23</v>
      </c>
      <c r="G1547" s="16" t="s">
        <v>341</v>
      </c>
      <c r="H1547" s="16" t="s">
        <v>46</v>
      </c>
      <c r="I1547" s="16" t="s">
        <v>301</v>
      </c>
    </row>
    <row r="1548" spans="2:9" x14ac:dyDescent="0.25">
      <c r="B1548" s="16" t="s">
        <v>2</v>
      </c>
      <c r="C1548" s="17">
        <v>45111</v>
      </c>
      <c r="D1548" s="16">
        <v>985209</v>
      </c>
      <c r="E1548" s="16">
        <v>9434</v>
      </c>
      <c r="F1548" s="18" t="s">
        <v>23</v>
      </c>
      <c r="G1548" s="16" t="s">
        <v>341</v>
      </c>
      <c r="H1548" s="16" t="s">
        <v>46</v>
      </c>
      <c r="I1548" s="16" t="s">
        <v>301</v>
      </c>
    </row>
    <row r="1549" spans="2:9" x14ac:dyDescent="0.25">
      <c r="B1549" s="16" t="s">
        <v>2</v>
      </c>
      <c r="C1549" s="17">
        <v>45111</v>
      </c>
      <c r="D1549" s="16">
        <v>8477542</v>
      </c>
      <c r="E1549" s="16">
        <v>9389</v>
      </c>
      <c r="F1549" s="18" t="s">
        <v>119</v>
      </c>
      <c r="G1549" s="16" t="s">
        <v>52</v>
      </c>
      <c r="H1549" s="16" t="s">
        <v>184</v>
      </c>
      <c r="I1549" s="16" t="s">
        <v>235</v>
      </c>
    </row>
    <row r="1550" spans="2:9" x14ac:dyDescent="0.25">
      <c r="B1550" s="16" t="s">
        <v>210</v>
      </c>
      <c r="C1550" s="17">
        <v>45111</v>
      </c>
      <c r="D1550" s="16">
        <v>3678</v>
      </c>
      <c r="E1550" s="16">
        <v>65369</v>
      </c>
      <c r="F1550" s="18" t="s">
        <v>345</v>
      </c>
      <c r="G1550" s="16" t="s">
        <v>342</v>
      </c>
      <c r="H1550" s="16" t="s">
        <v>186</v>
      </c>
      <c r="I1550" s="16" t="s">
        <v>61</v>
      </c>
    </row>
    <row r="1551" spans="2:9" x14ac:dyDescent="0.25">
      <c r="B1551" s="16" t="s">
        <v>2</v>
      </c>
      <c r="C1551" s="17">
        <v>45111</v>
      </c>
      <c r="D1551" s="16">
        <v>5115892</v>
      </c>
      <c r="E1551" s="16">
        <v>15102</v>
      </c>
      <c r="F1551" s="18" t="s">
        <v>160</v>
      </c>
      <c r="G1551" s="16" t="s">
        <v>342</v>
      </c>
      <c r="H1551" s="16" t="s">
        <v>184</v>
      </c>
      <c r="I1551" s="16" t="s">
        <v>61</v>
      </c>
    </row>
    <row r="1552" spans="2:9" x14ac:dyDescent="0.25">
      <c r="B1552" s="16" t="s">
        <v>210</v>
      </c>
      <c r="C1552" s="17">
        <v>45111</v>
      </c>
      <c r="D1552" s="16">
        <v>3679</v>
      </c>
      <c r="E1552" s="16">
        <v>65369</v>
      </c>
      <c r="F1552" s="18" t="s">
        <v>345</v>
      </c>
      <c r="G1552" s="16" t="s">
        <v>342</v>
      </c>
      <c r="H1552" s="16" t="s">
        <v>184</v>
      </c>
      <c r="I1552" s="16" t="s">
        <v>17</v>
      </c>
    </row>
    <row r="1553" spans="2:9" x14ac:dyDescent="0.25">
      <c r="B1553" s="16" t="s">
        <v>210</v>
      </c>
      <c r="C1553" s="17">
        <v>45111</v>
      </c>
      <c r="D1553" s="16">
        <v>209122</v>
      </c>
      <c r="E1553" s="16">
        <v>10910</v>
      </c>
      <c r="F1553" s="18" t="s">
        <v>157</v>
      </c>
      <c r="G1553" s="16" t="s">
        <v>343</v>
      </c>
      <c r="H1553" s="16" t="s">
        <v>36</v>
      </c>
      <c r="I1553" s="16" t="s">
        <v>35</v>
      </c>
    </row>
    <row r="1554" spans="2:9" x14ac:dyDescent="0.25">
      <c r="B1554" s="16" t="s">
        <v>210</v>
      </c>
      <c r="C1554" s="17">
        <v>45111</v>
      </c>
      <c r="D1554" s="16">
        <v>209124</v>
      </c>
      <c r="E1554" s="16">
        <v>10910</v>
      </c>
      <c r="F1554" s="18" t="s">
        <v>157</v>
      </c>
      <c r="G1554" s="16" t="s">
        <v>343</v>
      </c>
      <c r="H1554" s="16" t="s">
        <v>36</v>
      </c>
      <c r="I1554" s="16" t="s">
        <v>35</v>
      </c>
    </row>
    <row r="1555" spans="2:9" x14ac:dyDescent="0.25">
      <c r="B1555" s="16" t="s">
        <v>26</v>
      </c>
      <c r="C1555" s="17">
        <v>45111</v>
      </c>
      <c r="D1555" s="16">
        <v>10448</v>
      </c>
      <c r="E1555" s="16">
        <v>71017</v>
      </c>
      <c r="F1555" s="18" t="s">
        <v>20</v>
      </c>
      <c r="G1555" s="16" t="s">
        <v>343</v>
      </c>
      <c r="H1555" s="16" t="s">
        <v>170</v>
      </c>
      <c r="I1555" s="16" t="s">
        <v>17</v>
      </c>
    </row>
    <row r="1556" spans="2:9" x14ac:dyDescent="0.25">
      <c r="B1556" s="16" t="s">
        <v>210</v>
      </c>
      <c r="C1556" s="17">
        <v>45111</v>
      </c>
      <c r="D1556" s="16">
        <v>1187446</v>
      </c>
      <c r="E1556" s="16">
        <v>2294</v>
      </c>
      <c r="F1556" s="18" t="s">
        <v>202</v>
      </c>
      <c r="G1556" s="16" t="s">
        <v>334</v>
      </c>
      <c r="H1556" s="16" t="s">
        <v>49</v>
      </c>
      <c r="I1556" s="16" t="s">
        <v>335</v>
      </c>
    </row>
    <row r="1557" spans="2:9" x14ac:dyDescent="0.25">
      <c r="B1557" s="16" t="s">
        <v>40</v>
      </c>
      <c r="C1557" s="17">
        <v>45111</v>
      </c>
      <c r="D1557" s="16">
        <v>713789</v>
      </c>
      <c r="E1557" s="16">
        <v>5059</v>
      </c>
      <c r="F1557" s="18" t="s">
        <v>168</v>
      </c>
      <c r="G1557" s="16" t="s">
        <v>52</v>
      </c>
      <c r="H1557" s="16" t="s">
        <v>36</v>
      </c>
      <c r="I1557" s="16" t="s">
        <v>61</v>
      </c>
    </row>
    <row r="1558" spans="2:9" x14ac:dyDescent="0.25">
      <c r="B1558" s="16" t="s">
        <v>40</v>
      </c>
      <c r="C1558" s="17">
        <v>45111</v>
      </c>
      <c r="D1558" s="16">
        <v>34410</v>
      </c>
      <c r="E1558" s="16">
        <v>1047</v>
      </c>
      <c r="F1558" s="18" t="s">
        <v>346</v>
      </c>
      <c r="G1558" s="16" t="s">
        <v>343</v>
      </c>
      <c r="H1558" s="16" t="s">
        <v>46</v>
      </c>
      <c r="I1558" s="16" t="s">
        <v>17</v>
      </c>
    </row>
    <row r="1559" spans="2:9" x14ac:dyDescent="0.25">
      <c r="B1559" s="16" t="s">
        <v>22</v>
      </c>
      <c r="C1559" s="17">
        <v>45111</v>
      </c>
      <c r="D1559" s="16">
        <v>53599</v>
      </c>
      <c r="E1559" s="16">
        <v>9451</v>
      </c>
      <c r="F1559" s="18" t="s">
        <v>195</v>
      </c>
      <c r="G1559" s="16" t="s">
        <v>334</v>
      </c>
      <c r="H1559" s="16" t="s">
        <v>114</v>
      </c>
      <c r="I1559" s="16" t="s">
        <v>61</v>
      </c>
    </row>
    <row r="1560" spans="2:9" x14ac:dyDescent="0.25">
      <c r="B1560" s="16" t="s">
        <v>2</v>
      </c>
      <c r="C1560" s="17">
        <v>45111</v>
      </c>
      <c r="D1560" s="16">
        <v>3676</v>
      </c>
      <c r="E1560" s="16">
        <v>65369</v>
      </c>
      <c r="F1560" s="18" t="s">
        <v>345</v>
      </c>
      <c r="G1560" s="16" t="s">
        <v>342</v>
      </c>
      <c r="H1560" s="16" t="s">
        <v>46</v>
      </c>
      <c r="I1560" s="16" t="s">
        <v>17</v>
      </c>
    </row>
    <row r="1561" spans="2:9" x14ac:dyDescent="0.25">
      <c r="B1561" s="16" t="s">
        <v>40</v>
      </c>
      <c r="C1561" s="17">
        <v>45111</v>
      </c>
      <c r="D1561" s="16">
        <v>645</v>
      </c>
      <c r="E1561" s="16">
        <v>71064</v>
      </c>
      <c r="F1561" s="18" t="s">
        <v>20</v>
      </c>
      <c r="G1561" s="16" t="s">
        <v>7</v>
      </c>
      <c r="H1561" s="16" t="s">
        <v>38</v>
      </c>
      <c r="I1561" s="16" t="s">
        <v>17</v>
      </c>
    </row>
    <row r="1562" spans="2:9" x14ac:dyDescent="0.25">
      <c r="B1562" s="16" t="s">
        <v>33</v>
      </c>
      <c r="C1562" s="17">
        <v>45111</v>
      </c>
      <c r="D1562" s="16">
        <v>3672</v>
      </c>
      <c r="E1562" s="16">
        <v>65369</v>
      </c>
      <c r="F1562" s="18" t="s">
        <v>345</v>
      </c>
      <c r="G1562" s="16" t="s">
        <v>342</v>
      </c>
      <c r="H1562" s="16" t="s">
        <v>71</v>
      </c>
      <c r="I1562" s="16" t="s">
        <v>17</v>
      </c>
    </row>
    <row r="1563" spans="2:9" x14ac:dyDescent="0.25">
      <c r="B1563" s="16" t="s">
        <v>33</v>
      </c>
      <c r="C1563" s="17">
        <v>45111</v>
      </c>
      <c r="D1563" s="16">
        <v>3673</v>
      </c>
      <c r="E1563" s="16">
        <v>65369</v>
      </c>
      <c r="F1563" s="18" t="s">
        <v>345</v>
      </c>
      <c r="G1563" s="16" t="s">
        <v>342</v>
      </c>
      <c r="H1563" s="16" t="s">
        <v>71</v>
      </c>
      <c r="I1563" s="16" t="s">
        <v>17</v>
      </c>
    </row>
    <row r="1564" spans="2:9" x14ac:dyDescent="0.25">
      <c r="B1564" s="16" t="s">
        <v>33</v>
      </c>
      <c r="C1564" s="17">
        <v>45111</v>
      </c>
      <c r="D1564" s="16">
        <v>130490</v>
      </c>
      <c r="E1564" s="16">
        <v>9830</v>
      </c>
      <c r="F1564" s="18" t="s">
        <v>280</v>
      </c>
      <c r="G1564" s="16" t="s">
        <v>342</v>
      </c>
      <c r="H1564" s="16" t="s">
        <v>46</v>
      </c>
      <c r="I1564" s="16" t="s">
        <v>92</v>
      </c>
    </row>
    <row r="1565" spans="2:9" x14ac:dyDescent="0.25">
      <c r="B1565" s="16" t="s">
        <v>2</v>
      </c>
      <c r="C1565" s="17">
        <v>45111</v>
      </c>
      <c r="D1565" s="16">
        <v>651</v>
      </c>
      <c r="E1565" s="16">
        <v>71064</v>
      </c>
      <c r="F1565" s="18" t="s">
        <v>20</v>
      </c>
      <c r="G1565" s="16" t="s">
        <v>7</v>
      </c>
      <c r="H1565" s="16" t="s">
        <v>38</v>
      </c>
      <c r="I1565" s="16" t="s">
        <v>17</v>
      </c>
    </row>
    <row r="1566" spans="2:9" x14ac:dyDescent="0.25">
      <c r="B1566" s="16" t="s">
        <v>2</v>
      </c>
      <c r="C1566" s="17">
        <v>45111</v>
      </c>
      <c r="D1566" s="16">
        <v>2123858</v>
      </c>
      <c r="E1566" s="16">
        <v>9459</v>
      </c>
      <c r="F1566" s="18" t="s">
        <v>105</v>
      </c>
      <c r="G1566" s="16" t="s">
        <v>5</v>
      </c>
      <c r="H1566" s="16" t="s">
        <v>46</v>
      </c>
      <c r="I1566" s="16" t="s">
        <v>17</v>
      </c>
    </row>
    <row r="1567" spans="2:9" x14ac:dyDescent="0.25">
      <c r="B1567" s="16" t="s">
        <v>2</v>
      </c>
      <c r="C1567" s="17">
        <v>45111</v>
      </c>
      <c r="D1567" s="16">
        <v>2123859</v>
      </c>
      <c r="E1567" s="16">
        <v>9459</v>
      </c>
      <c r="F1567" s="18" t="s">
        <v>105</v>
      </c>
      <c r="G1567" s="16" t="s">
        <v>5</v>
      </c>
      <c r="H1567" s="16" t="s">
        <v>46</v>
      </c>
      <c r="I1567" s="16" t="s">
        <v>17</v>
      </c>
    </row>
    <row r="1568" spans="2:9" x14ac:dyDescent="0.25">
      <c r="B1568" s="16" t="s">
        <v>2</v>
      </c>
      <c r="C1568" s="17">
        <v>45111</v>
      </c>
      <c r="D1568" s="16">
        <v>2123862</v>
      </c>
      <c r="E1568" s="16">
        <v>9459</v>
      </c>
      <c r="F1568" s="18" t="s">
        <v>105</v>
      </c>
      <c r="G1568" s="16" t="s">
        <v>5</v>
      </c>
      <c r="H1568" s="16" t="s">
        <v>46</v>
      </c>
      <c r="I1568" s="16" t="s">
        <v>17</v>
      </c>
    </row>
    <row r="1569" spans="2:9" x14ac:dyDescent="0.25">
      <c r="B1569" s="16" t="s">
        <v>2</v>
      </c>
      <c r="C1569" s="17">
        <v>45111</v>
      </c>
      <c r="D1569" s="16">
        <v>2123864</v>
      </c>
      <c r="E1569" s="16">
        <v>9459</v>
      </c>
      <c r="F1569" s="18" t="s">
        <v>105</v>
      </c>
      <c r="G1569" s="16" t="s">
        <v>5</v>
      </c>
      <c r="H1569" s="16" t="s">
        <v>46</v>
      </c>
      <c r="I1569" s="16" t="s">
        <v>17</v>
      </c>
    </row>
    <row r="1570" spans="2:9" x14ac:dyDescent="0.25">
      <c r="B1570" s="16" t="s">
        <v>210</v>
      </c>
      <c r="C1570" s="17">
        <v>45112</v>
      </c>
      <c r="D1570" s="16">
        <v>408323</v>
      </c>
      <c r="E1570" s="16">
        <v>1216</v>
      </c>
      <c r="F1570" s="18" t="s">
        <v>47</v>
      </c>
      <c r="G1570" s="16" t="s">
        <v>5</v>
      </c>
      <c r="H1570" s="16" t="s">
        <v>31</v>
      </c>
      <c r="I1570" s="16" t="s">
        <v>132</v>
      </c>
    </row>
    <row r="1571" spans="2:9" x14ac:dyDescent="0.25">
      <c r="B1571" s="16" t="s">
        <v>33</v>
      </c>
      <c r="C1571" s="17">
        <v>45112</v>
      </c>
      <c r="D1571" s="16">
        <v>8477518</v>
      </c>
      <c r="E1571" s="16">
        <v>9389</v>
      </c>
      <c r="F1571" s="18" t="s">
        <v>119</v>
      </c>
      <c r="G1571" s="16" t="s">
        <v>4</v>
      </c>
      <c r="H1571" s="16" t="s">
        <v>28</v>
      </c>
      <c r="I1571" s="16" t="s">
        <v>61</v>
      </c>
    </row>
    <row r="1572" spans="2:9" x14ac:dyDescent="0.25">
      <c r="B1572" s="16" t="s">
        <v>33</v>
      </c>
      <c r="C1572" s="17">
        <v>45112</v>
      </c>
      <c r="D1572" s="16" t="s">
        <v>54</v>
      </c>
      <c r="E1572" s="16">
        <v>1216</v>
      </c>
      <c r="F1572" s="18" t="s">
        <v>47</v>
      </c>
      <c r="G1572" s="16" t="s">
        <v>5</v>
      </c>
      <c r="H1572" s="16" t="s">
        <v>31</v>
      </c>
      <c r="I1572" s="16" t="s">
        <v>347</v>
      </c>
    </row>
    <row r="1573" spans="2:9" x14ac:dyDescent="0.25">
      <c r="B1573" s="16" t="s">
        <v>33</v>
      </c>
      <c r="C1573" s="17">
        <v>45112</v>
      </c>
      <c r="D1573" s="16">
        <v>8477516</v>
      </c>
      <c r="E1573" s="16">
        <v>9389</v>
      </c>
      <c r="F1573" s="18" t="s">
        <v>119</v>
      </c>
      <c r="G1573" s="16" t="s">
        <v>4</v>
      </c>
      <c r="H1573" s="16" t="s">
        <v>184</v>
      </c>
      <c r="I1573" s="16" t="s">
        <v>61</v>
      </c>
    </row>
    <row r="1574" spans="2:9" x14ac:dyDescent="0.25">
      <c r="B1574" s="16" t="s">
        <v>33</v>
      </c>
      <c r="C1574" s="17">
        <v>45112</v>
      </c>
      <c r="D1574" s="16">
        <v>8477519</v>
      </c>
      <c r="E1574" s="16">
        <v>9389</v>
      </c>
      <c r="F1574" s="18" t="s">
        <v>119</v>
      </c>
      <c r="G1574" s="16" t="s">
        <v>4</v>
      </c>
      <c r="H1574" s="16" t="s">
        <v>184</v>
      </c>
      <c r="I1574" s="16" t="s">
        <v>61</v>
      </c>
    </row>
    <row r="1575" spans="2:9" x14ac:dyDescent="0.25">
      <c r="B1575" s="16" t="s">
        <v>33</v>
      </c>
      <c r="C1575" s="17">
        <v>45112</v>
      </c>
      <c r="D1575" s="16">
        <v>239593</v>
      </c>
      <c r="E1575" s="16">
        <v>1175</v>
      </c>
      <c r="F1575" s="18" t="s">
        <v>81</v>
      </c>
      <c r="G1575" s="16" t="s">
        <v>7</v>
      </c>
      <c r="H1575" s="16" t="s">
        <v>38</v>
      </c>
      <c r="I1575" s="16" t="s">
        <v>17</v>
      </c>
    </row>
    <row r="1576" spans="2:9" x14ac:dyDescent="0.25">
      <c r="B1576" s="16" t="s">
        <v>33</v>
      </c>
      <c r="C1576" s="17">
        <v>45112</v>
      </c>
      <c r="D1576" s="16">
        <v>408307</v>
      </c>
      <c r="E1576" s="16">
        <v>1216</v>
      </c>
      <c r="F1576" s="18" t="s">
        <v>47</v>
      </c>
      <c r="G1576" s="16" t="s">
        <v>6</v>
      </c>
      <c r="H1576" s="16" t="s">
        <v>221</v>
      </c>
      <c r="I1576" s="16" t="s">
        <v>61</v>
      </c>
    </row>
    <row r="1577" spans="2:9" x14ac:dyDescent="0.25">
      <c r="B1577" s="16" t="s">
        <v>26</v>
      </c>
      <c r="C1577" s="17">
        <v>45112</v>
      </c>
      <c r="D1577" s="16">
        <v>34410</v>
      </c>
      <c r="E1577" s="16">
        <v>1047</v>
      </c>
      <c r="F1577" s="18" t="s">
        <v>346</v>
      </c>
      <c r="G1577" s="16" t="s">
        <v>52</v>
      </c>
      <c r="H1577" s="16" t="s">
        <v>102</v>
      </c>
      <c r="I1577" s="16" t="s">
        <v>17</v>
      </c>
    </row>
    <row r="1578" spans="2:9" x14ac:dyDescent="0.25">
      <c r="B1578" s="16" t="s">
        <v>210</v>
      </c>
      <c r="C1578" s="17">
        <v>45112</v>
      </c>
      <c r="D1578" s="16">
        <v>34414</v>
      </c>
      <c r="E1578" s="16">
        <v>1047</v>
      </c>
      <c r="F1578" s="18" t="s">
        <v>346</v>
      </c>
      <c r="G1578" s="16" t="s">
        <v>52</v>
      </c>
      <c r="H1578" s="16" t="s">
        <v>36</v>
      </c>
      <c r="I1578" s="16" t="s">
        <v>61</v>
      </c>
    </row>
    <row r="1579" spans="2:9" x14ac:dyDescent="0.25">
      <c r="B1579" s="16" t="s">
        <v>33</v>
      </c>
      <c r="C1579" s="17">
        <v>45112</v>
      </c>
      <c r="D1579" s="16">
        <v>220116</v>
      </c>
      <c r="E1579" s="16">
        <v>9398</v>
      </c>
      <c r="F1579" s="18" t="s">
        <v>65</v>
      </c>
      <c r="G1579" s="16" t="s">
        <v>16</v>
      </c>
      <c r="H1579" s="16" t="s">
        <v>184</v>
      </c>
      <c r="I1579" s="16" t="s">
        <v>61</v>
      </c>
    </row>
    <row r="1580" spans="2:9" x14ac:dyDescent="0.25">
      <c r="B1580" s="16" t="s">
        <v>33</v>
      </c>
      <c r="C1580" s="17">
        <v>45112</v>
      </c>
      <c r="D1580" s="16">
        <v>220117</v>
      </c>
      <c r="E1580" s="16">
        <v>9398</v>
      </c>
      <c r="F1580" s="18" t="s">
        <v>65</v>
      </c>
      <c r="G1580" s="16" t="s">
        <v>16</v>
      </c>
      <c r="H1580" s="16" t="s">
        <v>184</v>
      </c>
      <c r="I1580" s="16" t="s">
        <v>61</v>
      </c>
    </row>
    <row r="1581" spans="2:9" x14ac:dyDescent="0.25">
      <c r="B1581" s="16" t="s">
        <v>33</v>
      </c>
      <c r="C1581" s="17">
        <v>45112</v>
      </c>
      <c r="D1581" s="16">
        <v>220118</v>
      </c>
      <c r="E1581" s="16">
        <v>9398</v>
      </c>
      <c r="F1581" s="18" t="s">
        <v>65</v>
      </c>
      <c r="G1581" s="16" t="s">
        <v>16</v>
      </c>
      <c r="H1581" s="16" t="s">
        <v>184</v>
      </c>
      <c r="I1581" s="16" t="s">
        <v>61</v>
      </c>
    </row>
    <row r="1582" spans="2:9" x14ac:dyDescent="0.25">
      <c r="B1582" s="16" t="s">
        <v>33</v>
      </c>
      <c r="C1582" s="17">
        <v>45112</v>
      </c>
      <c r="D1582" s="16">
        <v>220119</v>
      </c>
      <c r="E1582" s="16">
        <v>9398</v>
      </c>
      <c r="F1582" s="18" t="s">
        <v>65</v>
      </c>
      <c r="G1582" s="16" t="s">
        <v>16</v>
      </c>
      <c r="H1582" s="16" t="s">
        <v>184</v>
      </c>
      <c r="I1582" s="16" t="s">
        <v>61</v>
      </c>
    </row>
    <row r="1583" spans="2:9" x14ac:dyDescent="0.25">
      <c r="B1583" s="16" t="s">
        <v>22</v>
      </c>
      <c r="C1583" s="17">
        <v>45112</v>
      </c>
      <c r="D1583" s="16">
        <v>34405</v>
      </c>
      <c r="E1583" s="16">
        <v>1047</v>
      </c>
      <c r="F1583" s="18" t="s">
        <v>346</v>
      </c>
      <c r="G1583" s="16" t="s">
        <v>343</v>
      </c>
      <c r="H1583" s="16" t="s">
        <v>36</v>
      </c>
      <c r="I1583" s="16" t="s">
        <v>61</v>
      </c>
    </row>
    <row r="1584" spans="2:9" x14ac:dyDescent="0.25">
      <c r="B1584" s="16" t="s">
        <v>210</v>
      </c>
      <c r="C1584" s="17">
        <v>45112</v>
      </c>
      <c r="D1584" s="16">
        <v>8477566</v>
      </c>
      <c r="E1584" s="16">
        <v>9389</v>
      </c>
      <c r="F1584" s="18" t="s">
        <v>119</v>
      </c>
      <c r="G1584" s="16" t="s">
        <v>52</v>
      </c>
      <c r="H1584" s="16" t="s">
        <v>184</v>
      </c>
      <c r="I1584" s="16" t="s">
        <v>61</v>
      </c>
    </row>
    <row r="1585" spans="2:9" x14ac:dyDescent="0.25">
      <c r="B1585" s="16" t="s">
        <v>210</v>
      </c>
      <c r="C1585" s="17">
        <v>45112</v>
      </c>
      <c r="D1585" s="16">
        <v>8477569</v>
      </c>
      <c r="E1585" s="16">
        <v>9389</v>
      </c>
      <c r="F1585" s="18" t="s">
        <v>119</v>
      </c>
      <c r="G1585" s="16" t="s">
        <v>52</v>
      </c>
      <c r="H1585" s="16" t="s">
        <v>184</v>
      </c>
      <c r="I1585" s="16" t="s">
        <v>61</v>
      </c>
    </row>
    <row r="1586" spans="2:9" x14ac:dyDescent="0.25">
      <c r="B1586" s="16" t="s">
        <v>210</v>
      </c>
      <c r="C1586" s="17">
        <v>45112</v>
      </c>
      <c r="D1586" s="16">
        <v>8477565</v>
      </c>
      <c r="E1586" s="16">
        <v>9389</v>
      </c>
      <c r="F1586" s="18" t="s">
        <v>119</v>
      </c>
      <c r="G1586" s="16" t="s">
        <v>52</v>
      </c>
      <c r="H1586" s="16" t="s">
        <v>184</v>
      </c>
      <c r="I1586" s="16" t="s">
        <v>61</v>
      </c>
    </row>
    <row r="1587" spans="2:9" x14ac:dyDescent="0.25">
      <c r="B1587" s="16" t="s">
        <v>210</v>
      </c>
      <c r="C1587" s="17">
        <v>45112</v>
      </c>
      <c r="D1587" s="16">
        <v>8477573</v>
      </c>
      <c r="E1587" s="16">
        <v>9389</v>
      </c>
      <c r="F1587" s="18" t="s">
        <v>119</v>
      </c>
      <c r="G1587" s="16" t="s">
        <v>52</v>
      </c>
      <c r="H1587" s="16" t="s">
        <v>28</v>
      </c>
      <c r="I1587" s="16" t="s">
        <v>61</v>
      </c>
    </row>
    <row r="1588" spans="2:9" x14ac:dyDescent="0.25">
      <c r="B1588" s="16" t="s">
        <v>210</v>
      </c>
      <c r="C1588" s="17">
        <v>45112</v>
      </c>
      <c r="D1588" s="16">
        <v>8477575</v>
      </c>
      <c r="E1588" s="16">
        <v>9389</v>
      </c>
      <c r="F1588" s="18" t="s">
        <v>119</v>
      </c>
      <c r="G1588" s="16" t="s">
        <v>52</v>
      </c>
      <c r="H1588" s="16" t="s">
        <v>28</v>
      </c>
      <c r="I1588" s="16" t="s">
        <v>61</v>
      </c>
    </row>
    <row r="1589" spans="2:9" x14ac:dyDescent="0.25">
      <c r="B1589" s="16" t="s">
        <v>210</v>
      </c>
      <c r="C1589" s="17">
        <v>45112</v>
      </c>
      <c r="D1589" s="16">
        <v>64203</v>
      </c>
      <c r="E1589" s="16">
        <v>9389</v>
      </c>
      <c r="F1589" s="18" t="s">
        <v>119</v>
      </c>
      <c r="G1589" s="16" t="s">
        <v>52</v>
      </c>
      <c r="H1589" s="16" t="s">
        <v>28</v>
      </c>
      <c r="I1589" s="16" t="s">
        <v>61</v>
      </c>
    </row>
    <row r="1590" spans="2:9" x14ac:dyDescent="0.25">
      <c r="B1590" s="16" t="s">
        <v>210</v>
      </c>
      <c r="C1590" s="17">
        <v>45112</v>
      </c>
      <c r="D1590" s="16">
        <v>8477568</v>
      </c>
      <c r="E1590" s="16">
        <v>9389</v>
      </c>
      <c r="F1590" s="18" t="s">
        <v>119</v>
      </c>
      <c r="G1590" s="16" t="s">
        <v>52</v>
      </c>
      <c r="H1590" s="16" t="s">
        <v>28</v>
      </c>
      <c r="I1590" s="16" t="s">
        <v>61</v>
      </c>
    </row>
    <row r="1591" spans="2:9" x14ac:dyDescent="0.25">
      <c r="B1591" s="16" t="s">
        <v>210</v>
      </c>
      <c r="C1591" s="17">
        <v>45112</v>
      </c>
      <c r="D1591" s="16">
        <v>8480273</v>
      </c>
      <c r="E1591" s="16">
        <v>9389</v>
      </c>
      <c r="F1591" s="18" t="s">
        <v>119</v>
      </c>
      <c r="G1591" s="16" t="s">
        <v>52</v>
      </c>
      <c r="H1591" s="16" t="s">
        <v>28</v>
      </c>
      <c r="I1591" s="16" t="s">
        <v>61</v>
      </c>
    </row>
    <row r="1592" spans="2:9" x14ac:dyDescent="0.25">
      <c r="B1592" s="16" t="s">
        <v>20</v>
      </c>
      <c r="C1592" s="17">
        <v>45112</v>
      </c>
      <c r="D1592" s="16">
        <v>220059</v>
      </c>
      <c r="E1592" s="16">
        <v>9398</v>
      </c>
      <c r="F1592" s="18" t="s">
        <v>65</v>
      </c>
      <c r="G1592" s="16" t="s">
        <v>16</v>
      </c>
      <c r="H1592" s="16" t="s">
        <v>41</v>
      </c>
      <c r="I1592" s="16" t="s">
        <v>17</v>
      </c>
    </row>
    <row r="1593" spans="2:9" x14ac:dyDescent="0.25">
      <c r="B1593" s="16" t="s">
        <v>2</v>
      </c>
      <c r="C1593" s="17">
        <v>45112</v>
      </c>
      <c r="D1593" s="16">
        <v>220089</v>
      </c>
      <c r="E1593" s="16">
        <v>9398</v>
      </c>
      <c r="F1593" s="18" t="s">
        <v>65</v>
      </c>
      <c r="G1593" s="16" t="s">
        <v>16</v>
      </c>
      <c r="H1593" s="16" t="s">
        <v>190</v>
      </c>
      <c r="I1593" s="16" t="s">
        <v>20</v>
      </c>
    </row>
    <row r="1594" spans="2:9" x14ac:dyDescent="0.25">
      <c r="B1594" s="16" t="s">
        <v>33</v>
      </c>
      <c r="C1594" s="17">
        <v>45112</v>
      </c>
      <c r="D1594" s="16">
        <v>34407</v>
      </c>
      <c r="E1594" s="16">
        <v>1047</v>
      </c>
      <c r="F1594" s="18" t="s">
        <v>346</v>
      </c>
      <c r="G1594" s="16" t="s">
        <v>342</v>
      </c>
      <c r="H1594" s="16" t="s">
        <v>36</v>
      </c>
      <c r="I1594" s="16" t="s">
        <v>61</v>
      </c>
    </row>
    <row r="1595" spans="2:9" x14ac:dyDescent="0.25">
      <c r="B1595" s="16" t="s">
        <v>2</v>
      </c>
      <c r="C1595" s="17">
        <v>45112</v>
      </c>
      <c r="D1595" s="16">
        <v>26603</v>
      </c>
      <c r="E1595" s="16">
        <v>70485</v>
      </c>
      <c r="F1595" s="18" t="s">
        <v>20</v>
      </c>
      <c r="G1595" s="16" t="s">
        <v>52</v>
      </c>
      <c r="H1595" s="16" t="s">
        <v>36</v>
      </c>
      <c r="I1595" s="16" t="s">
        <v>20</v>
      </c>
    </row>
    <row r="1596" spans="2:9" x14ac:dyDescent="0.25">
      <c r="B1596" s="16" t="s">
        <v>40</v>
      </c>
      <c r="C1596" s="17">
        <v>45112</v>
      </c>
      <c r="D1596" s="16">
        <v>408301</v>
      </c>
      <c r="E1596" s="16">
        <v>1216</v>
      </c>
      <c r="F1596" s="18" t="s">
        <v>47</v>
      </c>
      <c r="G1596" s="16" t="s">
        <v>52</v>
      </c>
      <c r="H1596" s="16" t="s">
        <v>184</v>
      </c>
      <c r="I1596" s="16" t="s">
        <v>132</v>
      </c>
    </row>
    <row r="1597" spans="2:9" x14ac:dyDescent="0.25">
      <c r="B1597" s="16" t="s">
        <v>40</v>
      </c>
      <c r="C1597" s="17">
        <v>45112</v>
      </c>
      <c r="D1597" s="16">
        <v>408315</v>
      </c>
      <c r="E1597" s="16">
        <v>1216</v>
      </c>
      <c r="F1597" s="18" t="s">
        <v>47</v>
      </c>
      <c r="G1597" s="16" t="s">
        <v>52</v>
      </c>
      <c r="H1597" s="16" t="s">
        <v>31</v>
      </c>
      <c r="I1597" s="16" t="s">
        <v>61</v>
      </c>
    </row>
    <row r="1598" spans="2:9" x14ac:dyDescent="0.25">
      <c r="B1598" s="16" t="s">
        <v>40</v>
      </c>
      <c r="C1598" s="17">
        <v>45112</v>
      </c>
      <c r="D1598" s="16">
        <v>171263</v>
      </c>
      <c r="E1598" s="16">
        <v>10440</v>
      </c>
      <c r="F1598" s="18" t="s">
        <v>37</v>
      </c>
      <c r="G1598" s="16" t="s">
        <v>334</v>
      </c>
      <c r="H1598" s="16" t="s">
        <v>36</v>
      </c>
      <c r="I1598" s="16" t="s">
        <v>61</v>
      </c>
    </row>
    <row r="1599" spans="2:9" x14ac:dyDescent="0.25">
      <c r="B1599" s="16" t="s">
        <v>40</v>
      </c>
      <c r="C1599" s="17">
        <v>45112</v>
      </c>
      <c r="D1599" s="16">
        <v>172816</v>
      </c>
      <c r="E1599" s="16">
        <v>10440</v>
      </c>
      <c r="F1599" s="18" t="s">
        <v>37</v>
      </c>
      <c r="G1599" s="16" t="s">
        <v>4</v>
      </c>
      <c r="H1599" s="16" t="s">
        <v>184</v>
      </c>
      <c r="I1599" s="16" t="s">
        <v>61</v>
      </c>
    </row>
    <row r="1600" spans="2:9" x14ac:dyDescent="0.25">
      <c r="B1600" s="16" t="s">
        <v>33</v>
      </c>
      <c r="C1600" s="17">
        <v>45112</v>
      </c>
      <c r="D1600" s="16">
        <v>225487</v>
      </c>
      <c r="E1600" s="16">
        <v>9398</v>
      </c>
      <c r="F1600" s="18" t="s">
        <v>65</v>
      </c>
      <c r="G1600" s="16" t="s">
        <v>16</v>
      </c>
      <c r="H1600" s="16" t="s">
        <v>49</v>
      </c>
      <c r="I1600" s="16" t="s">
        <v>17</v>
      </c>
    </row>
    <row r="1601" spans="2:9" x14ac:dyDescent="0.25">
      <c r="B1601" s="16" t="s">
        <v>2</v>
      </c>
      <c r="C1601" s="17">
        <v>45112</v>
      </c>
      <c r="D1601" s="16">
        <v>1707</v>
      </c>
      <c r="E1601" s="16">
        <v>71780</v>
      </c>
      <c r="F1601" s="18" t="s">
        <v>20</v>
      </c>
      <c r="G1601" s="16" t="s">
        <v>52</v>
      </c>
      <c r="H1601" s="16" t="s">
        <v>36</v>
      </c>
      <c r="I1601" s="16" t="s">
        <v>29</v>
      </c>
    </row>
    <row r="1602" spans="2:9" x14ac:dyDescent="0.25">
      <c r="B1602" s="16" t="s">
        <v>2</v>
      </c>
      <c r="C1602" s="17">
        <v>45112</v>
      </c>
      <c r="D1602" s="16">
        <v>3677</v>
      </c>
      <c r="E1602" s="16">
        <v>65369</v>
      </c>
      <c r="F1602" s="18" t="s">
        <v>345</v>
      </c>
      <c r="G1602" s="16" t="s">
        <v>334</v>
      </c>
      <c r="H1602" s="16" t="s">
        <v>71</v>
      </c>
      <c r="I1602" s="16" t="s">
        <v>17</v>
      </c>
    </row>
    <row r="1603" spans="2:9" x14ac:dyDescent="0.25">
      <c r="B1603" s="16" t="s">
        <v>40</v>
      </c>
      <c r="C1603" s="17">
        <v>45112</v>
      </c>
      <c r="D1603" s="16">
        <v>179603</v>
      </c>
      <c r="E1603" s="16">
        <v>9307</v>
      </c>
      <c r="F1603" s="18" t="s">
        <v>68</v>
      </c>
      <c r="G1603" s="16" t="s">
        <v>334</v>
      </c>
      <c r="H1603" s="16" t="s">
        <v>190</v>
      </c>
      <c r="I1603" s="16" t="s">
        <v>17</v>
      </c>
    </row>
    <row r="1604" spans="2:9" x14ac:dyDescent="0.25">
      <c r="B1604" s="31" t="s">
        <v>210</v>
      </c>
      <c r="C1604" s="32">
        <v>45113</v>
      </c>
      <c r="D1604" s="31">
        <v>119762</v>
      </c>
      <c r="E1604" s="31">
        <v>11604</v>
      </c>
      <c r="F1604" s="33" t="s">
        <v>63</v>
      </c>
      <c r="G1604" s="31" t="s">
        <v>262</v>
      </c>
      <c r="H1604" s="31" t="s">
        <v>38</v>
      </c>
      <c r="I1604" s="31" t="s">
        <v>17</v>
      </c>
    </row>
    <row r="1605" spans="2:9" x14ac:dyDescent="0.25">
      <c r="B1605" s="31" t="s">
        <v>33</v>
      </c>
      <c r="C1605" s="32">
        <v>45113</v>
      </c>
      <c r="D1605" s="31">
        <v>8477519</v>
      </c>
      <c r="E1605" s="31">
        <v>9389</v>
      </c>
      <c r="F1605" s="33" t="s">
        <v>119</v>
      </c>
      <c r="G1605" s="31" t="s">
        <v>343</v>
      </c>
      <c r="H1605" s="31" t="s">
        <v>184</v>
      </c>
      <c r="I1605" s="31" t="s">
        <v>61</v>
      </c>
    </row>
    <row r="1606" spans="2:9" x14ac:dyDescent="0.25">
      <c r="B1606" s="31" t="s">
        <v>210</v>
      </c>
      <c r="C1606" s="32">
        <v>45113</v>
      </c>
      <c r="D1606" s="31">
        <v>66258</v>
      </c>
      <c r="E1606" s="31">
        <v>5346</v>
      </c>
      <c r="F1606" s="33" t="s">
        <v>277</v>
      </c>
      <c r="G1606" s="31" t="s">
        <v>7</v>
      </c>
      <c r="H1606" s="31" t="s">
        <v>38</v>
      </c>
      <c r="I1606" s="31" t="s">
        <v>17</v>
      </c>
    </row>
    <row r="1607" spans="2:9" x14ac:dyDescent="0.25">
      <c r="B1607" s="31" t="s">
        <v>33</v>
      </c>
      <c r="C1607" s="32">
        <v>45113</v>
      </c>
      <c r="D1607" s="31">
        <v>128138</v>
      </c>
      <c r="E1607" s="31">
        <v>13090</v>
      </c>
      <c r="F1607" s="33" t="s">
        <v>241</v>
      </c>
      <c r="G1607" s="31" t="s">
        <v>7</v>
      </c>
      <c r="H1607" s="31" t="s">
        <v>38</v>
      </c>
      <c r="I1607" s="31" t="s">
        <v>348</v>
      </c>
    </row>
    <row r="1608" spans="2:9" x14ac:dyDescent="0.25">
      <c r="B1608" s="31" t="s">
        <v>26</v>
      </c>
      <c r="C1608" s="32">
        <v>45113</v>
      </c>
      <c r="D1608" s="31">
        <v>1804369</v>
      </c>
      <c r="E1608" s="31">
        <v>1015</v>
      </c>
      <c r="F1608" s="33" t="s">
        <v>134</v>
      </c>
      <c r="G1608" s="31" t="s">
        <v>4</v>
      </c>
      <c r="H1608" s="31" t="s">
        <v>184</v>
      </c>
      <c r="I1608" s="31" t="s">
        <v>61</v>
      </c>
    </row>
    <row r="1609" spans="2:9" x14ac:dyDescent="0.25">
      <c r="B1609" s="31" t="s">
        <v>26</v>
      </c>
      <c r="C1609" s="32">
        <v>45113</v>
      </c>
      <c r="D1609" s="31">
        <v>408321</v>
      </c>
      <c r="E1609" s="31">
        <v>1216</v>
      </c>
      <c r="F1609" s="33" t="s">
        <v>47</v>
      </c>
      <c r="G1609" s="31" t="s">
        <v>5</v>
      </c>
      <c r="H1609" s="31" t="s">
        <v>31</v>
      </c>
      <c r="I1609" s="31" t="s">
        <v>20</v>
      </c>
    </row>
    <row r="1610" spans="2:9" x14ac:dyDescent="0.25">
      <c r="B1610" s="31" t="s">
        <v>26</v>
      </c>
      <c r="C1610" s="32">
        <v>45113</v>
      </c>
      <c r="D1610" s="31">
        <v>163377</v>
      </c>
      <c r="E1610" s="31">
        <v>8281</v>
      </c>
      <c r="F1610" s="33" t="s">
        <v>321</v>
      </c>
      <c r="G1610" s="31" t="s">
        <v>5</v>
      </c>
      <c r="H1610" s="31" t="s">
        <v>46</v>
      </c>
      <c r="I1610" s="31" t="s">
        <v>348</v>
      </c>
    </row>
    <row r="1611" spans="2:9" x14ac:dyDescent="0.25">
      <c r="B1611" s="31" t="s">
        <v>26</v>
      </c>
      <c r="C1611" s="32">
        <v>45113</v>
      </c>
      <c r="D1611" s="31">
        <v>3857552</v>
      </c>
      <c r="E1611" s="31">
        <v>3506</v>
      </c>
      <c r="F1611" s="33" t="s">
        <v>77</v>
      </c>
      <c r="G1611" s="31" t="s">
        <v>4</v>
      </c>
      <c r="H1611" s="31" t="s">
        <v>49</v>
      </c>
      <c r="I1611" s="31" t="s">
        <v>42</v>
      </c>
    </row>
    <row r="1612" spans="2:9" x14ac:dyDescent="0.25">
      <c r="B1612" s="31" t="s">
        <v>22</v>
      </c>
      <c r="C1612" s="32">
        <v>45113</v>
      </c>
      <c r="D1612" s="31">
        <v>408316</v>
      </c>
      <c r="E1612" s="31">
        <v>1216</v>
      </c>
      <c r="F1612" s="33" t="s">
        <v>47</v>
      </c>
      <c r="G1612" s="31" t="s">
        <v>5</v>
      </c>
      <c r="H1612" s="31" t="s">
        <v>31</v>
      </c>
      <c r="I1612" s="31" t="s">
        <v>32</v>
      </c>
    </row>
    <row r="1613" spans="2:9" x14ac:dyDescent="0.25">
      <c r="B1613" s="31" t="s">
        <v>22</v>
      </c>
      <c r="C1613" s="32">
        <v>45113</v>
      </c>
      <c r="D1613" s="31">
        <v>4206</v>
      </c>
      <c r="E1613" s="31">
        <v>70670</v>
      </c>
      <c r="F1613" s="33" t="s">
        <v>20</v>
      </c>
      <c r="G1613" s="31" t="s">
        <v>52</v>
      </c>
      <c r="H1613" s="31" t="s">
        <v>46</v>
      </c>
      <c r="I1613" s="31" t="s">
        <v>51</v>
      </c>
    </row>
    <row r="1614" spans="2:9" x14ac:dyDescent="0.25">
      <c r="B1614" s="31" t="s">
        <v>22</v>
      </c>
      <c r="C1614" s="32">
        <v>45113</v>
      </c>
      <c r="D1614" s="31">
        <v>4205</v>
      </c>
      <c r="E1614" s="31">
        <v>70670</v>
      </c>
      <c r="F1614" s="33" t="s">
        <v>20</v>
      </c>
      <c r="G1614" s="31" t="s">
        <v>52</v>
      </c>
      <c r="H1614" s="31" t="s">
        <v>46</v>
      </c>
      <c r="I1614" s="31" t="s">
        <v>51</v>
      </c>
    </row>
    <row r="1615" spans="2:9" x14ac:dyDescent="0.25">
      <c r="B1615" s="31" t="s">
        <v>210</v>
      </c>
      <c r="C1615" s="32">
        <v>45113</v>
      </c>
      <c r="D1615" s="31">
        <v>2381397</v>
      </c>
      <c r="E1615" s="31">
        <v>8252</v>
      </c>
      <c r="F1615" s="33" t="s">
        <v>286</v>
      </c>
      <c r="G1615" s="31" t="s">
        <v>52</v>
      </c>
      <c r="H1615" s="31" t="s">
        <v>46</v>
      </c>
      <c r="I1615" s="31" t="s">
        <v>51</v>
      </c>
    </row>
    <row r="1616" spans="2:9" x14ac:dyDescent="0.25">
      <c r="B1616" s="31" t="s">
        <v>22</v>
      </c>
      <c r="C1616" s="32">
        <v>45113</v>
      </c>
      <c r="D1616" s="31">
        <v>408317</v>
      </c>
      <c r="E1616" s="31">
        <v>1216</v>
      </c>
      <c r="F1616" s="33" t="s">
        <v>47</v>
      </c>
      <c r="G1616" s="31" t="s">
        <v>341</v>
      </c>
      <c r="H1616" s="31" t="s">
        <v>41</v>
      </c>
      <c r="I1616" s="31" t="s">
        <v>17</v>
      </c>
    </row>
    <row r="1617" spans="2:9" x14ac:dyDescent="0.25">
      <c r="B1617" s="31" t="s">
        <v>40</v>
      </c>
      <c r="C1617" s="32">
        <v>45113</v>
      </c>
      <c r="D1617" s="31">
        <v>6620</v>
      </c>
      <c r="E1617" s="31">
        <v>5346</v>
      </c>
      <c r="F1617" s="33" t="s">
        <v>277</v>
      </c>
      <c r="G1617" s="31" t="s">
        <v>7</v>
      </c>
      <c r="H1617" s="31" t="s">
        <v>38</v>
      </c>
      <c r="I1617" s="31" t="s">
        <v>17</v>
      </c>
    </row>
    <row r="1618" spans="2:9" x14ac:dyDescent="0.25">
      <c r="B1618" s="31" t="s">
        <v>40</v>
      </c>
      <c r="C1618" s="32">
        <v>45113</v>
      </c>
      <c r="D1618" s="31">
        <v>8480300</v>
      </c>
      <c r="E1618" s="31">
        <v>9389</v>
      </c>
      <c r="F1618" s="33" t="s">
        <v>119</v>
      </c>
      <c r="G1618" s="31" t="s">
        <v>4</v>
      </c>
      <c r="H1618" s="31" t="s">
        <v>184</v>
      </c>
      <c r="I1618" s="31" t="s">
        <v>61</v>
      </c>
    </row>
    <row r="1619" spans="2:9" x14ac:dyDescent="0.25">
      <c r="B1619" s="31" t="s">
        <v>40</v>
      </c>
      <c r="C1619" s="32">
        <v>45113</v>
      </c>
      <c r="D1619" s="31">
        <v>8480302</v>
      </c>
      <c r="E1619" s="31">
        <v>9389</v>
      </c>
      <c r="F1619" s="33" t="s">
        <v>119</v>
      </c>
      <c r="G1619" s="31" t="s">
        <v>4</v>
      </c>
      <c r="H1619" s="31" t="s">
        <v>184</v>
      </c>
      <c r="I1619" s="31" t="s">
        <v>61</v>
      </c>
    </row>
    <row r="1620" spans="2:9" x14ac:dyDescent="0.25">
      <c r="B1620" s="31" t="s">
        <v>40</v>
      </c>
      <c r="C1620" s="32">
        <v>45113</v>
      </c>
      <c r="D1620" s="31">
        <v>8480304</v>
      </c>
      <c r="E1620" s="31">
        <v>9389</v>
      </c>
      <c r="F1620" s="33" t="s">
        <v>119</v>
      </c>
      <c r="G1620" s="31" t="s">
        <v>4</v>
      </c>
      <c r="H1620" s="31" t="s">
        <v>184</v>
      </c>
      <c r="I1620" s="31" t="s">
        <v>61</v>
      </c>
    </row>
    <row r="1621" spans="2:9" x14ac:dyDescent="0.25">
      <c r="B1621" s="31" t="s">
        <v>40</v>
      </c>
      <c r="C1621" s="32">
        <v>45113</v>
      </c>
      <c r="D1621" s="31">
        <v>8480305</v>
      </c>
      <c r="E1621" s="31">
        <v>9389</v>
      </c>
      <c r="F1621" s="33" t="s">
        <v>119</v>
      </c>
      <c r="G1621" s="31" t="s">
        <v>4</v>
      </c>
      <c r="H1621" s="31" t="s">
        <v>184</v>
      </c>
      <c r="I1621" s="31" t="s">
        <v>61</v>
      </c>
    </row>
    <row r="1622" spans="2:9" x14ac:dyDescent="0.25">
      <c r="B1622" s="31" t="s">
        <v>22</v>
      </c>
      <c r="C1622" s="32">
        <v>45113</v>
      </c>
      <c r="D1622" s="31">
        <v>79861</v>
      </c>
      <c r="E1622" s="31">
        <v>64460</v>
      </c>
      <c r="F1622" s="33" t="s">
        <v>139</v>
      </c>
      <c r="G1622" s="31" t="s">
        <v>6</v>
      </c>
      <c r="H1622" s="31" t="s">
        <v>71</v>
      </c>
      <c r="I1622" s="31" t="s">
        <v>17</v>
      </c>
    </row>
    <row r="1623" spans="2:9" x14ac:dyDescent="0.25">
      <c r="B1623" s="31" t="s">
        <v>2</v>
      </c>
      <c r="C1623" s="32">
        <v>45113</v>
      </c>
      <c r="D1623" s="31">
        <v>408325</v>
      </c>
      <c r="E1623" s="31">
        <v>1216</v>
      </c>
      <c r="F1623" s="33" t="s">
        <v>47</v>
      </c>
      <c r="G1623" s="31" t="s">
        <v>5</v>
      </c>
      <c r="H1623" s="31" t="s">
        <v>184</v>
      </c>
      <c r="I1623" s="31" t="s">
        <v>61</v>
      </c>
    </row>
    <row r="1624" spans="2:9" x14ac:dyDescent="0.25">
      <c r="B1624" s="31" t="s">
        <v>2</v>
      </c>
      <c r="C1624" s="32">
        <v>45113</v>
      </c>
      <c r="D1624" s="31">
        <v>163376</v>
      </c>
      <c r="E1624" s="31">
        <v>8281</v>
      </c>
      <c r="F1624" s="33" t="s">
        <v>321</v>
      </c>
      <c r="G1624" s="31" t="s">
        <v>5</v>
      </c>
      <c r="H1624" s="31" t="s">
        <v>49</v>
      </c>
      <c r="I1624" s="31" t="s">
        <v>348</v>
      </c>
    </row>
    <row r="1625" spans="2:9" x14ac:dyDescent="0.25">
      <c r="B1625" s="31" t="s">
        <v>40</v>
      </c>
      <c r="C1625" s="32">
        <v>45113</v>
      </c>
      <c r="D1625" s="31">
        <v>163374</v>
      </c>
      <c r="E1625" s="31">
        <v>8281</v>
      </c>
      <c r="F1625" s="33" t="s">
        <v>321</v>
      </c>
      <c r="G1625" s="31" t="s">
        <v>5</v>
      </c>
      <c r="H1625" s="31" t="s">
        <v>49</v>
      </c>
      <c r="I1625" s="31" t="s">
        <v>61</v>
      </c>
    </row>
    <row r="1626" spans="2:9" x14ac:dyDescent="0.25">
      <c r="B1626" s="16" t="s">
        <v>33</v>
      </c>
      <c r="C1626" s="17">
        <v>45114</v>
      </c>
      <c r="D1626" s="16">
        <v>2123917</v>
      </c>
      <c r="E1626" s="16">
        <v>9459</v>
      </c>
      <c r="F1626" s="18" t="s">
        <v>105</v>
      </c>
      <c r="G1626" s="16" t="s">
        <v>5</v>
      </c>
      <c r="H1626" s="16" t="s">
        <v>184</v>
      </c>
      <c r="I1626" s="16" t="s">
        <v>61</v>
      </c>
    </row>
    <row r="1627" spans="2:9" x14ac:dyDescent="0.25">
      <c r="B1627" s="16" t="s">
        <v>210</v>
      </c>
      <c r="C1627" s="17">
        <v>45114</v>
      </c>
      <c r="D1627" s="16">
        <v>239751</v>
      </c>
      <c r="E1627" s="16">
        <v>1175</v>
      </c>
      <c r="F1627" s="18" t="s">
        <v>81</v>
      </c>
      <c r="G1627" s="16" t="s">
        <v>7</v>
      </c>
      <c r="H1627" s="16" t="s">
        <v>38</v>
      </c>
      <c r="I1627" s="16" t="s">
        <v>103</v>
      </c>
    </row>
    <row r="1628" spans="2:9" x14ac:dyDescent="0.25">
      <c r="B1628" s="16" t="s">
        <v>33</v>
      </c>
      <c r="C1628" s="17">
        <v>45114</v>
      </c>
      <c r="D1628" s="16">
        <v>8485823</v>
      </c>
      <c r="E1628" s="16">
        <v>9389</v>
      </c>
      <c r="F1628" s="18" t="s">
        <v>119</v>
      </c>
      <c r="G1628" s="16" t="s">
        <v>52</v>
      </c>
      <c r="H1628" s="16" t="s">
        <v>184</v>
      </c>
      <c r="I1628" s="16" t="s">
        <v>61</v>
      </c>
    </row>
    <row r="1629" spans="2:9" x14ac:dyDescent="0.25">
      <c r="B1629" s="16" t="s">
        <v>26</v>
      </c>
      <c r="C1629" s="17">
        <v>45114</v>
      </c>
      <c r="D1629" s="16">
        <v>4335022</v>
      </c>
      <c r="E1629" s="16">
        <v>1174</v>
      </c>
      <c r="F1629" s="18" t="s">
        <v>100</v>
      </c>
      <c r="G1629" s="16" t="s">
        <v>54</v>
      </c>
      <c r="H1629" s="16" t="s">
        <v>36</v>
      </c>
      <c r="I1629" s="16" t="s">
        <v>61</v>
      </c>
    </row>
    <row r="1630" spans="2:9" x14ac:dyDescent="0.25">
      <c r="B1630" s="16" t="s">
        <v>26</v>
      </c>
      <c r="C1630" s="17">
        <v>45114</v>
      </c>
      <c r="D1630" s="16">
        <v>1404414</v>
      </c>
      <c r="E1630" s="16">
        <v>13235</v>
      </c>
      <c r="F1630" s="18" t="s">
        <v>99</v>
      </c>
      <c r="G1630" s="16" t="s">
        <v>0</v>
      </c>
      <c r="H1630" s="16" t="s">
        <v>75</v>
      </c>
      <c r="I1630" s="16" t="s">
        <v>61</v>
      </c>
    </row>
    <row r="1631" spans="2:9" x14ac:dyDescent="0.25">
      <c r="B1631" s="16" t="s">
        <v>40</v>
      </c>
      <c r="C1631" s="17">
        <v>45114</v>
      </c>
      <c r="D1631" s="16">
        <v>2123875</v>
      </c>
      <c r="E1631" s="16">
        <v>9459</v>
      </c>
      <c r="F1631" s="18" t="s">
        <v>105</v>
      </c>
      <c r="G1631" s="16" t="s">
        <v>5</v>
      </c>
      <c r="H1631" s="16" t="s">
        <v>184</v>
      </c>
      <c r="I1631" s="16" t="s">
        <v>57</v>
      </c>
    </row>
    <row r="1632" spans="2:9" x14ac:dyDescent="0.25">
      <c r="B1632" s="16" t="s">
        <v>210</v>
      </c>
      <c r="C1632" s="17">
        <v>45114</v>
      </c>
      <c r="D1632" s="16">
        <v>4645404</v>
      </c>
      <c r="E1632" s="16">
        <v>9460</v>
      </c>
      <c r="F1632" s="18" t="s">
        <v>183</v>
      </c>
      <c r="G1632" s="16" t="s">
        <v>52</v>
      </c>
      <c r="H1632" s="16" t="s">
        <v>31</v>
      </c>
      <c r="I1632" s="16" t="s">
        <v>132</v>
      </c>
    </row>
    <row r="1633" spans="2:9" x14ac:dyDescent="0.25">
      <c r="B1633" s="16" t="s">
        <v>40</v>
      </c>
      <c r="C1633" s="17">
        <v>45114</v>
      </c>
      <c r="D1633" s="16">
        <v>2123877</v>
      </c>
      <c r="E1633" s="16">
        <v>9459</v>
      </c>
      <c r="F1633" s="18" t="s">
        <v>105</v>
      </c>
      <c r="G1633" s="16" t="s">
        <v>52</v>
      </c>
      <c r="H1633" s="16" t="s">
        <v>184</v>
      </c>
      <c r="I1633" s="16" t="s">
        <v>61</v>
      </c>
    </row>
    <row r="1634" spans="2:9" x14ac:dyDescent="0.25">
      <c r="B1634" s="16" t="s">
        <v>33</v>
      </c>
      <c r="C1634" s="17">
        <v>45114</v>
      </c>
      <c r="D1634" s="16">
        <v>202600</v>
      </c>
      <c r="E1634" s="16">
        <v>1100</v>
      </c>
      <c r="F1634" s="18" t="s">
        <v>152</v>
      </c>
      <c r="G1634" s="16" t="s">
        <v>5</v>
      </c>
      <c r="H1634" s="16" t="s">
        <v>184</v>
      </c>
      <c r="I1634" s="16" t="s">
        <v>232</v>
      </c>
    </row>
    <row r="1635" spans="2:9" x14ac:dyDescent="0.25">
      <c r="B1635" s="16" t="s">
        <v>210</v>
      </c>
      <c r="C1635" s="17">
        <v>45114</v>
      </c>
      <c r="D1635" s="16">
        <v>2123814</v>
      </c>
      <c r="E1635" s="16">
        <v>9459</v>
      </c>
      <c r="F1635" s="18" t="s">
        <v>105</v>
      </c>
      <c r="G1635" s="16" t="s">
        <v>5</v>
      </c>
      <c r="H1635" s="16" t="s">
        <v>184</v>
      </c>
      <c r="I1635" s="16" t="s">
        <v>57</v>
      </c>
    </row>
    <row r="1636" spans="2:9" x14ac:dyDescent="0.25">
      <c r="B1636" s="16" t="s">
        <v>210</v>
      </c>
      <c r="C1636" s="17">
        <v>45114</v>
      </c>
      <c r="D1636" s="16">
        <v>986475</v>
      </c>
      <c r="E1636" s="16">
        <v>9434</v>
      </c>
      <c r="F1636" s="18" t="s">
        <v>23</v>
      </c>
      <c r="G1636" s="16" t="s">
        <v>334</v>
      </c>
      <c r="H1636" s="16" t="s">
        <v>49</v>
      </c>
      <c r="I1636" s="16" t="s">
        <v>103</v>
      </c>
    </row>
    <row r="1637" spans="2:9" x14ac:dyDescent="0.25">
      <c r="B1637" s="16" t="s">
        <v>40</v>
      </c>
      <c r="C1637" s="17">
        <v>45114</v>
      </c>
      <c r="D1637" s="16">
        <v>1799218</v>
      </c>
      <c r="E1637" s="16">
        <v>9307</v>
      </c>
      <c r="F1637" s="18" t="s">
        <v>68</v>
      </c>
      <c r="G1637" s="16" t="s">
        <v>334</v>
      </c>
      <c r="H1637" s="16" t="s">
        <v>190</v>
      </c>
      <c r="I1637" s="16" t="s">
        <v>103</v>
      </c>
    </row>
    <row r="1638" spans="2:9" x14ac:dyDescent="0.25">
      <c r="B1638" s="16" t="s">
        <v>22</v>
      </c>
      <c r="C1638" s="17">
        <v>45114</v>
      </c>
      <c r="D1638" s="16">
        <v>750</v>
      </c>
      <c r="E1638" s="16">
        <v>63884</v>
      </c>
      <c r="F1638" s="18" t="s">
        <v>349</v>
      </c>
      <c r="G1638" s="16" t="s">
        <v>7</v>
      </c>
      <c r="H1638" s="16" t="s">
        <v>137</v>
      </c>
      <c r="I1638" s="16" t="s">
        <v>103</v>
      </c>
    </row>
    <row r="1639" spans="2:9" x14ac:dyDescent="0.25">
      <c r="B1639" s="16" t="s">
        <v>22</v>
      </c>
      <c r="C1639" s="17">
        <v>45114</v>
      </c>
      <c r="D1639" s="16">
        <v>1073410</v>
      </c>
      <c r="E1639" s="16">
        <v>9378</v>
      </c>
      <c r="F1639" s="18" t="s">
        <v>30</v>
      </c>
      <c r="G1639" s="16" t="s">
        <v>16</v>
      </c>
      <c r="H1639" s="16" t="s">
        <v>39</v>
      </c>
      <c r="I1639" s="16" t="s">
        <v>61</v>
      </c>
    </row>
    <row r="1640" spans="2:9" x14ac:dyDescent="0.25">
      <c r="B1640" s="16" t="s">
        <v>22</v>
      </c>
      <c r="C1640" s="17">
        <v>45114</v>
      </c>
      <c r="D1640" s="16">
        <v>2123844</v>
      </c>
      <c r="E1640" s="16">
        <v>9459</v>
      </c>
      <c r="F1640" s="18" t="s">
        <v>105</v>
      </c>
      <c r="G1640" s="16" t="s">
        <v>5</v>
      </c>
      <c r="H1640" s="16" t="s">
        <v>186</v>
      </c>
      <c r="I1640" s="16" t="s">
        <v>61</v>
      </c>
    </row>
    <row r="1641" spans="2:9" x14ac:dyDescent="0.25">
      <c r="B1641" s="16" t="s">
        <v>22</v>
      </c>
      <c r="C1641" s="17">
        <v>45114</v>
      </c>
      <c r="D1641" s="16">
        <v>174625</v>
      </c>
      <c r="E1641" s="16">
        <v>10440</v>
      </c>
      <c r="F1641" s="18" t="s">
        <v>37</v>
      </c>
      <c r="G1641" s="16" t="s">
        <v>342</v>
      </c>
      <c r="H1641" s="16" t="s">
        <v>46</v>
      </c>
      <c r="I1641" s="16" t="s">
        <v>103</v>
      </c>
    </row>
    <row r="1642" spans="2:9" x14ac:dyDescent="0.25">
      <c r="B1642" s="16" t="s">
        <v>210</v>
      </c>
      <c r="C1642" s="17">
        <v>45114</v>
      </c>
      <c r="D1642" s="16">
        <v>1404382</v>
      </c>
      <c r="E1642" s="16">
        <v>13235</v>
      </c>
      <c r="F1642" s="18" t="s">
        <v>99</v>
      </c>
      <c r="G1642" s="16" t="s">
        <v>4</v>
      </c>
      <c r="H1642" s="16" t="s">
        <v>36</v>
      </c>
      <c r="I1642" s="16" t="s">
        <v>61</v>
      </c>
    </row>
    <row r="1643" spans="2:9" x14ac:dyDescent="0.25">
      <c r="B1643" s="16" t="s">
        <v>26</v>
      </c>
      <c r="C1643" s="17">
        <v>45114</v>
      </c>
      <c r="D1643" s="16">
        <v>27046</v>
      </c>
      <c r="E1643" s="16">
        <v>70485</v>
      </c>
      <c r="F1643" s="18" t="s">
        <v>20</v>
      </c>
      <c r="G1643" s="16" t="s">
        <v>52</v>
      </c>
      <c r="H1643" s="16" t="s">
        <v>71</v>
      </c>
      <c r="I1643" s="16" t="s">
        <v>61</v>
      </c>
    </row>
    <row r="1644" spans="2:9" x14ac:dyDescent="0.25">
      <c r="B1644" s="16" t="s">
        <v>26</v>
      </c>
      <c r="C1644" s="17">
        <v>45114</v>
      </c>
      <c r="D1644" s="16">
        <v>27045</v>
      </c>
      <c r="E1644" s="16">
        <v>70485</v>
      </c>
      <c r="F1644" s="18" t="s">
        <v>20</v>
      </c>
      <c r="G1644" s="16" t="s">
        <v>52</v>
      </c>
      <c r="H1644" s="16" t="s">
        <v>71</v>
      </c>
      <c r="I1644" s="16" t="s">
        <v>61</v>
      </c>
    </row>
    <row r="1645" spans="2:9" x14ac:dyDescent="0.25">
      <c r="B1645" s="16" t="s">
        <v>26</v>
      </c>
      <c r="C1645" s="17">
        <v>45114</v>
      </c>
      <c r="D1645" s="16">
        <v>27047</v>
      </c>
      <c r="E1645" s="16">
        <v>70485</v>
      </c>
      <c r="F1645" s="18" t="s">
        <v>20</v>
      </c>
      <c r="G1645" s="16" t="s">
        <v>52</v>
      </c>
      <c r="H1645" s="16" t="s">
        <v>71</v>
      </c>
      <c r="I1645" s="16" t="s">
        <v>61</v>
      </c>
    </row>
    <row r="1646" spans="2:9" x14ac:dyDescent="0.25">
      <c r="B1646" s="16" t="s">
        <v>26</v>
      </c>
      <c r="C1646" s="17">
        <v>45114</v>
      </c>
      <c r="D1646" s="16">
        <v>27050</v>
      </c>
      <c r="E1646" s="16">
        <v>70485</v>
      </c>
      <c r="F1646" s="18" t="s">
        <v>20</v>
      </c>
      <c r="G1646" s="16" t="s">
        <v>52</v>
      </c>
      <c r="H1646" s="16" t="s">
        <v>71</v>
      </c>
      <c r="I1646" s="16" t="s">
        <v>61</v>
      </c>
    </row>
    <row r="1647" spans="2:9" x14ac:dyDescent="0.25">
      <c r="B1647" s="16" t="s">
        <v>26</v>
      </c>
      <c r="C1647" s="17">
        <v>45114</v>
      </c>
      <c r="D1647" s="16">
        <v>27051</v>
      </c>
      <c r="E1647" s="16">
        <v>70485</v>
      </c>
      <c r="F1647" s="18" t="s">
        <v>20</v>
      </c>
      <c r="G1647" s="16" t="s">
        <v>52</v>
      </c>
      <c r="H1647" s="16" t="s">
        <v>71</v>
      </c>
      <c r="I1647" s="16" t="s">
        <v>61</v>
      </c>
    </row>
    <row r="1648" spans="2:9" x14ac:dyDescent="0.25">
      <c r="B1648" s="16" t="s">
        <v>26</v>
      </c>
      <c r="C1648" s="17">
        <v>45114</v>
      </c>
      <c r="D1648" s="16">
        <v>27053</v>
      </c>
      <c r="E1648" s="16">
        <v>70485</v>
      </c>
      <c r="F1648" s="18" t="s">
        <v>20</v>
      </c>
      <c r="G1648" s="16" t="s">
        <v>52</v>
      </c>
      <c r="H1648" s="16" t="s">
        <v>71</v>
      </c>
      <c r="I1648" s="16" t="s">
        <v>61</v>
      </c>
    </row>
    <row r="1649" spans="2:9" x14ac:dyDescent="0.25">
      <c r="B1649" s="16" t="s">
        <v>26</v>
      </c>
      <c r="C1649" s="17">
        <v>45114</v>
      </c>
      <c r="D1649" s="16">
        <v>27052</v>
      </c>
      <c r="E1649" s="16">
        <v>70485</v>
      </c>
      <c r="F1649" s="18" t="s">
        <v>20</v>
      </c>
      <c r="G1649" s="16" t="s">
        <v>52</v>
      </c>
      <c r="H1649" s="16" t="s">
        <v>71</v>
      </c>
      <c r="I1649" s="16" t="s">
        <v>61</v>
      </c>
    </row>
    <row r="1650" spans="2:9" x14ac:dyDescent="0.25">
      <c r="B1650" s="16" t="s">
        <v>26</v>
      </c>
      <c r="C1650" s="17">
        <v>45114</v>
      </c>
      <c r="D1650" s="16">
        <v>27054</v>
      </c>
      <c r="E1650" s="16">
        <v>70485</v>
      </c>
      <c r="F1650" s="18" t="s">
        <v>20</v>
      </c>
      <c r="G1650" s="16" t="s">
        <v>52</v>
      </c>
      <c r="H1650" s="16" t="s">
        <v>71</v>
      </c>
      <c r="I1650" s="16" t="s">
        <v>61</v>
      </c>
    </row>
    <row r="1651" spans="2:9" x14ac:dyDescent="0.25">
      <c r="B1651" s="16" t="s">
        <v>26</v>
      </c>
      <c r="C1651" s="17">
        <v>45114</v>
      </c>
      <c r="D1651" s="16">
        <v>27055</v>
      </c>
      <c r="E1651" s="16">
        <v>70485</v>
      </c>
      <c r="F1651" s="18" t="s">
        <v>20</v>
      </c>
      <c r="G1651" s="16" t="s">
        <v>52</v>
      </c>
      <c r="H1651" s="16" t="s">
        <v>71</v>
      </c>
      <c r="I1651" s="16" t="s">
        <v>61</v>
      </c>
    </row>
    <row r="1652" spans="2:9" x14ac:dyDescent="0.25">
      <c r="B1652" s="16" t="s">
        <v>26</v>
      </c>
      <c r="C1652" s="17">
        <v>45114</v>
      </c>
      <c r="D1652" s="16">
        <v>27048</v>
      </c>
      <c r="E1652" s="16">
        <v>70485</v>
      </c>
      <c r="F1652" s="18" t="s">
        <v>20</v>
      </c>
      <c r="G1652" s="16" t="s">
        <v>52</v>
      </c>
      <c r="H1652" s="16" t="s">
        <v>71</v>
      </c>
      <c r="I1652" s="16" t="s">
        <v>61</v>
      </c>
    </row>
    <row r="1653" spans="2:9" x14ac:dyDescent="0.25">
      <c r="B1653" s="16" t="s">
        <v>26</v>
      </c>
      <c r="C1653" s="17">
        <v>45115</v>
      </c>
      <c r="D1653" s="16">
        <v>119849</v>
      </c>
      <c r="E1653" s="16">
        <v>11604</v>
      </c>
      <c r="F1653" s="18" t="s">
        <v>63</v>
      </c>
      <c r="G1653" s="16" t="s">
        <v>262</v>
      </c>
      <c r="H1653" s="16" t="s">
        <v>38</v>
      </c>
      <c r="I1653" s="16" t="s">
        <v>103</v>
      </c>
    </row>
    <row r="1654" spans="2:9" x14ac:dyDescent="0.25">
      <c r="B1654" s="16" t="s">
        <v>210</v>
      </c>
      <c r="C1654" s="17">
        <v>45115</v>
      </c>
      <c r="D1654" s="16">
        <v>214702</v>
      </c>
      <c r="E1654" s="16">
        <v>9813</v>
      </c>
      <c r="F1654" s="18" t="s">
        <v>86</v>
      </c>
      <c r="G1654" s="16" t="s">
        <v>343</v>
      </c>
      <c r="H1654" s="16" t="s">
        <v>350</v>
      </c>
      <c r="I1654" s="16" t="s">
        <v>42</v>
      </c>
    </row>
    <row r="1655" spans="2:9" x14ac:dyDescent="0.25">
      <c r="B1655" s="16" t="s">
        <v>210</v>
      </c>
      <c r="C1655" s="17">
        <v>45117</v>
      </c>
      <c r="D1655" s="16">
        <v>119883</v>
      </c>
      <c r="E1655" s="16" t="s">
        <v>20</v>
      </c>
      <c r="F1655" s="18" t="s">
        <v>20</v>
      </c>
      <c r="G1655" s="16" t="s">
        <v>20</v>
      </c>
      <c r="H1655" s="16" t="s">
        <v>20</v>
      </c>
      <c r="I1655" s="16" t="s">
        <v>20</v>
      </c>
    </row>
    <row r="1656" spans="2:9" x14ac:dyDescent="0.25">
      <c r="B1656" s="16" t="s">
        <v>40</v>
      </c>
      <c r="C1656" s="17">
        <v>45117</v>
      </c>
      <c r="D1656" s="16">
        <v>59489</v>
      </c>
      <c r="E1656" s="16">
        <v>11787</v>
      </c>
      <c r="F1656" s="18" t="s">
        <v>244</v>
      </c>
      <c r="G1656" s="16" t="s">
        <v>334</v>
      </c>
      <c r="H1656" s="16" t="s">
        <v>28</v>
      </c>
      <c r="I1656" s="16" t="s">
        <v>61</v>
      </c>
    </row>
    <row r="1657" spans="2:9" x14ac:dyDescent="0.25">
      <c r="B1657" s="16" t="s">
        <v>33</v>
      </c>
      <c r="C1657" s="17">
        <v>45117</v>
      </c>
      <c r="D1657" s="16">
        <v>49481</v>
      </c>
      <c r="E1657" s="16">
        <v>11787</v>
      </c>
      <c r="F1657" s="18" t="s">
        <v>244</v>
      </c>
      <c r="G1657" s="16" t="s">
        <v>334</v>
      </c>
      <c r="H1657" s="16" t="s">
        <v>36</v>
      </c>
      <c r="I1657" s="16" t="s">
        <v>61</v>
      </c>
    </row>
    <row r="1658" spans="2:9" x14ac:dyDescent="0.25">
      <c r="B1658" s="16" t="s">
        <v>210</v>
      </c>
      <c r="C1658" s="17">
        <v>45117</v>
      </c>
      <c r="D1658" s="16">
        <v>59468</v>
      </c>
      <c r="E1658" s="16">
        <v>11787</v>
      </c>
      <c r="F1658" s="18" t="s">
        <v>244</v>
      </c>
      <c r="G1658" s="16" t="s">
        <v>334</v>
      </c>
      <c r="H1658" s="16" t="s">
        <v>36</v>
      </c>
      <c r="I1658" s="16" t="s">
        <v>61</v>
      </c>
    </row>
    <row r="1659" spans="2:9" x14ac:dyDescent="0.25">
      <c r="B1659" s="16" t="s">
        <v>33</v>
      </c>
      <c r="C1659" s="17">
        <v>45117</v>
      </c>
      <c r="D1659" s="16">
        <v>119877</v>
      </c>
      <c r="E1659" s="16">
        <v>11604</v>
      </c>
      <c r="F1659" s="18" t="s">
        <v>63</v>
      </c>
      <c r="G1659" s="16" t="s">
        <v>262</v>
      </c>
      <c r="H1659" s="16" t="s">
        <v>38</v>
      </c>
      <c r="I1659" s="16" t="s">
        <v>17</v>
      </c>
    </row>
    <row r="1660" spans="2:9" x14ac:dyDescent="0.25">
      <c r="B1660" s="16" t="s">
        <v>210</v>
      </c>
      <c r="C1660" s="17">
        <v>45117</v>
      </c>
      <c r="D1660" s="16">
        <v>1800852</v>
      </c>
      <c r="E1660" s="16">
        <v>9307</v>
      </c>
      <c r="F1660" s="18" t="s">
        <v>68</v>
      </c>
      <c r="G1660" s="16" t="s">
        <v>334</v>
      </c>
      <c r="H1660" s="16" t="s">
        <v>184</v>
      </c>
      <c r="I1660" s="16" t="s">
        <v>61</v>
      </c>
    </row>
    <row r="1661" spans="2:9" x14ac:dyDescent="0.25">
      <c r="B1661" s="16" t="s">
        <v>210</v>
      </c>
      <c r="C1661" s="17">
        <v>45117</v>
      </c>
      <c r="D1661" s="16">
        <v>214702</v>
      </c>
      <c r="E1661" s="16">
        <v>9813</v>
      </c>
      <c r="F1661" s="18" t="s">
        <v>86</v>
      </c>
      <c r="G1661" s="16" t="s">
        <v>4</v>
      </c>
      <c r="H1661" s="16" t="s">
        <v>350</v>
      </c>
      <c r="I1661" s="16" t="s">
        <v>61</v>
      </c>
    </row>
    <row r="1662" spans="2:9" x14ac:dyDescent="0.25">
      <c r="B1662" s="16" t="s">
        <v>40</v>
      </c>
      <c r="C1662" s="17">
        <v>45117</v>
      </c>
      <c r="D1662" s="16">
        <v>214699</v>
      </c>
      <c r="E1662" s="16">
        <v>9813</v>
      </c>
      <c r="F1662" s="18" t="s">
        <v>86</v>
      </c>
      <c r="G1662" s="16" t="s">
        <v>343</v>
      </c>
      <c r="H1662" s="16" t="s">
        <v>350</v>
      </c>
      <c r="I1662" s="16" t="s">
        <v>61</v>
      </c>
    </row>
    <row r="1663" spans="2:9" x14ac:dyDescent="0.25">
      <c r="B1663" s="16" t="s">
        <v>26</v>
      </c>
      <c r="C1663" s="17">
        <v>45117</v>
      </c>
      <c r="D1663" s="16">
        <v>59474</v>
      </c>
      <c r="E1663" s="16">
        <v>11787</v>
      </c>
      <c r="F1663" s="18" t="s">
        <v>244</v>
      </c>
      <c r="G1663" s="16" t="s">
        <v>351</v>
      </c>
      <c r="H1663" s="16" t="s">
        <v>28</v>
      </c>
      <c r="I1663" s="16" t="s">
        <v>61</v>
      </c>
    </row>
    <row r="1664" spans="2:9" x14ac:dyDescent="0.25">
      <c r="B1664" s="16" t="s">
        <v>40</v>
      </c>
      <c r="C1664" s="17">
        <v>45117</v>
      </c>
      <c r="D1664" s="16">
        <v>769966</v>
      </c>
      <c r="E1664" s="16">
        <v>1032</v>
      </c>
      <c r="F1664" s="18" t="s">
        <v>225</v>
      </c>
      <c r="G1664" s="16" t="s">
        <v>20</v>
      </c>
      <c r="H1664" s="16" t="s">
        <v>184</v>
      </c>
      <c r="I1664" s="16" t="s">
        <v>258</v>
      </c>
    </row>
    <row r="1665" spans="2:9" x14ac:dyDescent="0.25">
      <c r="B1665" s="16" t="s">
        <v>210</v>
      </c>
      <c r="C1665" s="17">
        <v>45117</v>
      </c>
      <c r="D1665" s="16">
        <v>986475</v>
      </c>
      <c r="E1665" s="16">
        <v>9434</v>
      </c>
      <c r="F1665" s="18" t="s">
        <v>23</v>
      </c>
      <c r="G1665" s="16" t="s">
        <v>352</v>
      </c>
      <c r="H1665" s="16" t="s">
        <v>49</v>
      </c>
      <c r="I1665" s="16" t="s">
        <v>17</v>
      </c>
    </row>
    <row r="1666" spans="2:9" x14ac:dyDescent="0.25">
      <c r="B1666" s="16" t="s">
        <v>33</v>
      </c>
      <c r="C1666" s="17">
        <v>45117</v>
      </c>
      <c r="D1666" s="16">
        <v>214704</v>
      </c>
      <c r="E1666" s="16">
        <v>9813</v>
      </c>
      <c r="F1666" s="18" t="s">
        <v>86</v>
      </c>
      <c r="G1666" s="16" t="s">
        <v>20</v>
      </c>
      <c r="H1666" s="16" t="s">
        <v>184</v>
      </c>
      <c r="I1666" s="16" t="s">
        <v>20</v>
      </c>
    </row>
    <row r="1667" spans="2:9" x14ac:dyDescent="0.25">
      <c r="B1667" s="16" t="s">
        <v>2</v>
      </c>
      <c r="C1667" s="17">
        <v>45117</v>
      </c>
      <c r="D1667" s="16">
        <v>59483</v>
      </c>
      <c r="E1667" s="16">
        <v>11787</v>
      </c>
      <c r="F1667" s="18" t="s">
        <v>244</v>
      </c>
      <c r="G1667" s="16" t="s">
        <v>335</v>
      </c>
      <c r="H1667" s="16" t="s">
        <v>36</v>
      </c>
      <c r="I1667" s="16" t="s">
        <v>61</v>
      </c>
    </row>
    <row r="1668" spans="2:9" x14ac:dyDescent="0.25">
      <c r="B1668" s="16" t="s">
        <v>2</v>
      </c>
      <c r="C1668" s="17">
        <v>45117</v>
      </c>
      <c r="D1668" s="16">
        <v>306233</v>
      </c>
      <c r="E1668" s="16">
        <v>1135</v>
      </c>
      <c r="F1668" s="18" t="s">
        <v>205</v>
      </c>
      <c r="G1668" s="16" t="s">
        <v>29</v>
      </c>
      <c r="H1668" s="16" t="s">
        <v>184</v>
      </c>
      <c r="I1668" s="16" t="s">
        <v>61</v>
      </c>
    </row>
    <row r="1669" spans="2:9" x14ac:dyDescent="0.25">
      <c r="B1669" s="16" t="s">
        <v>22</v>
      </c>
      <c r="C1669" s="17">
        <v>45117</v>
      </c>
      <c r="D1669" s="16">
        <v>174625</v>
      </c>
      <c r="E1669" s="16">
        <v>10440</v>
      </c>
      <c r="F1669" s="18" t="s">
        <v>37</v>
      </c>
      <c r="G1669" s="16" t="s">
        <v>342</v>
      </c>
      <c r="H1669" s="16" t="s">
        <v>71</v>
      </c>
      <c r="I1669" s="16" t="s">
        <v>17</v>
      </c>
    </row>
    <row r="1670" spans="2:9" x14ac:dyDescent="0.25">
      <c r="B1670" s="16" t="s">
        <v>40</v>
      </c>
      <c r="C1670" s="17">
        <v>45117</v>
      </c>
      <c r="D1670" s="16">
        <v>128466</v>
      </c>
      <c r="E1670" s="16">
        <v>13090</v>
      </c>
      <c r="F1670" s="18" t="s">
        <v>241</v>
      </c>
      <c r="G1670" s="16" t="s">
        <v>20</v>
      </c>
      <c r="H1670" s="16" t="s">
        <v>38</v>
      </c>
      <c r="I1670" s="16" t="s">
        <v>17</v>
      </c>
    </row>
    <row r="1671" spans="2:9" x14ac:dyDescent="0.25">
      <c r="B1671" s="16" t="s">
        <v>40</v>
      </c>
      <c r="C1671" s="17">
        <v>45117</v>
      </c>
      <c r="D1671" s="16">
        <v>66358</v>
      </c>
      <c r="E1671" s="16">
        <v>5346</v>
      </c>
      <c r="F1671" s="18" t="s">
        <v>277</v>
      </c>
      <c r="G1671" s="16" t="s">
        <v>20</v>
      </c>
      <c r="H1671" s="16" t="s">
        <v>38</v>
      </c>
      <c r="I1671" s="16" t="s">
        <v>17</v>
      </c>
    </row>
    <row r="1672" spans="2:9" x14ac:dyDescent="0.25">
      <c r="B1672" s="16" t="s">
        <v>40</v>
      </c>
      <c r="C1672" s="17">
        <v>45117</v>
      </c>
      <c r="D1672" s="16">
        <v>709</v>
      </c>
      <c r="E1672" s="16">
        <v>71064</v>
      </c>
      <c r="F1672" s="18" t="s">
        <v>20</v>
      </c>
      <c r="G1672" s="16" t="s">
        <v>20</v>
      </c>
      <c r="H1672" s="16" t="s">
        <v>38</v>
      </c>
      <c r="I1672" s="16" t="s">
        <v>17</v>
      </c>
    </row>
    <row r="1673" spans="2:9" x14ac:dyDescent="0.25">
      <c r="B1673" s="16" t="s">
        <v>22</v>
      </c>
      <c r="C1673" s="17">
        <v>45117</v>
      </c>
      <c r="D1673" s="16">
        <v>59484</v>
      </c>
      <c r="E1673" s="16">
        <v>11787</v>
      </c>
      <c r="F1673" s="18" t="s">
        <v>244</v>
      </c>
      <c r="G1673" s="16" t="s">
        <v>334</v>
      </c>
      <c r="H1673" s="16" t="s">
        <v>28</v>
      </c>
      <c r="I1673" s="16" t="s">
        <v>61</v>
      </c>
    </row>
    <row r="1674" spans="2:9" x14ac:dyDescent="0.25">
      <c r="B1674" s="16" t="s">
        <v>33</v>
      </c>
      <c r="C1674" s="17">
        <v>45117</v>
      </c>
      <c r="D1674" s="16">
        <v>243559</v>
      </c>
      <c r="E1674" s="16">
        <v>9398</v>
      </c>
      <c r="F1674" s="18" t="s">
        <v>65</v>
      </c>
      <c r="G1674" s="16" t="s">
        <v>59</v>
      </c>
      <c r="H1674" s="16" t="s">
        <v>190</v>
      </c>
      <c r="I1674" s="16" t="s">
        <v>17</v>
      </c>
    </row>
    <row r="1675" spans="2:9" x14ac:dyDescent="0.25">
      <c r="B1675" s="16" t="s">
        <v>33</v>
      </c>
      <c r="C1675" s="17">
        <v>45117</v>
      </c>
      <c r="D1675" s="16">
        <v>243529</v>
      </c>
      <c r="E1675" s="16">
        <v>9398</v>
      </c>
      <c r="F1675" s="18" t="s">
        <v>65</v>
      </c>
      <c r="G1675" s="16" t="s">
        <v>59</v>
      </c>
      <c r="H1675" s="16" t="s">
        <v>190</v>
      </c>
      <c r="I1675" s="16" t="s">
        <v>17</v>
      </c>
    </row>
    <row r="1676" spans="2:9" x14ac:dyDescent="0.25">
      <c r="B1676" s="16" t="s">
        <v>2</v>
      </c>
      <c r="C1676" s="17">
        <v>45118</v>
      </c>
      <c r="D1676" s="16">
        <v>128142</v>
      </c>
      <c r="E1676" s="16">
        <v>13090</v>
      </c>
      <c r="F1676" s="18" t="s">
        <v>241</v>
      </c>
      <c r="G1676" s="16" t="s">
        <v>7</v>
      </c>
      <c r="H1676" s="16" t="s">
        <v>41</v>
      </c>
      <c r="I1676" s="16" t="s">
        <v>17</v>
      </c>
    </row>
    <row r="1677" spans="2:9" x14ac:dyDescent="0.25">
      <c r="B1677" s="16" t="s">
        <v>33</v>
      </c>
      <c r="C1677" s="17">
        <v>45118</v>
      </c>
      <c r="D1677" s="16">
        <v>989588</v>
      </c>
      <c r="E1677" s="16">
        <v>10263</v>
      </c>
      <c r="F1677" s="18" t="s">
        <v>20</v>
      </c>
      <c r="G1677" s="16" t="s">
        <v>16</v>
      </c>
      <c r="H1677" s="16" t="s">
        <v>36</v>
      </c>
      <c r="I1677" s="16" t="s">
        <v>61</v>
      </c>
    </row>
    <row r="1678" spans="2:9" x14ac:dyDescent="0.25">
      <c r="B1678" s="16" t="s">
        <v>26</v>
      </c>
      <c r="C1678" s="17">
        <v>45118</v>
      </c>
      <c r="D1678" s="16">
        <v>541260</v>
      </c>
      <c r="E1678" s="16">
        <v>13976</v>
      </c>
      <c r="F1678" s="18" t="s">
        <v>353</v>
      </c>
      <c r="G1678" s="16" t="s">
        <v>343</v>
      </c>
      <c r="H1678" s="16" t="s">
        <v>28</v>
      </c>
      <c r="I1678" s="16" t="s">
        <v>20</v>
      </c>
    </row>
    <row r="1679" spans="2:9" x14ac:dyDescent="0.25">
      <c r="B1679" s="16" t="s">
        <v>33</v>
      </c>
      <c r="C1679" s="17">
        <v>45118</v>
      </c>
      <c r="D1679" s="16">
        <v>19340</v>
      </c>
      <c r="E1679" s="16">
        <v>13086</v>
      </c>
      <c r="F1679" s="18" t="s">
        <v>354</v>
      </c>
      <c r="G1679" s="16" t="s">
        <v>52</v>
      </c>
      <c r="H1679" s="16" t="s">
        <v>36</v>
      </c>
      <c r="I1679" s="16" t="s">
        <v>61</v>
      </c>
    </row>
    <row r="1680" spans="2:9" x14ac:dyDescent="0.25">
      <c r="B1680" s="16" t="s">
        <v>210</v>
      </c>
      <c r="C1680" s="17">
        <v>45118</v>
      </c>
      <c r="D1680" s="16">
        <v>149229</v>
      </c>
      <c r="E1680" s="16">
        <v>8918</v>
      </c>
      <c r="F1680" s="18" t="s">
        <v>256</v>
      </c>
      <c r="G1680" s="16" t="s">
        <v>52</v>
      </c>
      <c r="H1680" s="16" t="s">
        <v>49</v>
      </c>
      <c r="I1680" s="16" t="s">
        <v>232</v>
      </c>
    </row>
    <row r="1681" spans="2:9" x14ac:dyDescent="0.25">
      <c r="B1681" s="16" t="s">
        <v>40</v>
      </c>
      <c r="C1681" s="17">
        <v>45118</v>
      </c>
      <c r="D1681" s="16">
        <v>989334</v>
      </c>
      <c r="E1681" s="16">
        <v>10263</v>
      </c>
      <c r="F1681" s="18" t="s">
        <v>34</v>
      </c>
      <c r="G1681" s="16" t="s">
        <v>16</v>
      </c>
      <c r="H1681" s="16" t="s">
        <v>36</v>
      </c>
      <c r="I1681" s="16" t="s">
        <v>61</v>
      </c>
    </row>
    <row r="1682" spans="2:9" x14ac:dyDescent="0.25">
      <c r="B1682" s="16" t="s">
        <v>40</v>
      </c>
      <c r="C1682" s="17">
        <v>45118</v>
      </c>
      <c r="D1682" s="16">
        <v>989367</v>
      </c>
      <c r="E1682" s="16">
        <v>10263</v>
      </c>
      <c r="F1682" s="18" t="s">
        <v>34</v>
      </c>
      <c r="G1682" s="16" t="s">
        <v>16</v>
      </c>
      <c r="H1682" s="16" t="s">
        <v>36</v>
      </c>
      <c r="I1682" s="16" t="s">
        <v>61</v>
      </c>
    </row>
    <row r="1683" spans="2:9" x14ac:dyDescent="0.25">
      <c r="B1683" s="16" t="s">
        <v>40</v>
      </c>
      <c r="C1683" s="17">
        <v>45118</v>
      </c>
      <c r="D1683" s="16">
        <v>989371</v>
      </c>
      <c r="E1683" s="16">
        <v>10263</v>
      </c>
      <c r="F1683" s="18" t="s">
        <v>34</v>
      </c>
      <c r="G1683" s="16" t="s">
        <v>16</v>
      </c>
      <c r="H1683" s="16" t="s">
        <v>36</v>
      </c>
      <c r="I1683" s="16" t="s">
        <v>61</v>
      </c>
    </row>
    <row r="1684" spans="2:9" x14ac:dyDescent="0.25">
      <c r="B1684" s="16" t="s">
        <v>40</v>
      </c>
      <c r="C1684" s="17">
        <v>45118</v>
      </c>
      <c r="D1684" s="16">
        <v>19336</v>
      </c>
      <c r="E1684" s="16">
        <v>13086</v>
      </c>
      <c r="F1684" s="18" t="s">
        <v>354</v>
      </c>
      <c r="G1684" s="16" t="s">
        <v>343</v>
      </c>
      <c r="H1684" s="16" t="s">
        <v>36</v>
      </c>
      <c r="I1684" s="16" t="s">
        <v>61</v>
      </c>
    </row>
    <row r="1685" spans="2:9" x14ac:dyDescent="0.25">
      <c r="B1685" s="16" t="s">
        <v>40</v>
      </c>
      <c r="C1685" s="17">
        <v>45118</v>
      </c>
      <c r="D1685" s="16">
        <v>77069</v>
      </c>
      <c r="E1685" s="16">
        <v>4041</v>
      </c>
      <c r="F1685" s="18" t="s">
        <v>197</v>
      </c>
      <c r="G1685" s="16" t="s">
        <v>7</v>
      </c>
      <c r="H1685" s="16" t="s">
        <v>38</v>
      </c>
      <c r="I1685" s="16" t="s">
        <v>12</v>
      </c>
    </row>
    <row r="1686" spans="2:9" x14ac:dyDescent="0.25">
      <c r="B1686" s="16" t="s">
        <v>210</v>
      </c>
      <c r="C1686" s="17">
        <v>45118</v>
      </c>
      <c r="D1686" s="16">
        <v>986475</v>
      </c>
      <c r="E1686" s="16">
        <v>9434</v>
      </c>
      <c r="F1686" s="18" t="s">
        <v>23</v>
      </c>
      <c r="G1686" s="16" t="s">
        <v>334</v>
      </c>
      <c r="H1686" s="16" t="s">
        <v>304</v>
      </c>
      <c r="I1686" s="16" t="s">
        <v>335</v>
      </c>
    </row>
    <row r="1687" spans="2:9" x14ac:dyDescent="0.25">
      <c r="B1687" s="16" t="s">
        <v>33</v>
      </c>
      <c r="C1687" s="17">
        <v>45118</v>
      </c>
      <c r="D1687" s="16">
        <v>464</v>
      </c>
      <c r="E1687" s="16">
        <v>69430</v>
      </c>
      <c r="F1687" s="18" t="s">
        <v>187</v>
      </c>
      <c r="G1687" s="16" t="s">
        <v>4</v>
      </c>
      <c r="H1687" s="16" t="s">
        <v>184</v>
      </c>
      <c r="I1687" s="16" t="s">
        <v>42</v>
      </c>
    </row>
    <row r="1688" spans="2:9" x14ac:dyDescent="0.25">
      <c r="B1688" s="16" t="s">
        <v>40</v>
      </c>
      <c r="C1688" s="17">
        <v>45118</v>
      </c>
      <c r="D1688" s="16">
        <v>12290</v>
      </c>
      <c r="E1688" s="16">
        <v>13086</v>
      </c>
      <c r="F1688" s="18" t="s">
        <v>354</v>
      </c>
      <c r="G1688" s="16" t="s">
        <v>343</v>
      </c>
      <c r="H1688" s="16" t="s">
        <v>71</v>
      </c>
      <c r="I1688" s="16" t="s">
        <v>17</v>
      </c>
    </row>
    <row r="1689" spans="2:9" x14ac:dyDescent="0.25">
      <c r="B1689" s="16" t="s">
        <v>33</v>
      </c>
      <c r="C1689" s="17">
        <v>45118</v>
      </c>
      <c r="D1689" s="16">
        <v>989619</v>
      </c>
      <c r="E1689" s="16">
        <v>10263</v>
      </c>
      <c r="F1689" s="18" t="s">
        <v>34</v>
      </c>
      <c r="G1689" s="16" t="s">
        <v>16</v>
      </c>
      <c r="H1689" s="16" t="s">
        <v>36</v>
      </c>
      <c r="I1689" s="16" t="s">
        <v>61</v>
      </c>
    </row>
    <row r="1690" spans="2:9" x14ac:dyDescent="0.25">
      <c r="B1690" s="16" t="s">
        <v>2</v>
      </c>
      <c r="C1690" s="17">
        <v>45118</v>
      </c>
      <c r="D1690" s="16">
        <v>989391</v>
      </c>
      <c r="E1690" s="16">
        <v>10263</v>
      </c>
      <c r="F1690" s="18" t="s">
        <v>34</v>
      </c>
      <c r="G1690" s="16" t="s">
        <v>16</v>
      </c>
      <c r="H1690" s="16" t="s">
        <v>36</v>
      </c>
      <c r="I1690" s="16" t="s">
        <v>61</v>
      </c>
    </row>
    <row r="1691" spans="2:9" x14ac:dyDescent="0.25">
      <c r="B1691" s="16" t="s">
        <v>2</v>
      </c>
      <c r="C1691" s="17">
        <v>45118</v>
      </c>
      <c r="D1691" s="16">
        <v>84917726</v>
      </c>
      <c r="E1691" s="16">
        <v>9389</v>
      </c>
      <c r="F1691" s="18" t="s">
        <v>119</v>
      </c>
      <c r="G1691" s="16" t="s">
        <v>4</v>
      </c>
      <c r="H1691" s="16" t="s">
        <v>39</v>
      </c>
      <c r="I1691" s="16" t="s">
        <v>61</v>
      </c>
    </row>
    <row r="1692" spans="2:9" x14ac:dyDescent="0.25">
      <c r="B1692" s="16" t="s">
        <v>2</v>
      </c>
      <c r="C1692" s="17">
        <v>45118</v>
      </c>
      <c r="D1692" s="16">
        <v>240016</v>
      </c>
      <c r="E1692" s="16">
        <v>1175</v>
      </c>
      <c r="F1692" s="18" t="s">
        <v>81</v>
      </c>
      <c r="G1692" s="16" t="s">
        <v>7</v>
      </c>
      <c r="H1692" s="16" t="s">
        <v>38</v>
      </c>
      <c r="I1692" s="16" t="s">
        <v>17</v>
      </c>
    </row>
    <row r="1693" spans="2:9" x14ac:dyDescent="0.25">
      <c r="B1693" s="16" t="s">
        <v>33</v>
      </c>
      <c r="C1693" s="17">
        <v>45118</v>
      </c>
      <c r="D1693" s="16">
        <v>8491788</v>
      </c>
      <c r="E1693" s="16">
        <v>9389</v>
      </c>
      <c r="F1693" s="18" t="s">
        <v>119</v>
      </c>
      <c r="G1693" s="16" t="s">
        <v>343</v>
      </c>
      <c r="H1693" s="16" t="s">
        <v>39</v>
      </c>
      <c r="I1693" s="16" t="s">
        <v>61</v>
      </c>
    </row>
    <row r="1694" spans="2:9" x14ac:dyDescent="0.25">
      <c r="B1694" s="16" t="s">
        <v>22</v>
      </c>
      <c r="C1694" s="17">
        <v>45118</v>
      </c>
      <c r="D1694" s="16">
        <v>77066</v>
      </c>
      <c r="E1694" s="16">
        <v>4041</v>
      </c>
      <c r="F1694" s="18" t="s">
        <v>197</v>
      </c>
      <c r="G1694" s="16" t="s">
        <v>7</v>
      </c>
      <c r="H1694" s="16" t="s">
        <v>114</v>
      </c>
      <c r="I1694" s="16" t="s">
        <v>17</v>
      </c>
    </row>
    <row r="1695" spans="2:9" x14ac:dyDescent="0.25">
      <c r="B1695" s="16" t="s">
        <v>33</v>
      </c>
      <c r="C1695" s="17">
        <v>45118</v>
      </c>
      <c r="D1695" s="16">
        <v>541258</v>
      </c>
      <c r="E1695" s="16">
        <v>13976</v>
      </c>
      <c r="F1695" s="18" t="s">
        <v>353</v>
      </c>
      <c r="G1695" s="16" t="s">
        <v>343</v>
      </c>
      <c r="H1695" s="16" t="s">
        <v>46</v>
      </c>
      <c r="I1695" s="16" t="s">
        <v>17</v>
      </c>
    </row>
    <row r="1696" spans="2:9" x14ac:dyDescent="0.25">
      <c r="B1696" s="16" t="s">
        <v>33</v>
      </c>
      <c r="C1696" s="17">
        <v>45118</v>
      </c>
      <c r="D1696" s="16">
        <v>541259</v>
      </c>
      <c r="E1696" s="16">
        <v>13976</v>
      </c>
      <c r="F1696" s="18" t="s">
        <v>353</v>
      </c>
      <c r="G1696" s="16" t="s">
        <v>344</v>
      </c>
      <c r="H1696" s="16" t="s">
        <v>46</v>
      </c>
      <c r="I1696" s="16" t="s">
        <v>17</v>
      </c>
    </row>
    <row r="1697" spans="2:9" x14ac:dyDescent="0.25">
      <c r="B1697" s="16" t="s">
        <v>33</v>
      </c>
      <c r="C1697" s="17">
        <v>45118</v>
      </c>
      <c r="D1697" s="16">
        <v>12293</v>
      </c>
      <c r="E1697" s="16">
        <v>13085</v>
      </c>
      <c r="F1697" s="18" t="s">
        <v>155</v>
      </c>
      <c r="G1697" s="16" t="s">
        <v>343</v>
      </c>
      <c r="H1697" s="16" t="s">
        <v>71</v>
      </c>
      <c r="I1697" s="16" t="s">
        <v>17</v>
      </c>
    </row>
    <row r="1698" spans="2:9" x14ac:dyDescent="0.25">
      <c r="B1698" s="16" t="s">
        <v>2</v>
      </c>
      <c r="C1698" s="17">
        <v>45118</v>
      </c>
      <c r="D1698" s="16">
        <v>44476</v>
      </c>
      <c r="E1698" s="16">
        <v>12092</v>
      </c>
      <c r="F1698" s="18" t="s">
        <v>339</v>
      </c>
      <c r="G1698" s="16" t="s">
        <v>334</v>
      </c>
      <c r="H1698" s="16" t="s">
        <v>137</v>
      </c>
      <c r="I1698" s="16" t="s">
        <v>17</v>
      </c>
    </row>
    <row r="1699" spans="2:9" x14ac:dyDescent="0.25">
      <c r="B1699" s="16" t="s">
        <v>2</v>
      </c>
      <c r="C1699" s="17">
        <v>45118</v>
      </c>
      <c r="D1699" s="16">
        <v>19338</v>
      </c>
      <c r="E1699" s="16">
        <v>13086</v>
      </c>
      <c r="F1699" s="18" t="s">
        <v>354</v>
      </c>
      <c r="G1699" s="16" t="s">
        <v>52</v>
      </c>
      <c r="H1699" s="16" t="s">
        <v>71</v>
      </c>
      <c r="I1699" s="16" t="s">
        <v>17</v>
      </c>
    </row>
    <row r="1700" spans="2:9" x14ac:dyDescent="0.25">
      <c r="B1700" s="16" t="s">
        <v>22</v>
      </c>
      <c r="C1700" s="17">
        <v>45118</v>
      </c>
      <c r="D1700" s="16">
        <v>413965</v>
      </c>
      <c r="E1700" s="16">
        <v>9397</v>
      </c>
      <c r="F1700" s="18" t="s">
        <v>133</v>
      </c>
      <c r="G1700" s="16" t="s">
        <v>6</v>
      </c>
      <c r="H1700" s="16" t="s">
        <v>71</v>
      </c>
      <c r="I1700" s="16" t="s">
        <v>17</v>
      </c>
    </row>
    <row r="1701" spans="2:9" x14ac:dyDescent="0.25">
      <c r="B1701" s="16" t="s">
        <v>26</v>
      </c>
      <c r="C1701" s="17">
        <v>45118</v>
      </c>
      <c r="D1701" s="16">
        <v>413967</v>
      </c>
      <c r="E1701" s="16">
        <v>9397</v>
      </c>
      <c r="F1701" s="18" t="s">
        <v>133</v>
      </c>
      <c r="G1701" s="16" t="s">
        <v>6</v>
      </c>
      <c r="H1701" s="16" t="s">
        <v>71</v>
      </c>
      <c r="I1701" s="16" t="s">
        <v>17</v>
      </c>
    </row>
    <row r="1702" spans="2:9" x14ac:dyDescent="0.25">
      <c r="B1702" s="16" t="s">
        <v>210</v>
      </c>
      <c r="C1702" s="17">
        <v>45119</v>
      </c>
      <c r="D1702" s="16">
        <v>240108</v>
      </c>
      <c r="E1702" s="16">
        <v>1175</v>
      </c>
      <c r="F1702" s="18" t="s">
        <v>81</v>
      </c>
      <c r="G1702" s="16" t="s">
        <v>7</v>
      </c>
      <c r="H1702" s="16" t="s">
        <v>38</v>
      </c>
      <c r="I1702" s="16" t="s">
        <v>17</v>
      </c>
    </row>
    <row r="1703" spans="2:9" x14ac:dyDescent="0.25">
      <c r="B1703" s="16" t="s">
        <v>33</v>
      </c>
      <c r="C1703" s="17">
        <v>45119</v>
      </c>
      <c r="D1703" s="16">
        <v>75066</v>
      </c>
      <c r="E1703" s="16">
        <v>13876</v>
      </c>
      <c r="F1703" s="18" t="s">
        <v>135</v>
      </c>
      <c r="G1703" s="16" t="s">
        <v>52</v>
      </c>
      <c r="H1703" s="16" t="s">
        <v>184</v>
      </c>
      <c r="I1703" s="16" t="s">
        <v>232</v>
      </c>
    </row>
    <row r="1704" spans="2:9" x14ac:dyDescent="0.25">
      <c r="B1704" s="16" t="s">
        <v>33</v>
      </c>
      <c r="C1704" s="17">
        <v>45119</v>
      </c>
      <c r="D1704" s="16">
        <v>8494965</v>
      </c>
      <c r="E1704" s="16">
        <v>9389</v>
      </c>
      <c r="F1704" s="18" t="s">
        <v>119</v>
      </c>
      <c r="G1704" s="16" t="s">
        <v>4</v>
      </c>
      <c r="H1704" s="16" t="s">
        <v>36</v>
      </c>
      <c r="I1704" s="16" t="s">
        <v>61</v>
      </c>
    </row>
    <row r="1705" spans="2:9" x14ac:dyDescent="0.25">
      <c r="B1705" s="16" t="s">
        <v>210</v>
      </c>
      <c r="C1705" s="17">
        <v>45119</v>
      </c>
      <c r="D1705" s="16">
        <v>176886</v>
      </c>
      <c r="E1705" s="16">
        <v>10440</v>
      </c>
      <c r="F1705" s="18" t="s">
        <v>37</v>
      </c>
      <c r="G1705" s="16" t="s">
        <v>334</v>
      </c>
      <c r="H1705" s="16" t="s">
        <v>184</v>
      </c>
      <c r="I1705" s="16" t="s">
        <v>61</v>
      </c>
    </row>
    <row r="1706" spans="2:9" x14ac:dyDescent="0.25">
      <c r="B1706" s="16" t="s">
        <v>33</v>
      </c>
      <c r="C1706" s="17">
        <v>45119</v>
      </c>
      <c r="D1706" s="16">
        <v>1698915</v>
      </c>
      <c r="E1706" s="16">
        <v>9526</v>
      </c>
      <c r="F1706" s="18" t="s">
        <v>79</v>
      </c>
      <c r="G1706" s="16" t="s">
        <v>341</v>
      </c>
      <c r="H1706" s="16" t="s">
        <v>71</v>
      </c>
      <c r="I1706" s="16" t="s">
        <v>51</v>
      </c>
    </row>
    <row r="1707" spans="2:9" x14ac:dyDescent="0.25">
      <c r="B1707" s="16" t="s">
        <v>40</v>
      </c>
      <c r="C1707" s="17">
        <v>45119</v>
      </c>
      <c r="D1707" s="16">
        <v>20864</v>
      </c>
      <c r="E1707" s="16">
        <v>14818</v>
      </c>
      <c r="F1707" s="18" t="s">
        <v>90</v>
      </c>
      <c r="G1707" s="16" t="s">
        <v>4</v>
      </c>
      <c r="H1707" s="16" t="s">
        <v>114</v>
      </c>
      <c r="I1707" s="16" t="s">
        <v>42</v>
      </c>
    </row>
    <row r="1708" spans="2:9" x14ac:dyDescent="0.25">
      <c r="B1708" s="16" t="s">
        <v>40</v>
      </c>
      <c r="C1708" s="17">
        <v>45119</v>
      </c>
      <c r="D1708" s="16">
        <v>1698915</v>
      </c>
      <c r="E1708" s="16">
        <v>9526</v>
      </c>
      <c r="F1708" s="18" t="s">
        <v>79</v>
      </c>
      <c r="G1708" s="16" t="s">
        <v>341</v>
      </c>
      <c r="H1708" s="16" t="s">
        <v>71</v>
      </c>
      <c r="I1708" s="16" t="s">
        <v>17</v>
      </c>
    </row>
    <row r="1709" spans="2:9" x14ac:dyDescent="0.25">
      <c r="B1709" s="16" t="s">
        <v>40</v>
      </c>
      <c r="C1709" s="17">
        <v>45119</v>
      </c>
      <c r="D1709" s="16">
        <v>176888</v>
      </c>
      <c r="E1709" s="16">
        <v>10440</v>
      </c>
      <c r="F1709" s="18" t="s">
        <v>37</v>
      </c>
      <c r="G1709" s="16" t="s">
        <v>334</v>
      </c>
      <c r="H1709" s="16" t="s">
        <v>355</v>
      </c>
      <c r="I1709" s="16" t="s">
        <v>61</v>
      </c>
    </row>
    <row r="1710" spans="2:9" x14ac:dyDescent="0.25">
      <c r="B1710" s="16" t="s">
        <v>40</v>
      </c>
      <c r="C1710" s="17">
        <v>45119</v>
      </c>
      <c r="D1710" s="16">
        <v>176923</v>
      </c>
      <c r="E1710" s="16">
        <v>10440</v>
      </c>
      <c r="F1710" s="18" t="s">
        <v>37</v>
      </c>
      <c r="G1710" s="16" t="s">
        <v>334</v>
      </c>
      <c r="H1710" s="16" t="s">
        <v>184</v>
      </c>
      <c r="I1710" s="16" t="s">
        <v>61</v>
      </c>
    </row>
    <row r="1711" spans="2:9" x14ac:dyDescent="0.25">
      <c r="B1711" s="16" t="s">
        <v>40</v>
      </c>
      <c r="C1711" s="17">
        <v>45119</v>
      </c>
      <c r="D1711" s="16">
        <v>27913</v>
      </c>
      <c r="E1711" s="16" t="s">
        <v>20</v>
      </c>
      <c r="F1711" s="18" t="s">
        <v>20</v>
      </c>
      <c r="G1711" s="16" t="s">
        <v>52</v>
      </c>
      <c r="H1711" s="16" t="s">
        <v>46</v>
      </c>
      <c r="I1711" s="16" t="s">
        <v>51</v>
      </c>
    </row>
    <row r="1712" spans="2:9" x14ac:dyDescent="0.25">
      <c r="B1712" s="16" t="s">
        <v>26</v>
      </c>
      <c r="C1712" s="17">
        <v>45119</v>
      </c>
      <c r="D1712" s="16">
        <v>8494898</v>
      </c>
      <c r="E1712" s="16">
        <v>9389</v>
      </c>
      <c r="F1712" s="18" t="s">
        <v>119</v>
      </c>
      <c r="G1712" s="16" t="s">
        <v>5</v>
      </c>
      <c r="H1712" s="16" t="s">
        <v>75</v>
      </c>
      <c r="I1712" s="16" t="s">
        <v>51</v>
      </c>
    </row>
    <row r="1713" spans="2:9" x14ac:dyDescent="0.25">
      <c r="B1713" s="16" t="s">
        <v>26</v>
      </c>
      <c r="C1713" s="17">
        <v>45119</v>
      </c>
      <c r="D1713" s="16">
        <v>2123895</v>
      </c>
      <c r="E1713" s="16">
        <v>9459</v>
      </c>
      <c r="F1713" s="18" t="s">
        <v>105</v>
      </c>
      <c r="G1713" s="16" t="s">
        <v>5</v>
      </c>
      <c r="H1713" s="16" t="s">
        <v>36</v>
      </c>
      <c r="I1713" s="16" t="s">
        <v>61</v>
      </c>
    </row>
    <row r="1714" spans="2:9" x14ac:dyDescent="0.25">
      <c r="B1714" s="16" t="s">
        <v>26</v>
      </c>
      <c r="C1714" s="17">
        <v>45119</v>
      </c>
      <c r="D1714" s="16">
        <v>176875</v>
      </c>
      <c r="E1714" s="16">
        <v>10440</v>
      </c>
      <c r="F1714" s="18" t="s">
        <v>37</v>
      </c>
      <c r="G1714" s="16" t="s">
        <v>334</v>
      </c>
      <c r="H1714" s="16" t="s">
        <v>38</v>
      </c>
      <c r="I1714" s="16" t="s">
        <v>20</v>
      </c>
    </row>
    <row r="1715" spans="2:9" x14ac:dyDescent="0.25">
      <c r="B1715" s="16" t="s">
        <v>33</v>
      </c>
      <c r="C1715" s="17">
        <v>45119</v>
      </c>
      <c r="D1715" s="16">
        <v>256</v>
      </c>
      <c r="E1715" s="16">
        <v>71288</v>
      </c>
      <c r="F1715" s="18" t="s">
        <v>20</v>
      </c>
      <c r="G1715" s="16" t="s">
        <v>7</v>
      </c>
      <c r="H1715" s="16" t="s">
        <v>38</v>
      </c>
      <c r="I1715" s="16" t="s">
        <v>17</v>
      </c>
    </row>
    <row r="1716" spans="2:9" x14ac:dyDescent="0.25">
      <c r="B1716" s="16" t="s">
        <v>2</v>
      </c>
      <c r="C1716" s="17">
        <v>45119</v>
      </c>
      <c r="D1716" s="16">
        <v>312485</v>
      </c>
      <c r="E1716" s="16">
        <v>68353</v>
      </c>
      <c r="F1716" s="18" t="s">
        <v>116</v>
      </c>
      <c r="G1716" s="16" t="s">
        <v>16</v>
      </c>
      <c r="H1716" s="16" t="s">
        <v>184</v>
      </c>
      <c r="I1716" s="16" t="s">
        <v>61</v>
      </c>
    </row>
    <row r="1717" spans="2:9" x14ac:dyDescent="0.25">
      <c r="B1717" s="16" t="s">
        <v>2</v>
      </c>
      <c r="C1717" s="17">
        <v>45119</v>
      </c>
      <c r="D1717" s="16">
        <v>176882</v>
      </c>
      <c r="E1717" s="16">
        <v>10440</v>
      </c>
      <c r="F1717" s="18" t="s">
        <v>37</v>
      </c>
      <c r="G1717" s="16" t="s">
        <v>334</v>
      </c>
      <c r="H1717" s="16" t="s">
        <v>184</v>
      </c>
      <c r="I1717" s="16" t="s">
        <v>61</v>
      </c>
    </row>
    <row r="1718" spans="2:9" x14ac:dyDescent="0.25">
      <c r="B1718" s="16" t="s">
        <v>2</v>
      </c>
      <c r="C1718" s="17">
        <v>45119</v>
      </c>
      <c r="D1718" s="16">
        <v>176884</v>
      </c>
      <c r="E1718" s="16">
        <v>10440</v>
      </c>
      <c r="F1718" s="18" t="s">
        <v>37</v>
      </c>
      <c r="G1718" s="16" t="s">
        <v>334</v>
      </c>
      <c r="H1718" s="16" t="s">
        <v>184</v>
      </c>
      <c r="I1718" s="16" t="s">
        <v>61</v>
      </c>
    </row>
    <row r="1719" spans="2:9" x14ac:dyDescent="0.25">
      <c r="B1719" s="16" t="s">
        <v>33</v>
      </c>
      <c r="C1719" s="17">
        <v>45119</v>
      </c>
      <c r="D1719" s="16">
        <v>119992</v>
      </c>
      <c r="E1719" s="16">
        <v>11604</v>
      </c>
      <c r="F1719" s="18" t="s">
        <v>63</v>
      </c>
      <c r="G1719" s="16" t="s">
        <v>262</v>
      </c>
      <c r="H1719" s="16" t="s">
        <v>38</v>
      </c>
      <c r="I1719" s="16" t="s">
        <v>17</v>
      </c>
    </row>
    <row r="1720" spans="2:9" x14ac:dyDescent="0.25">
      <c r="B1720" s="16" t="s">
        <v>22</v>
      </c>
      <c r="C1720" s="17">
        <v>45119</v>
      </c>
      <c r="D1720" s="16">
        <v>149309</v>
      </c>
      <c r="E1720" s="16">
        <v>8918</v>
      </c>
      <c r="F1720" s="18" t="s">
        <v>256</v>
      </c>
      <c r="G1720" s="16" t="s">
        <v>52</v>
      </c>
      <c r="H1720" s="16" t="s">
        <v>184</v>
      </c>
      <c r="I1720" s="16" t="s">
        <v>61</v>
      </c>
    </row>
    <row r="1721" spans="2:9" x14ac:dyDescent="0.25">
      <c r="B1721" s="16" t="s">
        <v>22</v>
      </c>
      <c r="C1721" s="17">
        <v>45119</v>
      </c>
      <c r="D1721" s="16">
        <v>127701</v>
      </c>
      <c r="E1721" s="16">
        <v>6200</v>
      </c>
      <c r="F1721" s="18" t="s">
        <v>208</v>
      </c>
      <c r="G1721" s="16" t="s">
        <v>334</v>
      </c>
      <c r="H1721" s="16" t="s">
        <v>184</v>
      </c>
      <c r="I1721" s="16" t="s">
        <v>20</v>
      </c>
    </row>
    <row r="1722" spans="2:9" x14ac:dyDescent="0.25">
      <c r="B1722" s="16" t="s">
        <v>33</v>
      </c>
      <c r="C1722" s="17">
        <v>45120</v>
      </c>
      <c r="D1722" s="16">
        <v>645741</v>
      </c>
      <c r="E1722" s="16">
        <v>3610</v>
      </c>
      <c r="F1722" s="18" t="s">
        <v>8</v>
      </c>
      <c r="G1722" s="16" t="s">
        <v>262</v>
      </c>
      <c r="H1722" s="16" t="s">
        <v>38</v>
      </c>
      <c r="I1722" s="16" t="s">
        <v>17</v>
      </c>
    </row>
    <row r="1723" spans="2:9" x14ac:dyDescent="0.25">
      <c r="B1723" s="16" t="s">
        <v>210</v>
      </c>
      <c r="C1723" s="17">
        <v>45120</v>
      </c>
      <c r="D1723" s="16">
        <v>66459</v>
      </c>
      <c r="E1723" s="16">
        <v>5346</v>
      </c>
      <c r="F1723" s="18" t="s">
        <v>277</v>
      </c>
      <c r="G1723" s="16" t="s">
        <v>123</v>
      </c>
      <c r="H1723" s="16" t="s">
        <v>38</v>
      </c>
      <c r="I1723" s="16" t="s">
        <v>17</v>
      </c>
    </row>
    <row r="1724" spans="2:9" x14ac:dyDescent="0.25">
      <c r="B1724" s="16" t="s">
        <v>210</v>
      </c>
      <c r="C1724" s="17">
        <v>45120</v>
      </c>
      <c r="D1724" s="16">
        <v>965461</v>
      </c>
      <c r="E1724" s="16">
        <v>9675</v>
      </c>
      <c r="F1724" s="18" t="s">
        <v>60</v>
      </c>
      <c r="G1724" s="16" t="s">
        <v>334</v>
      </c>
      <c r="H1724" s="16" t="s">
        <v>184</v>
      </c>
      <c r="I1724" s="16" t="s">
        <v>61</v>
      </c>
    </row>
    <row r="1725" spans="2:9" x14ac:dyDescent="0.25">
      <c r="B1725" s="16" t="s">
        <v>210</v>
      </c>
      <c r="C1725" s="17">
        <v>45120</v>
      </c>
      <c r="D1725" s="16">
        <v>6029</v>
      </c>
      <c r="E1725" s="16">
        <v>1149</v>
      </c>
      <c r="F1725" s="18" t="s">
        <v>356</v>
      </c>
      <c r="G1725" s="16" t="s">
        <v>4</v>
      </c>
      <c r="H1725" s="16" t="s">
        <v>186</v>
      </c>
      <c r="I1725" s="16" t="s">
        <v>357</v>
      </c>
    </row>
    <row r="1726" spans="2:9" x14ac:dyDescent="0.25">
      <c r="B1726" s="16" t="s">
        <v>210</v>
      </c>
      <c r="C1726" s="17">
        <v>45120</v>
      </c>
      <c r="D1726" s="16">
        <v>6030</v>
      </c>
      <c r="E1726" s="16">
        <v>1149</v>
      </c>
      <c r="F1726" s="18" t="s">
        <v>356</v>
      </c>
      <c r="G1726" s="16" t="s">
        <v>4</v>
      </c>
      <c r="H1726" s="16" t="s">
        <v>186</v>
      </c>
      <c r="I1726" s="16" t="s">
        <v>357</v>
      </c>
    </row>
    <row r="1727" spans="2:9" x14ac:dyDescent="0.25">
      <c r="B1727" s="16" t="s">
        <v>210</v>
      </c>
      <c r="C1727" s="17">
        <v>45120</v>
      </c>
      <c r="D1727" s="16">
        <v>1921</v>
      </c>
      <c r="E1727" s="16">
        <v>1149</v>
      </c>
      <c r="F1727" s="18" t="s">
        <v>356</v>
      </c>
      <c r="G1727" s="16" t="s">
        <v>4</v>
      </c>
      <c r="H1727" s="16" t="s">
        <v>186</v>
      </c>
      <c r="I1727" s="16" t="s">
        <v>357</v>
      </c>
    </row>
    <row r="1728" spans="2:9" x14ac:dyDescent="0.25">
      <c r="B1728" s="16" t="s">
        <v>210</v>
      </c>
      <c r="C1728" s="17">
        <v>45120</v>
      </c>
      <c r="D1728" s="16">
        <v>1920</v>
      </c>
      <c r="E1728" s="16">
        <v>1149</v>
      </c>
      <c r="F1728" s="18" t="s">
        <v>356</v>
      </c>
      <c r="G1728" s="16" t="s">
        <v>4</v>
      </c>
      <c r="H1728" s="16" t="s">
        <v>186</v>
      </c>
      <c r="I1728" s="16" t="s">
        <v>357</v>
      </c>
    </row>
    <row r="1729" spans="2:9" x14ac:dyDescent="0.25">
      <c r="B1729" s="16" t="s">
        <v>210</v>
      </c>
      <c r="C1729" s="17">
        <v>45120</v>
      </c>
      <c r="D1729" s="16">
        <v>177043</v>
      </c>
      <c r="E1729" s="16">
        <v>10440</v>
      </c>
      <c r="F1729" s="18" t="s">
        <v>37</v>
      </c>
      <c r="G1729" s="16" t="s">
        <v>342</v>
      </c>
      <c r="H1729" s="16" t="s">
        <v>184</v>
      </c>
      <c r="I1729" s="16" t="s">
        <v>61</v>
      </c>
    </row>
    <row r="1730" spans="2:9" x14ac:dyDescent="0.25">
      <c r="B1730" s="16" t="s">
        <v>210</v>
      </c>
      <c r="C1730" s="17">
        <v>45120</v>
      </c>
      <c r="D1730" s="16">
        <v>991179</v>
      </c>
      <c r="E1730" s="16">
        <v>10263</v>
      </c>
      <c r="F1730" s="18" t="s">
        <v>34</v>
      </c>
      <c r="G1730" s="16" t="s">
        <v>16</v>
      </c>
      <c r="H1730" s="16" t="s">
        <v>36</v>
      </c>
      <c r="I1730" s="16" t="s">
        <v>61</v>
      </c>
    </row>
    <row r="1731" spans="2:9" x14ac:dyDescent="0.25">
      <c r="B1731" s="16" t="s">
        <v>26</v>
      </c>
      <c r="C1731" s="17">
        <v>45120</v>
      </c>
      <c r="D1731" s="16">
        <v>990874</v>
      </c>
      <c r="E1731" s="16">
        <v>10263</v>
      </c>
      <c r="F1731" s="18" t="s">
        <v>34</v>
      </c>
      <c r="G1731" s="16" t="s">
        <v>16</v>
      </c>
      <c r="H1731" s="16" t="s">
        <v>36</v>
      </c>
      <c r="I1731" s="16" t="s">
        <v>51</v>
      </c>
    </row>
    <row r="1732" spans="2:9" x14ac:dyDescent="0.25">
      <c r="B1732" s="16" t="s">
        <v>26</v>
      </c>
      <c r="C1732" s="17">
        <v>45120</v>
      </c>
      <c r="D1732" s="16">
        <v>990896</v>
      </c>
      <c r="E1732" s="16">
        <v>10263</v>
      </c>
      <c r="F1732" s="18" t="s">
        <v>34</v>
      </c>
      <c r="G1732" s="16" t="s">
        <v>16</v>
      </c>
      <c r="H1732" s="16" t="s">
        <v>184</v>
      </c>
      <c r="I1732" s="16" t="s">
        <v>51</v>
      </c>
    </row>
    <row r="1733" spans="2:9" x14ac:dyDescent="0.25">
      <c r="B1733" s="16" t="s">
        <v>2</v>
      </c>
      <c r="C1733" s="17">
        <v>45120</v>
      </c>
      <c r="D1733" s="16">
        <v>177026</v>
      </c>
      <c r="E1733" s="16">
        <v>10440</v>
      </c>
      <c r="F1733" s="18" t="s">
        <v>37</v>
      </c>
      <c r="G1733" s="16" t="s">
        <v>7</v>
      </c>
      <c r="H1733" s="16" t="s">
        <v>114</v>
      </c>
      <c r="I1733" s="16" t="s">
        <v>17</v>
      </c>
    </row>
    <row r="1734" spans="2:9" x14ac:dyDescent="0.25">
      <c r="B1734" s="16" t="s">
        <v>33</v>
      </c>
      <c r="C1734" s="17">
        <v>45120</v>
      </c>
      <c r="D1734" s="16">
        <v>1409238</v>
      </c>
      <c r="E1734" s="16">
        <v>13235</v>
      </c>
      <c r="F1734" s="18" t="s">
        <v>99</v>
      </c>
      <c r="G1734" s="16" t="s">
        <v>52</v>
      </c>
      <c r="H1734" s="16" t="s">
        <v>184</v>
      </c>
      <c r="I1734" s="16" t="s">
        <v>232</v>
      </c>
    </row>
    <row r="1735" spans="2:9" x14ac:dyDescent="0.25">
      <c r="B1735" s="16" t="s">
        <v>210</v>
      </c>
      <c r="C1735" s="17">
        <v>45120</v>
      </c>
      <c r="D1735" s="16">
        <v>991209</v>
      </c>
      <c r="E1735" s="16">
        <v>10263</v>
      </c>
      <c r="F1735" s="18" t="s">
        <v>34</v>
      </c>
      <c r="G1735" s="16" t="s">
        <v>16</v>
      </c>
      <c r="H1735" s="16" t="s">
        <v>184</v>
      </c>
      <c r="I1735" s="16" t="s">
        <v>61</v>
      </c>
    </row>
    <row r="1736" spans="2:9" x14ac:dyDescent="0.25">
      <c r="B1736" s="16" t="s">
        <v>210</v>
      </c>
      <c r="C1736" s="17">
        <v>45120</v>
      </c>
      <c r="D1736" s="16">
        <v>991182</v>
      </c>
      <c r="E1736" s="16">
        <v>10263</v>
      </c>
      <c r="F1736" s="18" t="s">
        <v>34</v>
      </c>
      <c r="G1736" s="16" t="s">
        <v>16</v>
      </c>
      <c r="H1736" s="16" t="s">
        <v>75</v>
      </c>
      <c r="I1736" s="16" t="s">
        <v>61</v>
      </c>
    </row>
    <row r="1737" spans="2:9" x14ac:dyDescent="0.25">
      <c r="B1737" s="16" t="s">
        <v>22</v>
      </c>
      <c r="C1737" s="17">
        <v>45120</v>
      </c>
      <c r="D1737" s="16">
        <v>990777</v>
      </c>
      <c r="E1737" s="16">
        <v>10263</v>
      </c>
      <c r="F1737" s="18" t="s">
        <v>34</v>
      </c>
      <c r="G1737" s="16" t="s">
        <v>16</v>
      </c>
      <c r="H1737" s="16" t="s">
        <v>36</v>
      </c>
      <c r="I1737" s="16" t="s">
        <v>61</v>
      </c>
    </row>
    <row r="1738" spans="2:9" x14ac:dyDescent="0.25">
      <c r="B1738" s="16" t="s">
        <v>22</v>
      </c>
      <c r="C1738" s="17">
        <v>45120</v>
      </c>
      <c r="D1738" s="16">
        <v>990796</v>
      </c>
      <c r="E1738" s="16">
        <v>10263</v>
      </c>
      <c r="F1738" s="18" t="s">
        <v>34</v>
      </c>
      <c r="G1738" s="16" t="s">
        <v>16</v>
      </c>
      <c r="H1738" s="16" t="s">
        <v>36</v>
      </c>
      <c r="I1738" s="16" t="s">
        <v>61</v>
      </c>
    </row>
    <row r="1739" spans="2:9" x14ac:dyDescent="0.25">
      <c r="B1739" s="16" t="s">
        <v>22</v>
      </c>
      <c r="C1739" s="17">
        <v>45120</v>
      </c>
      <c r="D1739" s="16">
        <v>120044</v>
      </c>
      <c r="E1739" s="16">
        <v>11604</v>
      </c>
      <c r="F1739" s="18" t="s">
        <v>63</v>
      </c>
      <c r="G1739" s="16" t="s">
        <v>262</v>
      </c>
      <c r="H1739" s="16" t="s">
        <v>38</v>
      </c>
      <c r="I1739" s="16" t="s">
        <v>17</v>
      </c>
    </row>
    <row r="1740" spans="2:9" x14ac:dyDescent="0.25">
      <c r="B1740" s="16" t="s">
        <v>210</v>
      </c>
      <c r="C1740" s="17">
        <v>45120</v>
      </c>
      <c r="D1740" s="16">
        <v>3863226</v>
      </c>
      <c r="E1740" s="16">
        <v>3506</v>
      </c>
      <c r="F1740" s="18" t="s">
        <v>77</v>
      </c>
      <c r="G1740" s="16" t="s">
        <v>4</v>
      </c>
      <c r="H1740" s="16" t="s">
        <v>71</v>
      </c>
      <c r="I1740" s="16" t="s">
        <v>17</v>
      </c>
    </row>
    <row r="1741" spans="2:9" x14ac:dyDescent="0.25">
      <c r="B1741" s="16" t="s">
        <v>210</v>
      </c>
      <c r="C1741" s="17">
        <v>45120</v>
      </c>
      <c r="D1741" s="16">
        <v>3863225</v>
      </c>
      <c r="E1741" s="16">
        <v>3506</v>
      </c>
      <c r="F1741" s="18" t="s">
        <v>77</v>
      </c>
      <c r="G1741" s="16" t="s">
        <v>4</v>
      </c>
      <c r="H1741" s="16" t="s">
        <v>71</v>
      </c>
      <c r="I1741" s="16" t="s">
        <v>17</v>
      </c>
    </row>
    <row r="1742" spans="2:9" x14ac:dyDescent="0.25">
      <c r="B1742" s="16" t="s">
        <v>33</v>
      </c>
      <c r="C1742" s="17">
        <v>45120</v>
      </c>
      <c r="D1742" s="16">
        <v>58062</v>
      </c>
      <c r="E1742" s="16">
        <v>11478</v>
      </c>
      <c r="F1742" s="18" t="s">
        <v>188</v>
      </c>
      <c r="G1742" s="16" t="s">
        <v>334</v>
      </c>
      <c r="H1742" s="16" t="s">
        <v>71</v>
      </c>
      <c r="I1742" s="16" t="s">
        <v>17</v>
      </c>
    </row>
    <row r="1743" spans="2:9" x14ac:dyDescent="0.25">
      <c r="B1743" s="16" t="s">
        <v>33</v>
      </c>
      <c r="C1743" s="17">
        <v>45120</v>
      </c>
      <c r="D1743" s="16">
        <v>176911</v>
      </c>
      <c r="E1743" s="16">
        <v>10440</v>
      </c>
      <c r="F1743" s="18" t="s">
        <v>37</v>
      </c>
      <c r="G1743" s="16" t="s">
        <v>334</v>
      </c>
      <c r="H1743" s="16" t="s">
        <v>71</v>
      </c>
      <c r="I1743" s="16" t="s">
        <v>17</v>
      </c>
    </row>
    <row r="1744" spans="2:9" x14ac:dyDescent="0.25">
      <c r="B1744" s="16" t="s">
        <v>33</v>
      </c>
      <c r="C1744" s="17">
        <v>45120</v>
      </c>
      <c r="D1744" s="16">
        <v>176890</v>
      </c>
      <c r="E1744" s="16">
        <v>10440</v>
      </c>
      <c r="F1744" s="18" t="s">
        <v>37</v>
      </c>
      <c r="G1744" s="16" t="s">
        <v>335</v>
      </c>
      <c r="H1744" s="16" t="s">
        <v>71</v>
      </c>
      <c r="I1744" s="16" t="s">
        <v>17</v>
      </c>
    </row>
    <row r="1745" spans="2:9" x14ac:dyDescent="0.25">
      <c r="B1745" s="16" t="s">
        <v>26</v>
      </c>
      <c r="C1745" s="17">
        <v>45120</v>
      </c>
      <c r="D1745" s="16">
        <v>98674</v>
      </c>
      <c r="E1745" s="16">
        <v>9676</v>
      </c>
      <c r="F1745" s="18" t="s">
        <v>358</v>
      </c>
      <c r="G1745" s="16" t="s">
        <v>20</v>
      </c>
      <c r="H1745" s="16" t="s">
        <v>71</v>
      </c>
      <c r="I1745" s="16" t="s">
        <v>17</v>
      </c>
    </row>
    <row r="1746" spans="2:9" x14ac:dyDescent="0.25">
      <c r="B1746" s="16" t="s">
        <v>210</v>
      </c>
      <c r="C1746" s="17">
        <v>45120</v>
      </c>
      <c r="D1746" s="16">
        <v>514547</v>
      </c>
      <c r="E1746" s="16">
        <v>12012</v>
      </c>
      <c r="F1746" s="18" t="s">
        <v>328</v>
      </c>
      <c r="G1746" s="16" t="s">
        <v>4</v>
      </c>
      <c r="H1746" s="16" t="s">
        <v>184</v>
      </c>
      <c r="I1746" s="16" t="s">
        <v>61</v>
      </c>
    </row>
    <row r="1747" spans="2:9" x14ac:dyDescent="0.25">
      <c r="B1747" s="16" t="s">
        <v>40</v>
      </c>
      <c r="C1747" s="17">
        <v>45120</v>
      </c>
      <c r="D1747" s="16">
        <v>2385578</v>
      </c>
      <c r="E1747" s="16">
        <v>8252</v>
      </c>
      <c r="F1747" s="18" t="s">
        <v>286</v>
      </c>
      <c r="G1747" s="16" t="s">
        <v>4</v>
      </c>
      <c r="H1747" s="16" t="s">
        <v>71</v>
      </c>
      <c r="I1747" s="16" t="s">
        <v>17</v>
      </c>
    </row>
    <row r="1748" spans="2:9" x14ac:dyDescent="0.25">
      <c r="B1748" s="16" t="s">
        <v>40</v>
      </c>
      <c r="C1748" s="17">
        <v>45120</v>
      </c>
      <c r="D1748" s="16">
        <v>2385577</v>
      </c>
      <c r="E1748" s="16">
        <v>8252</v>
      </c>
      <c r="F1748" s="18" t="s">
        <v>286</v>
      </c>
      <c r="G1748" s="16" t="s">
        <v>4</v>
      </c>
      <c r="H1748" s="16" t="s">
        <v>71</v>
      </c>
      <c r="I1748" s="16" t="s">
        <v>17</v>
      </c>
    </row>
    <row r="1749" spans="2:9" x14ac:dyDescent="0.25">
      <c r="B1749" s="16" t="s">
        <v>210</v>
      </c>
      <c r="C1749" s="17">
        <v>45121</v>
      </c>
      <c r="D1749" s="16">
        <v>82398</v>
      </c>
      <c r="E1749" s="16">
        <v>5101</v>
      </c>
      <c r="F1749" s="18" t="s">
        <v>359</v>
      </c>
      <c r="G1749" s="16" t="s">
        <v>7</v>
      </c>
      <c r="H1749" s="16" t="s">
        <v>41</v>
      </c>
      <c r="I1749" s="16" t="s">
        <v>17</v>
      </c>
    </row>
    <row r="1750" spans="2:9" x14ac:dyDescent="0.25">
      <c r="B1750" s="16" t="s">
        <v>210</v>
      </c>
      <c r="C1750" s="17">
        <v>45121</v>
      </c>
      <c r="D1750" s="16">
        <v>120087</v>
      </c>
      <c r="E1750" s="16">
        <v>11604</v>
      </c>
      <c r="F1750" s="18" t="s">
        <v>63</v>
      </c>
      <c r="G1750" s="16" t="s">
        <v>262</v>
      </c>
      <c r="H1750" s="16" t="s">
        <v>38</v>
      </c>
      <c r="I1750" s="16" t="s">
        <v>17</v>
      </c>
    </row>
    <row r="1751" spans="2:9" x14ac:dyDescent="0.25">
      <c r="B1751" s="16" t="s">
        <v>210</v>
      </c>
      <c r="C1751" s="17">
        <v>45121</v>
      </c>
      <c r="D1751" s="16">
        <v>240262</v>
      </c>
      <c r="E1751" s="16">
        <v>1175</v>
      </c>
      <c r="F1751" s="18" t="s">
        <v>81</v>
      </c>
      <c r="G1751" s="16" t="s">
        <v>7</v>
      </c>
      <c r="H1751" s="16" t="s">
        <v>38</v>
      </c>
      <c r="I1751" s="16" t="s">
        <v>17</v>
      </c>
    </row>
    <row r="1752" spans="2:9" x14ac:dyDescent="0.25">
      <c r="B1752" s="16" t="s">
        <v>33</v>
      </c>
      <c r="C1752" s="17">
        <v>45121</v>
      </c>
      <c r="D1752" s="16">
        <v>120080</v>
      </c>
      <c r="E1752" s="16">
        <v>11604</v>
      </c>
      <c r="F1752" s="18" t="s">
        <v>63</v>
      </c>
      <c r="G1752" s="16" t="s">
        <v>262</v>
      </c>
      <c r="H1752" s="16" t="s">
        <v>38</v>
      </c>
      <c r="I1752" s="16" t="s">
        <v>17</v>
      </c>
    </row>
    <row r="1753" spans="2:9" x14ac:dyDescent="0.25">
      <c r="B1753" s="16" t="s">
        <v>210</v>
      </c>
      <c r="C1753" s="17">
        <v>45121</v>
      </c>
      <c r="D1753" s="16">
        <v>66493</v>
      </c>
      <c r="E1753" s="16">
        <v>5346</v>
      </c>
      <c r="F1753" s="18" t="s">
        <v>277</v>
      </c>
      <c r="G1753" s="16" t="s">
        <v>7</v>
      </c>
      <c r="H1753" s="16" t="s">
        <v>38</v>
      </c>
      <c r="I1753" s="16" t="s">
        <v>17</v>
      </c>
    </row>
    <row r="1754" spans="2:9" x14ac:dyDescent="0.25">
      <c r="B1754" s="16" t="s">
        <v>26</v>
      </c>
      <c r="C1754" s="17">
        <v>45121</v>
      </c>
      <c r="D1754" s="16">
        <v>1409993</v>
      </c>
      <c r="E1754" s="16">
        <v>13235</v>
      </c>
      <c r="F1754" s="18" t="s">
        <v>99</v>
      </c>
      <c r="G1754" s="16" t="s">
        <v>343</v>
      </c>
      <c r="H1754" s="16" t="s">
        <v>36</v>
      </c>
      <c r="I1754" s="16" t="s">
        <v>344</v>
      </c>
    </row>
    <row r="1755" spans="2:9" x14ac:dyDescent="0.25">
      <c r="B1755" s="16" t="s">
        <v>26</v>
      </c>
      <c r="C1755" s="17">
        <v>45121</v>
      </c>
      <c r="D1755" s="16">
        <v>82395</v>
      </c>
      <c r="E1755" s="16">
        <v>5101</v>
      </c>
      <c r="F1755" s="18" t="s">
        <v>359</v>
      </c>
      <c r="G1755" s="16" t="s">
        <v>7</v>
      </c>
      <c r="H1755" s="16" t="s">
        <v>41</v>
      </c>
      <c r="I1755" s="16" t="s">
        <v>17</v>
      </c>
    </row>
    <row r="1756" spans="2:9" x14ac:dyDescent="0.25">
      <c r="B1756" s="16" t="s">
        <v>210</v>
      </c>
      <c r="C1756" s="17">
        <v>45121</v>
      </c>
      <c r="D1756" s="16">
        <v>4878139</v>
      </c>
      <c r="E1756" s="16">
        <v>9430</v>
      </c>
      <c r="F1756" s="18" t="s">
        <v>185</v>
      </c>
      <c r="G1756" s="16" t="s">
        <v>334</v>
      </c>
      <c r="H1756" s="16" t="s">
        <v>46</v>
      </c>
      <c r="I1756" s="16" t="s">
        <v>51</v>
      </c>
    </row>
    <row r="1757" spans="2:9" x14ac:dyDescent="0.25">
      <c r="B1757" s="16" t="s">
        <v>210</v>
      </c>
      <c r="C1757" s="17">
        <v>45121</v>
      </c>
      <c r="D1757" s="16">
        <v>4878140</v>
      </c>
      <c r="E1757" s="16">
        <v>9430</v>
      </c>
      <c r="F1757" s="18" t="s">
        <v>185</v>
      </c>
      <c r="G1757" s="16" t="s">
        <v>334</v>
      </c>
      <c r="H1757" s="16" t="s">
        <v>46</v>
      </c>
      <c r="I1757" s="16" t="s">
        <v>51</v>
      </c>
    </row>
    <row r="1758" spans="2:9" x14ac:dyDescent="0.25">
      <c r="B1758" s="16" t="s">
        <v>210</v>
      </c>
      <c r="C1758" s="17">
        <v>45121</v>
      </c>
      <c r="D1758" s="16">
        <v>4878142</v>
      </c>
      <c r="E1758" s="16">
        <v>9430</v>
      </c>
      <c r="F1758" s="18" t="s">
        <v>185</v>
      </c>
      <c r="G1758" s="16" t="s">
        <v>334</v>
      </c>
      <c r="H1758" s="16" t="s">
        <v>46</v>
      </c>
      <c r="I1758" s="16" t="s">
        <v>51</v>
      </c>
    </row>
    <row r="1759" spans="2:9" x14ac:dyDescent="0.25">
      <c r="B1759" s="16" t="s">
        <v>210</v>
      </c>
      <c r="C1759" s="17">
        <v>45121</v>
      </c>
      <c r="D1759" s="16">
        <v>4878144</v>
      </c>
      <c r="E1759" s="16">
        <v>9430</v>
      </c>
      <c r="F1759" s="18" t="s">
        <v>185</v>
      </c>
      <c r="G1759" s="16" t="s">
        <v>334</v>
      </c>
      <c r="H1759" s="16" t="s">
        <v>46</v>
      </c>
      <c r="I1759" s="16" t="s">
        <v>51</v>
      </c>
    </row>
    <row r="1760" spans="2:9" x14ac:dyDescent="0.25">
      <c r="B1760" s="16" t="s">
        <v>210</v>
      </c>
      <c r="C1760" s="17">
        <v>45121</v>
      </c>
      <c r="D1760" s="16">
        <v>4878145</v>
      </c>
      <c r="E1760" s="16">
        <v>9430</v>
      </c>
      <c r="F1760" s="18" t="s">
        <v>185</v>
      </c>
      <c r="G1760" s="16" t="s">
        <v>334</v>
      </c>
      <c r="H1760" s="16" t="s">
        <v>46</v>
      </c>
      <c r="I1760" s="16" t="s">
        <v>51</v>
      </c>
    </row>
    <row r="1761" spans="2:9" x14ac:dyDescent="0.25">
      <c r="B1761" s="16" t="s">
        <v>210</v>
      </c>
      <c r="C1761" s="17">
        <v>45121</v>
      </c>
      <c r="D1761" s="16">
        <v>4878147</v>
      </c>
      <c r="E1761" s="16">
        <v>9430</v>
      </c>
      <c r="F1761" s="18" t="s">
        <v>185</v>
      </c>
      <c r="G1761" s="16" t="s">
        <v>334</v>
      </c>
      <c r="H1761" s="16" t="s">
        <v>46</v>
      </c>
      <c r="I1761" s="16" t="s">
        <v>51</v>
      </c>
    </row>
    <row r="1762" spans="2:9" x14ac:dyDescent="0.25">
      <c r="B1762" s="16" t="s">
        <v>210</v>
      </c>
      <c r="C1762" s="17">
        <v>45121</v>
      </c>
      <c r="D1762" s="16">
        <v>4878150</v>
      </c>
      <c r="E1762" s="16">
        <v>9430</v>
      </c>
      <c r="F1762" s="18" t="s">
        <v>185</v>
      </c>
      <c r="G1762" s="16" t="s">
        <v>334</v>
      </c>
      <c r="H1762" s="16" t="s">
        <v>46</v>
      </c>
      <c r="I1762" s="16" t="s">
        <v>51</v>
      </c>
    </row>
    <row r="1763" spans="2:9" x14ac:dyDescent="0.25">
      <c r="B1763" s="16" t="s">
        <v>210</v>
      </c>
      <c r="C1763" s="17">
        <v>45121</v>
      </c>
      <c r="D1763" s="16">
        <v>4878151</v>
      </c>
      <c r="E1763" s="16">
        <v>9430</v>
      </c>
      <c r="F1763" s="18" t="s">
        <v>185</v>
      </c>
      <c r="G1763" s="16" t="s">
        <v>334</v>
      </c>
      <c r="H1763" s="16" t="s">
        <v>46</v>
      </c>
      <c r="I1763" s="16" t="s">
        <v>51</v>
      </c>
    </row>
    <row r="1764" spans="2:9" x14ac:dyDescent="0.25">
      <c r="B1764" s="16" t="s">
        <v>210</v>
      </c>
      <c r="C1764" s="17">
        <v>45121</v>
      </c>
      <c r="D1764" s="16">
        <v>4878153</v>
      </c>
      <c r="E1764" s="16">
        <v>9430</v>
      </c>
      <c r="F1764" s="18" t="s">
        <v>185</v>
      </c>
      <c r="G1764" s="16" t="s">
        <v>334</v>
      </c>
      <c r="H1764" s="16" t="s">
        <v>46</v>
      </c>
      <c r="I1764" s="16" t="s">
        <v>51</v>
      </c>
    </row>
    <row r="1765" spans="2:9" x14ac:dyDescent="0.25">
      <c r="B1765" s="16" t="s">
        <v>210</v>
      </c>
      <c r="C1765" s="17">
        <v>45121</v>
      </c>
      <c r="D1765" s="16">
        <v>4878155</v>
      </c>
      <c r="E1765" s="16">
        <v>9430</v>
      </c>
      <c r="F1765" s="18" t="s">
        <v>185</v>
      </c>
      <c r="G1765" s="16" t="s">
        <v>334</v>
      </c>
      <c r="H1765" s="16" t="s">
        <v>46</v>
      </c>
      <c r="I1765" s="16" t="s">
        <v>51</v>
      </c>
    </row>
    <row r="1766" spans="2:9" x14ac:dyDescent="0.25">
      <c r="B1766" s="16" t="s">
        <v>210</v>
      </c>
      <c r="C1766" s="17">
        <v>45121</v>
      </c>
      <c r="D1766" s="16">
        <v>4878157</v>
      </c>
      <c r="E1766" s="16">
        <v>9430</v>
      </c>
      <c r="F1766" s="18" t="s">
        <v>185</v>
      </c>
      <c r="G1766" s="16" t="s">
        <v>334</v>
      </c>
      <c r="H1766" s="16" t="s">
        <v>46</v>
      </c>
      <c r="I1766" s="16" t="s">
        <v>51</v>
      </c>
    </row>
    <row r="1767" spans="2:9" x14ac:dyDescent="0.25">
      <c r="B1767" s="16" t="s">
        <v>2</v>
      </c>
      <c r="C1767" s="17">
        <v>45121</v>
      </c>
      <c r="D1767" s="16">
        <v>44606</v>
      </c>
      <c r="E1767" s="16">
        <v>12092</v>
      </c>
      <c r="F1767" s="18" t="s">
        <v>339</v>
      </c>
      <c r="G1767" s="16" t="s">
        <v>334</v>
      </c>
      <c r="H1767" s="16" t="s">
        <v>41</v>
      </c>
      <c r="I1767" s="16" t="s">
        <v>17</v>
      </c>
    </row>
    <row r="1768" spans="2:9" x14ac:dyDescent="0.25">
      <c r="B1768" s="16" t="s">
        <v>210</v>
      </c>
      <c r="C1768" s="17">
        <v>45121</v>
      </c>
      <c r="D1768" s="16">
        <v>789666</v>
      </c>
      <c r="E1768" s="16">
        <v>9794</v>
      </c>
      <c r="F1768" s="18" t="s">
        <v>360</v>
      </c>
      <c r="G1768" s="16" t="s">
        <v>6</v>
      </c>
      <c r="H1768" s="16" t="s">
        <v>71</v>
      </c>
      <c r="I1768" s="16" t="s">
        <v>17</v>
      </c>
    </row>
    <row r="1769" spans="2:9" x14ac:dyDescent="0.25">
      <c r="B1769" s="16" t="s">
        <v>210</v>
      </c>
      <c r="C1769" s="17">
        <v>45121</v>
      </c>
      <c r="D1769" s="16">
        <v>789667</v>
      </c>
      <c r="E1769" s="16">
        <v>9794</v>
      </c>
      <c r="F1769" s="18" t="s">
        <v>360</v>
      </c>
      <c r="G1769" s="16" t="s">
        <v>6</v>
      </c>
      <c r="H1769" s="16" t="s">
        <v>71</v>
      </c>
      <c r="I1769" s="16" t="s">
        <v>17</v>
      </c>
    </row>
    <row r="1770" spans="2:9" x14ac:dyDescent="0.25">
      <c r="B1770" s="16" t="s">
        <v>33</v>
      </c>
      <c r="C1770" s="17">
        <v>45121</v>
      </c>
      <c r="D1770" s="16">
        <v>4651768</v>
      </c>
      <c r="E1770" s="16">
        <v>9460</v>
      </c>
      <c r="F1770" s="18" t="s">
        <v>183</v>
      </c>
      <c r="G1770" s="16" t="s">
        <v>4</v>
      </c>
      <c r="H1770" s="16" t="s">
        <v>71</v>
      </c>
      <c r="I1770" s="16" t="s">
        <v>17</v>
      </c>
    </row>
    <row r="1771" spans="2:9" x14ac:dyDescent="0.25">
      <c r="B1771" s="16" t="s">
        <v>40</v>
      </c>
      <c r="C1771" s="17">
        <v>45121</v>
      </c>
      <c r="D1771" s="16">
        <v>82397</v>
      </c>
      <c r="E1771" s="16">
        <v>5101</v>
      </c>
      <c r="F1771" s="18" t="s">
        <v>359</v>
      </c>
      <c r="G1771" s="16" t="s">
        <v>7</v>
      </c>
      <c r="H1771" s="16" t="s">
        <v>41</v>
      </c>
      <c r="I1771" s="16" t="s">
        <v>17</v>
      </c>
    </row>
    <row r="1772" spans="2:9" x14ac:dyDescent="0.25">
      <c r="B1772" s="16" t="s">
        <v>2</v>
      </c>
      <c r="C1772" s="17">
        <v>45122</v>
      </c>
      <c r="D1772" s="16">
        <v>178371</v>
      </c>
      <c r="E1772" s="16">
        <v>10440</v>
      </c>
      <c r="F1772" s="18" t="s">
        <v>37</v>
      </c>
      <c r="G1772" s="16" t="s">
        <v>342</v>
      </c>
      <c r="H1772" s="16" t="s">
        <v>170</v>
      </c>
      <c r="I1772" s="16" t="s">
        <v>51</v>
      </c>
    </row>
    <row r="1773" spans="2:9" x14ac:dyDescent="0.25">
      <c r="B1773" s="16" t="s">
        <v>2</v>
      </c>
      <c r="C1773" s="17">
        <v>45122</v>
      </c>
      <c r="D1773" s="16">
        <v>178370</v>
      </c>
      <c r="E1773" s="16">
        <v>10440</v>
      </c>
      <c r="F1773" s="18" t="s">
        <v>37</v>
      </c>
      <c r="G1773" s="16" t="s">
        <v>342</v>
      </c>
      <c r="H1773" s="16" t="s">
        <v>170</v>
      </c>
      <c r="I1773" s="16" t="s">
        <v>51</v>
      </c>
    </row>
    <row r="1774" spans="2:9" x14ac:dyDescent="0.25">
      <c r="B1774" s="16" t="s">
        <v>40</v>
      </c>
      <c r="C1774" s="17">
        <v>45122</v>
      </c>
      <c r="D1774" s="16">
        <v>46645</v>
      </c>
      <c r="E1774" s="16">
        <v>9188</v>
      </c>
      <c r="F1774" s="18" t="s">
        <v>361</v>
      </c>
      <c r="G1774" s="16" t="s">
        <v>7</v>
      </c>
      <c r="H1774" s="16" t="s">
        <v>355</v>
      </c>
      <c r="I1774" s="16" t="s">
        <v>17</v>
      </c>
    </row>
    <row r="1775" spans="2:9" x14ac:dyDescent="0.25">
      <c r="B1775" s="16" t="s">
        <v>210</v>
      </c>
      <c r="C1775" s="17">
        <v>45124</v>
      </c>
      <c r="D1775" s="16">
        <v>988618</v>
      </c>
      <c r="E1775" s="16">
        <v>9434</v>
      </c>
      <c r="F1775" s="18" t="s">
        <v>23</v>
      </c>
      <c r="G1775" s="16" t="s">
        <v>341</v>
      </c>
      <c r="H1775" s="16" t="s">
        <v>184</v>
      </c>
      <c r="I1775" s="16" t="s">
        <v>61</v>
      </c>
    </row>
    <row r="1776" spans="2:9" x14ac:dyDescent="0.25">
      <c r="B1776" s="16" t="s">
        <v>33</v>
      </c>
      <c r="C1776" s="17">
        <v>45124</v>
      </c>
      <c r="D1776" s="16">
        <v>240401</v>
      </c>
      <c r="E1776" s="16" t="s">
        <v>20</v>
      </c>
      <c r="F1776" s="16" t="s">
        <v>20</v>
      </c>
      <c r="G1776" s="16" t="s">
        <v>20</v>
      </c>
      <c r="H1776" s="16" t="s">
        <v>20</v>
      </c>
      <c r="I1776" s="16" t="s">
        <v>20</v>
      </c>
    </row>
    <row r="1777" spans="2:9" x14ac:dyDescent="0.25">
      <c r="B1777" s="16" t="s">
        <v>40</v>
      </c>
      <c r="C1777" s="17">
        <v>45124</v>
      </c>
      <c r="D1777" s="16">
        <v>1147588</v>
      </c>
      <c r="E1777" s="16">
        <v>9516</v>
      </c>
      <c r="F1777" s="18" t="s">
        <v>110</v>
      </c>
      <c r="G1777" s="16" t="s">
        <v>334</v>
      </c>
      <c r="H1777" s="16" t="s">
        <v>31</v>
      </c>
      <c r="I1777" s="16" t="s">
        <v>132</v>
      </c>
    </row>
    <row r="1778" spans="2:9" x14ac:dyDescent="0.25">
      <c r="B1778" s="16" t="s">
        <v>40</v>
      </c>
      <c r="C1778" s="17">
        <v>45124</v>
      </c>
      <c r="D1778" s="16">
        <v>239582</v>
      </c>
      <c r="E1778" s="16">
        <v>10776</v>
      </c>
      <c r="F1778" s="18" t="s">
        <v>239</v>
      </c>
      <c r="G1778" s="16" t="s">
        <v>52</v>
      </c>
      <c r="H1778" s="16" t="s">
        <v>184</v>
      </c>
      <c r="I1778" s="16" t="s">
        <v>61</v>
      </c>
    </row>
    <row r="1779" spans="2:9" x14ac:dyDescent="0.25">
      <c r="B1779" s="16" t="s">
        <v>40</v>
      </c>
      <c r="C1779" s="17">
        <v>45124</v>
      </c>
      <c r="D1779" s="16">
        <v>1849</v>
      </c>
      <c r="E1779" s="16">
        <v>71780</v>
      </c>
      <c r="F1779" s="18" t="s">
        <v>20</v>
      </c>
      <c r="G1779" s="16" t="s">
        <v>52</v>
      </c>
      <c r="H1779" s="16" t="s">
        <v>46</v>
      </c>
      <c r="I1779" s="16" t="s">
        <v>51</v>
      </c>
    </row>
    <row r="1780" spans="2:9" x14ac:dyDescent="0.25">
      <c r="B1780" s="16" t="s">
        <v>40</v>
      </c>
      <c r="C1780" s="17">
        <v>45124</v>
      </c>
      <c r="D1780" s="16">
        <v>3905</v>
      </c>
      <c r="E1780" s="16">
        <v>71781</v>
      </c>
      <c r="F1780" s="18" t="s">
        <v>20</v>
      </c>
      <c r="G1780" s="16" t="s">
        <v>52</v>
      </c>
      <c r="H1780" s="16" t="s">
        <v>46</v>
      </c>
      <c r="I1780" s="16" t="s">
        <v>51</v>
      </c>
    </row>
    <row r="1781" spans="2:9" x14ac:dyDescent="0.25">
      <c r="B1781" s="16" t="s">
        <v>40</v>
      </c>
      <c r="C1781" s="17">
        <v>45124</v>
      </c>
      <c r="D1781" s="16">
        <v>120154</v>
      </c>
      <c r="E1781" s="16">
        <v>11604</v>
      </c>
      <c r="F1781" s="18" t="s">
        <v>63</v>
      </c>
      <c r="G1781" s="16" t="s">
        <v>262</v>
      </c>
      <c r="H1781" s="16" t="s">
        <v>38</v>
      </c>
      <c r="I1781" s="16" t="s">
        <v>17</v>
      </c>
    </row>
    <row r="1782" spans="2:9" x14ac:dyDescent="0.25">
      <c r="B1782" s="16" t="s">
        <v>26</v>
      </c>
      <c r="C1782" s="17">
        <v>45124</v>
      </c>
      <c r="D1782" s="16">
        <v>67646</v>
      </c>
      <c r="E1782" s="16">
        <v>9391</v>
      </c>
      <c r="F1782" s="18" t="s">
        <v>362</v>
      </c>
      <c r="G1782" s="16" t="s">
        <v>341</v>
      </c>
      <c r="H1782" s="16" t="s">
        <v>49</v>
      </c>
      <c r="I1782" s="16" t="s">
        <v>17</v>
      </c>
    </row>
    <row r="1783" spans="2:9" x14ac:dyDescent="0.25">
      <c r="B1783" s="16" t="s">
        <v>33</v>
      </c>
      <c r="C1783" s="17">
        <v>45124</v>
      </c>
      <c r="D1783" s="16">
        <v>121440</v>
      </c>
      <c r="E1783" s="16">
        <v>3189</v>
      </c>
      <c r="F1783" s="18" t="s">
        <v>311</v>
      </c>
      <c r="G1783" s="16" t="s">
        <v>4</v>
      </c>
      <c r="H1783" s="16" t="s">
        <v>75</v>
      </c>
      <c r="I1783" s="16" t="s">
        <v>17</v>
      </c>
    </row>
    <row r="1784" spans="2:9" x14ac:dyDescent="0.25">
      <c r="B1784" s="16" t="s">
        <v>33</v>
      </c>
      <c r="C1784" s="17">
        <v>45124</v>
      </c>
      <c r="D1784" s="16">
        <v>121439</v>
      </c>
      <c r="E1784" s="16">
        <v>3189</v>
      </c>
      <c r="F1784" s="18" t="s">
        <v>311</v>
      </c>
      <c r="G1784" s="16" t="s">
        <v>4</v>
      </c>
      <c r="H1784" s="16" t="s">
        <v>75</v>
      </c>
      <c r="I1784" s="16" t="s">
        <v>17</v>
      </c>
    </row>
    <row r="1785" spans="2:9" x14ac:dyDescent="0.25">
      <c r="B1785" s="16" t="s">
        <v>33</v>
      </c>
      <c r="C1785" s="17">
        <v>45124</v>
      </c>
      <c r="D1785" s="16">
        <v>9405</v>
      </c>
      <c r="E1785" s="16">
        <v>67955</v>
      </c>
      <c r="F1785" s="18" t="s">
        <v>181</v>
      </c>
      <c r="G1785" s="16" t="s">
        <v>7</v>
      </c>
      <c r="H1785" s="16" t="s">
        <v>355</v>
      </c>
      <c r="I1785" s="16" t="s">
        <v>20</v>
      </c>
    </row>
    <row r="1786" spans="2:9" x14ac:dyDescent="0.25">
      <c r="B1786" s="16" t="s">
        <v>33</v>
      </c>
      <c r="C1786" s="17">
        <v>45124</v>
      </c>
      <c r="D1786" s="16">
        <v>7972</v>
      </c>
      <c r="E1786" s="16">
        <v>63097</v>
      </c>
      <c r="F1786" s="18" t="s">
        <v>316</v>
      </c>
      <c r="G1786" s="16" t="s">
        <v>7</v>
      </c>
      <c r="H1786" s="16" t="s">
        <v>38</v>
      </c>
      <c r="I1786" s="16" t="s">
        <v>363</v>
      </c>
    </row>
    <row r="1787" spans="2:9" x14ac:dyDescent="0.25">
      <c r="B1787" s="16" t="s">
        <v>22</v>
      </c>
      <c r="C1787" s="17">
        <v>45124</v>
      </c>
      <c r="D1787" s="16">
        <v>24769</v>
      </c>
      <c r="E1787" s="16">
        <v>2873</v>
      </c>
      <c r="F1787" s="18" t="s">
        <v>364</v>
      </c>
      <c r="G1787" s="16" t="s">
        <v>341</v>
      </c>
      <c r="H1787" s="16" t="s">
        <v>46</v>
      </c>
      <c r="I1787" s="16" t="s">
        <v>17</v>
      </c>
    </row>
    <row r="1788" spans="2:9" x14ac:dyDescent="0.25">
      <c r="B1788" s="16" t="s">
        <v>22</v>
      </c>
      <c r="C1788" s="17">
        <v>45124</v>
      </c>
      <c r="D1788" s="16">
        <v>16362</v>
      </c>
      <c r="E1788" s="16">
        <v>9591</v>
      </c>
      <c r="F1788" s="18" t="s">
        <v>338</v>
      </c>
      <c r="G1788" s="16" t="s">
        <v>341</v>
      </c>
      <c r="H1788" s="16" t="s">
        <v>46</v>
      </c>
      <c r="I1788" s="16" t="s">
        <v>17</v>
      </c>
    </row>
    <row r="1789" spans="2:9" x14ac:dyDescent="0.25">
      <c r="B1789" s="16" t="s">
        <v>22</v>
      </c>
      <c r="C1789" s="17">
        <v>45124</v>
      </c>
      <c r="D1789" s="16">
        <v>16363</v>
      </c>
      <c r="E1789" s="16">
        <v>9591</v>
      </c>
      <c r="F1789" s="18" t="s">
        <v>338</v>
      </c>
      <c r="G1789" s="16" t="s">
        <v>341</v>
      </c>
      <c r="H1789" s="16" t="s">
        <v>46</v>
      </c>
      <c r="I1789" s="16" t="s">
        <v>17</v>
      </c>
    </row>
    <row r="1790" spans="2:9" x14ac:dyDescent="0.25">
      <c r="B1790" s="16" t="s">
        <v>22</v>
      </c>
      <c r="C1790" s="17">
        <v>45124</v>
      </c>
      <c r="D1790" s="16">
        <v>206071</v>
      </c>
      <c r="E1790" s="16">
        <v>10759</v>
      </c>
      <c r="F1790" s="18" t="s">
        <v>297</v>
      </c>
      <c r="G1790" s="16" t="s">
        <v>52</v>
      </c>
      <c r="H1790" s="16" t="s">
        <v>28</v>
      </c>
      <c r="I1790" s="16" t="s">
        <v>61</v>
      </c>
    </row>
    <row r="1791" spans="2:9" x14ac:dyDescent="0.25">
      <c r="B1791" s="16" t="s">
        <v>22</v>
      </c>
      <c r="C1791" s="17">
        <v>45124</v>
      </c>
      <c r="D1791" s="16">
        <v>120157</v>
      </c>
      <c r="E1791" s="16">
        <v>11604</v>
      </c>
      <c r="F1791" s="18" t="s">
        <v>63</v>
      </c>
      <c r="G1791" s="16" t="s">
        <v>262</v>
      </c>
      <c r="H1791" s="16" t="s">
        <v>38</v>
      </c>
      <c r="I1791" s="16" t="s">
        <v>20</v>
      </c>
    </row>
    <row r="1792" spans="2:9" x14ac:dyDescent="0.25">
      <c r="B1792" s="16" t="s">
        <v>210</v>
      </c>
      <c r="C1792" s="17">
        <v>45125</v>
      </c>
      <c r="D1792" s="16">
        <v>55264</v>
      </c>
      <c r="E1792" s="16">
        <v>10388</v>
      </c>
      <c r="F1792" s="18" t="s">
        <v>211</v>
      </c>
      <c r="G1792" s="16" t="s">
        <v>342</v>
      </c>
      <c r="H1792" s="16" t="s">
        <v>36</v>
      </c>
      <c r="I1792" s="16" t="s">
        <v>61</v>
      </c>
    </row>
    <row r="1793" spans="2:9" x14ac:dyDescent="0.25">
      <c r="B1793" s="16" t="s">
        <v>33</v>
      </c>
      <c r="C1793" s="17">
        <v>45125</v>
      </c>
      <c r="D1793" s="16">
        <v>993216</v>
      </c>
      <c r="E1793" s="16">
        <v>10263</v>
      </c>
      <c r="F1793" s="18" t="s">
        <v>34</v>
      </c>
      <c r="G1793" s="16" t="s">
        <v>16</v>
      </c>
      <c r="H1793" s="16" t="s">
        <v>36</v>
      </c>
      <c r="I1793" s="16" t="s">
        <v>61</v>
      </c>
    </row>
    <row r="1794" spans="2:9" x14ac:dyDescent="0.25">
      <c r="B1794" s="16" t="s">
        <v>33</v>
      </c>
      <c r="C1794" s="17">
        <v>45125</v>
      </c>
      <c r="D1794" s="16">
        <v>993250</v>
      </c>
      <c r="E1794" s="16">
        <v>10263</v>
      </c>
      <c r="F1794" s="18" t="s">
        <v>34</v>
      </c>
      <c r="G1794" s="16" t="s">
        <v>16</v>
      </c>
      <c r="H1794" s="16" t="s">
        <v>36</v>
      </c>
      <c r="I1794" s="16" t="s">
        <v>61</v>
      </c>
    </row>
    <row r="1795" spans="2:9" x14ac:dyDescent="0.25">
      <c r="B1795" s="16" t="s">
        <v>210</v>
      </c>
      <c r="C1795" s="17">
        <v>45125</v>
      </c>
      <c r="D1795" s="16">
        <v>57972</v>
      </c>
      <c r="E1795" s="16">
        <v>62764</v>
      </c>
      <c r="F1795" s="18" t="s">
        <v>365</v>
      </c>
      <c r="G1795" s="16" t="s">
        <v>52</v>
      </c>
      <c r="H1795" s="16" t="s">
        <v>228</v>
      </c>
      <c r="I1795" s="16" t="s">
        <v>17</v>
      </c>
    </row>
    <row r="1796" spans="2:9" x14ac:dyDescent="0.25">
      <c r="B1796" s="16" t="s">
        <v>210</v>
      </c>
      <c r="C1796" s="17">
        <v>45125</v>
      </c>
      <c r="D1796" s="16">
        <v>57971</v>
      </c>
      <c r="E1796" s="16">
        <v>62764</v>
      </c>
      <c r="F1796" s="18" t="s">
        <v>365</v>
      </c>
      <c r="G1796" s="16" t="s">
        <v>52</v>
      </c>
      <c r="H1796" s="16" t="s">
        <v>228</v>
      </c>
      <c r="I1796" s="16" t="s">
        <v>17</v>
      </c>
    </row>
    <row r="1797" spans="2:9" x14ac:dyDescent="0.25">
      <c r="B1797" s="16" t="s">
        <v>40</v>
      </c>
      <c r="C1797" s="17">
        <v>45125</v>
      </c>
      <c r="D1797" s="16">
        <v>992584</v>
      </c>
      <c r="E1797" s="16">
        <v>10263</v>
      </c>
      <c r="F1797" s="18" t="s">
        <v>34</v>
      </c>
      <c r="G1797" s="16" t="s">
        <v>16</v>
      </c>
      <c r="H1797" s="16" t="s">
        <v>36</v>
      </c>
      <c r="I1797" s="16" t="s">
        <v>61</v>
      </c>
    </row>
    <row r="1798" spans="2:9" x14ac:dyDescent="0.25">
      <c r="B1798" s="16" t="s">
        <v>40</v>
      </c>
      <c r="C1798" s="17">
        <v>45125</v>
      </c>
      <c r="D1798" s="16">
        <v>992621</v>
      </c>
      <c r="E1798" s="16">
        <v>10263</v>
      </c>
      <c r="F1798" s="18" t="s">
        <v>34</v>
      </c>
      <c r="G1798" s="16" t="s">
        <v>16</v>
      </c>
      <c r="H1798" s="16" t="s">
        <v>36</v>
      </c>
      <c r="I1798" s="16" t="s">
        <v>61</v>
      </c>
    </row>
    <row r="1799" spans="2:9" x14ac:dyDescent="0.25">
      <c r="B1799" s="16" t="s">
        <v>40</v>
      </c>
      <c r="C1799" s="17">
        <v>45125</v>
      </c>
      <c r="D1799" s="16">
        <v>992626</v>
      </c>
      <c r="E1799" s="16">
        <v>10263</v>
      </c>
      <c r="F1799" s="18" t="s">
        <v>34</v>
      </c>
      <c r="G1799" s="16" t="s">
        <v>16</v>
      </c>
      <c r="H1799" s="16" t="s">
        <v>36</v>
      </c>
      <c r="I1799" s="16" t="s">
        <v>61</v>
      </c>
    </row>
    <row r="1800" spans="2:9" x14ac:dyDescent="0.25">
      <c r="B1800" s="16" t="s">
        <v>40</v>
      </c>
      <c r="C1800" s="17">
        <v>45125</v>
      </c>
      <c r="D1800" s="16">
        <v>8053</v>
      </c>
      <c r="E1800" s="16">
        <v>63097</v>
      </c>
      <c r="F1800" s="18" t="s">
        <v>316</v>
      </c>
      <c r="G1800" s="16" t="s">
        <v>7</v>
      </c>
      <c r="H1800" s="16" t="s">
        <v>355</v>
      </c>
      <c r="I1800" s="16" t="s">
        <v>12</v>
      </c>
    </row>
    <row r="1801" spans="2:9" x14ac:dyDescent="0.25">
      <c r="B1801" s="16" t="s">
        <v>2</v>
      </c>
      <c r="C1801" s="17">
        <v>45125</v>
      </c>
      <c r="D1801" s="16">
        <v>993172</v>
      </c>
      <c r="E1801" s="16">
        <v>10263</v>
      </c>
      <c r="F1801" s="18" t="s">
        <v>34</v>
      </c>
      <c r="G1801" s="16" t="s">
        <v>16</v>
      </c>
      <c r="H1801" s="16" t="s">
        <v>36</v>
      </c>
      <c r="I1801" s="16" t="s">
        <v>61</v>
      </c>
    </row>
    <row r="1802" spans="2:9" x14ac:dyDescent="0.25">
      <c r="B1802" s="16" t="s">
        <v>2</v>
      </c>
      <c r="C1802" s="17">
        <v>45125</v>
      </c>
      <c r="D1802" s="16">
        <v>993128</v>
      </c>
      <c r="E1802" s="16">
        <v>10263</v>
      </c>
      <c r="F1802" s="18" t="s">
        <v>34</v>
      </c>
      <c r="G1802" s="16" t="s">
        <v>16</v>
      </c>
      <c r="H1802" s="16" t="s">
        <v>36</v>
      </c>
      <c r="I1802" s="16" t="s">
        <v>61</v>
      </c>
    </row>
    <row r="1803" spans="2:9" x14ac:dyDescent="0.25">
      <c r="B1803" s="16" t="s">
        <v>26</v>
      </c>
      <c r="C1803" s="17">
        <v>45125</v>
      </c>
      <c r="D1803" s="16">
        <v>330921</v>
      </c>
      <c r="E1803" s="16">
        <v>66719</v>
      </c>
      <c r="F1803" s="18" t="s">
        <v>180</v>
      </c>
      <c r="G1803" s="16" t="s">
        <v>334</v>
      </c>
      <c r="H1803" s="16" t="s">
        <v>114</v>
      </c>
      <c r="I1803" s="16" t="s">
        <v>17</v>
      </c>
    </row>
    <row r="1804" spans="2:9" x14ac:dyDescent="0.25">
      <c r="B1804" s="16" t="s">
        <v>210</v>
      </c>
      <c r="C1804" s="17">
        <v>45126</v>
      </c>
      <c r="D1804" s="16">
        <v>240640</v>
      </c>
      <c r="E1804" s="16">
        <v>1175</v>
      </c>
      <c r="F1804" s="18" t="s">
        <v>81</v>
      </c>
      <c r="G1804" s="16" t="s">
        <v>7</v>
      </c>
      <c r="H1804" s="16" t="s">
        <v>38</v>
      </c>
      <c r="I1804" s="16" t="s">
        <v>17</v>
      </c>
    </row>
    <row r="1805" spans="2:9" x14ac:dyDescent="0.25">
      <c r="B1805" s="16" t="s">
        <v>33</v>
      </c>
      <c r="C1805" s="17">
        <v>45126</v>
      </c>
      <c r="D1805" s="16">
        <v>1117960</v>
      </c>
      <c r="E1805" s="16">
        <v>1139</v>
      </c>
      <c r="F1805" s="18" t="s">
        <v>66</v>
      </c>
      <c r="G1805" s="16" t="s">
        <v>334</v>
      </c>
      <c r="H1805" s="16" t="s">
        <v>184</v>
      </c>
      <c r="I1805" s="16" t="s">
        <v>61</v>
      </c>
    </row>
    <row r="1806" spans="2:9" x14ac:dyDescent="0.25">
      <c r="B1806" s="16" t="s">
        <v>33</v>
      </c>
      <c r="C1806" s="17" t="s">
        <v>366</v>
      </c>
      <c r="D1806" s="16">
        <v>120254</v>
      </c>
      <c r="E1806" s="16">
        <v>11604</v>
      </c>
      <c r="F1806" s="18" t="s">
        <v>63</v>
      </c>
      <c r="G1806" s="16" t="s">
        <v>262</v>
      </c>
      <c r="H1806" s="16" t="s">
        <v>38</v>
      </c>
      <c r="I1806" s="16" t="s">
        <v>17</v>
      </c>
    </row>
    <row r="1807" spans="2:9" x14ac:dyDescent="0.25">
      <c r="B1807" s="16" t="s">
        <v>33</v>
      </c>
      <c r="C1807" s="17">
        <v>45126</v>
      </c>
      <c r="D1807" s="16">
        <v>240645</v>
      </c>
      <c r="E1807" s="16">
        <v>1175</v>
      </c>
      <c r="F1807" s="18" t="s">
        <v>81</v>
      </c>
      <c r="G1807" s="16" t="s">
        <v>7</v>
      </c>
      <c r="H1807" s="16" t="s">
        <v>38</v>
      </c>
      <c r="I1807" s="16" t="s">
        <v>17</v>
      </c>
    </row>
    <row r="1808" spans="2:9" x14ac:dyDescent="0.25">
      <c r="B1808" s="16" t="s">
        <v>40</v>
      </c>
      <c r="C1808" s="17">
        <v>45126</v>
      </c>
      <c r="D1808" s="16">
        <v>26702</v>
      </c>
      <c r="E1808" s="16">
        <v>11840</v>
      </c>
      <c r="F1808" s="18" t="s">
        <v>129</v>
      </c>
      <c r="G1808" s="16" t="s">
        <v>341</v>
      </c>
      <c r="H1808" s="16" t="s">
        <v>184</v>
      </c>
      <c r="I1808" s="16" t="s">
        <v>61</v>
      </c>
    </row>
    <row r="1809" spans="2:9" x14ac:dyDescent="0.25">
      <c r="B1809" s="16" t="s">
        <v>40</v>
      </c>
      <c r="C1809" s="17">
        <v>45126</v>
      </c>
      <c r="D1809" s="16">
        <v>26697</v>
      </c>
      <c r="E1809" s="16">
        <v>11840</v>
      </c>
      <c r="F1809" s="18" t="s">
        <v>129</v>
      </c>
      <c r="G1809" s="16" t="s">
        <v>341</v>
      </c>
      <c r="H1809" s="16" t="s">
        <v>184</v>
      </c>
      <c r="I1809" s="16" t="s">
        <v>61</v>
      </c>
    </row>
    <row r="1810" spans="2:9" x14ac:dyDescent="0.25">
      <c r="B1810" s="16" t="s">
        <v>40</v>
      </c>
      <c r="C1810" s="17">
        <v>45126</v>
      </c>
      <c r="D1810" s="16">
        <v>9482</v>
      </c>
      <c r="E1810" s="16">
        <v>67995</v>
      </c>
      <c r="F1810" s="18" t="s">
        <v>367</v>
      </c>
      <c r="G1810" s="16" t="s">
        <v>7</v>
      </c>
      <c r="H1810" s="16" t="s">
        <v>355</v>
      </c>
      <c r="I1810" s="16" t="s">
        <v>12</v>
      </c>
    </row>
    <row r="1811" spans="2:9" x14ac:dyDescent="0.25">
      <c r="B1811" s="16" t="s">
        <v>210</v>
      </c>
      <c r="C1811" s="17">
        <v>45126</v>
      </c>
      <c r="D1811" s="16">
        <v>2389760</v>
      </c>
      <c r="E1811" s="16">
        <v>8252</v>
      </c>
      <c r="F1811" s="18" t="s">
        <v>286</v>
      </c>
      <c r="G1811" s="16" t="s">
        <v>341</v>
      </c>
      <c r="H1811" s="16" t="s">
        <v>184</v>
      </c>
      <c r="I1811" s="16" t="s">
        <v>61</v>
      </c>
    </row>
    <row r="1812" spans="2:9" x14ac:dyDescent="0.25">
      <c r="B1812" s="16" t="s">
        <v>210</v>
      </c>
      <c r="C1812" s="17">
        <v>45126</v>
      </c>
      <c r="D1812" s="16">
        <v>179703</v>
      </c>
      <c r="E1812" s="16">
        <v>10440</v>
      </c>
      <c r="F1812" s="18" t="s">
        <v>37</v>
      </c>
      <c r="G1812" s="16" t="s">
        <v>334</v>
      </c>
      <c r="H1812" s="16" t="s">
        <v>36</v>
      </c>
      <c r="I1812" s="16" t="s">
        <v>317</v>
      </c>
    </row>
    <row r="1813" spans="2:9" x14ac:dyDescent="0.25">
      <c r="B1813" s="16" t="s">
        <v>40</v>
      </c>
      <c r="C1813" s="17">
        <v>45126</v>
      </c>
      <c r="D1813" s="16">
        <v>1807852</v>
      </c>
      <c r="E1813" s="16">
        <v>9307</v>
      </c>
      <c r="F1813" s="18" t="s">
        <v>68</v>
      </c>
      <c r="G1813" s="16" t="s">
        <v>334</v>
      </c>
      <c r="H1813" s="16" t="s">
        <v>184</v>
      </c>
      <c r="I1813" s="16" t="s">
        <v>61</v>
      </c>
    </row>
    <row r="1814" spans="2:9" x14ac:dyDescent="0.25">
      <c r="B1814" s="16" t="s">
        <v>40</v>
      </c>
      <c r="C1814" s="17">
        <v>45126</v>
      </c>
      <c r="D1814" s="16">
        <v>179706</v>
      </c>
      <c r="E1814" s="16">
        <v>10440</v>
      </c>
      <c r="F1814" s="18" t="s">
        <v>37</v>
      </c>
      <c r="G1814" s="16" t="s">
        <v>334</v>
      </c>
      <c r="H1814" s="16" t="s">
        <v>36</v>
      </c>
      <c r="I1814" s="16" t="s">
        <v>61</v>
      </c>
    </row>
    <row r="1815" spans="2:9" x14ac:dyDescent="0.25">
      <c r="B1815" s="16" t="s">
        <v>40</v>
      </c>
      <c r="C1815" s="17">
        <v>45126</v>
      </c>
      <c r="D1815" s="16">
        <v>408301</v>
      </c>
      <c r="E1815" s="16">
        <v>1216</v>
      </c>
      <c r="F1815" s="18" t="s">
        <v>47</v>
      </c>
      <c r="G1815" s="16" t="s">
        <v>341</v>
      </c>
      <c r="H1815" s="16" t="s">
        <v>184</v>
      </c>
      <c r="I1815" s="16" t="s">
        <v>317</v>
      </c>
    </row>
    <row r="1816" spans="2:9" x14ac:dyDescent="0.25">
      <c r="B1816" s="16" t="s">
        <v>210</v>
      </c>
      <c r="C1816" s="17">
        <v>45126</v>
      </c>
      <c r="D1816" s="16">
        <v>179702</v>
      </c>
      <c r="E1816" s="16">
        <v>10440</v>
      </c>
      <c r="F1816" s="18" t="s">
        <v>37</v>
      </c>
      <c r="G1816" s="16" t="s">
        <v>334</v>
      </c>
      <c r="H1816" s="16" t="s">
        <v>36</v>
      </c>
      <c r="I1816" s="16" t="s">
        <v>317</v>
      </c>
    </row>
    <row r="1817" spans="2:9" x14ac:dyDescent="0.25">
      <c r="B1817" s="16" t="s">
        <v>210</v>
      </c>
      <c r="C1817" s="17">
        <v>45126</v>
      </c>
      <c r="D1817" s="16">
        <v>180110</v>
      </c>
      <c r="E1817" s="16">
        <v>10440</v>
      </c>
      <c r="F1817" s="18" t="s">
        <v>37</v>
      </c>
      <c r="G1817" s="16" t="s">
        <v>334</v>
      </c>
      <c r="H1817" s="16" t="s">
        <v>36</v>
      </c>
      <c r="I1817" s="16" t="s">
        <v>317</v>
      </c>
    </row>
    <row r="1818" spans="2:9" x14ac:dyDescent="0.25">
      <c r="B1818" s="16" t="s">
        <v>210</v>
      </c>
      <c r="C1818" s="17">
        <v>45126</v>
      </c>
      <c r="D1818" s="16">
        <v>437</v>
      </c>
      <c r="E1818" s="16">
        <v>62834</v>
      </c>
      <c r="F1818" s="18" t="s">
        <v>368</v>
      </c>
      <c r="G1818" s="16"/>
      <c r="H1818" s="16" t="s">
        <v>186</v>
      </c>
      <c r="I1818" s="16" t="s">
        <v>369</v>
      </c>
    </row>
    <row r="1819" spans="2:9" x14ac:dyDescent="0.25">
      <c r="B1819" s="16" t="s">
        <v>26</v>
      </c>
      <c r="C1819" s="17">
        <v>45126</v>
      </c>
      <c r="D1819" s="16">
        <v>2389717</v>
      </c>
      <c r="E1819" s="16">
        <v>8252</v>
      </c>
      <c r="F1819" s="18" t="s">
        <v>286</v>
      </c>
      <c r="G1819" s="16" t="s">
        <v>52</v>
      </c>
      <c r="H1819" s="16" t="s">
        <v>184</v>
      </c>
      <c r="I1819" s="16" t="s">
        <v>61</v>
      </c>
    </row>
    <row r="1820" spans="2:9" x14ac:dyDescent="0.25">
      <c r="B1820" s="16" t="s">
        <v>26</v>
      </c>
      <c r="C1820" s="17">
        <v>45126</v>
      </c>
      <c r="D1820" s="16">
        <v>110286</v>
      </c>
      <c r="E1820" s="16">
        <v>9490</v>
      </c>
      <c r="F1820" s="18" t="s">
        <v>172</v>
      </c>
      <c r="G1820" s="16" t="s">
        <v>5</v>
      </c>
      <c r="H1820" s="16" t="s">
        <v>114</v>
      </c>
      <c r="I1820" s="16" t="s">
        <v>61</v>
      </c>
    </row>
    <row r="1821" spans="2:9" x14ac:dyDescent="0.25">
      <c r="B1821" s="16" t="s">
        <v>26</v>
      </c>
      <c r="C1821" s="17">
        <v>45126</v>
      </c>
      <c r="D1821" s="16">
        <v>179701</v>
      </c>
      <c r="E1821" s="16">
        <v>10440</v>
      </c>
      <c r="F1821" s="18" t="s">
        <v>37</v>
      </c>
      <c r="G1821" s="16" t="s">
        <v>334</v>
      </c>
      <c r="H1821" s="16" t="s">
        <v>355</v>
      </c>
      <c r="I1821" s="16" t="s">
        <v>61</v>
      </c>
    </row>
    <row r="1822" spans="2:9" x14ac:dyDescent="0.25">
      <c r="B1822" s="16" t="s">
        <v>33</v>
      </c>
      <c r="C1822" s="17">
        <v>45126</v>
      </c>
      <c r="D1822" s="16">
        <v>45712</v>
      </c>
      <c r="E1822" s="16">
        <v>11716</v>
      </c>
      <c r="F1822" s="18" t="s">
        <v>83</v>
      </c>
      <c r="G1822" s="16" t="s">
        <v>341</v>
      </c>
      <c r="H1822" s="16" t="s">
        <v>46</v>
      </c>
      <c r="I1822" s="16" t="s">
        <v>370</v>
      </c>
    </row>
    <row r="1823" spans="2:9" x14ac:dyDescent="0.25">
      <c r="B1823" s="16" t="s">
        <v>33</v>
      </c>
      <c r="C1823" s="17">
        <v>45126</v>
      </c>
      <c r="D1823" s="16">
        <v>165933</v>
      </c>
      <c r="E1823" s="16">
        <v>12613</v>
      </c>
      <c r="F1823" s="18" t="s">
        <v>371</v>
      </c>
      <c r="G1823" s="16" t="s">
        <v>342</v>
      </c>
      <c r="H1823" s="16" t="s">
        <v>49</v>
      </c>
      <c r="I1823" s="16" t="s">
        <v>317</v>
      </c>
    </row>
    <row r="1824" spans="2:9" x14ac:dyDescent="0.25">
      <c r="B1824" s="16" t="s">
        <v>33</v>
      </c>
      <c r="C1824" s="17">
        <v>45126</v>
      </c>
      <c r="D1824" s="16">
        <v>180113</v>
      </c>
      <c r="E1824" s="16">
        <v>10440</v>
      </c>
      <c r="F1824" s="18" t="s">
        <v>37</v>
      </c>
      <c r="G1824" s="16" t="s">
        <v>334</v>
      </c>
      <c r="H1824" s="16" t="s">
        <v>38</v>
      </c>
      <c r="I1824" s="16" t="s">
        <v>17</v>
      </c>
    </row>
    <row r="1825" spans="2:9" x14ac:dyDescent="0.25">
      <c r="B1825" s="16" t="s">
        <v>2</v>
      </c>
      <c r="C1825" s="17">
        <v>45126</v>
      </c>
      <c r="D1825" s="16">
        <v>110276</v>
      </c>
      <c r="E1825" s="16">
        <v>9490</v>
      </c>
      <c r="F1825" s="18" t="s">
        <v>172</v>
      </c>
      <c r="G1825" s="16" t="s">
        <v>5</v>
      </c>
      <c r="H1825" s="16" t="s">
        <v>114</v>
      </c>
      <c r="I1825" s="16" t="s">
        <v>17</v>
      </c>
    </row>
    <row r="1826" spans="2:9" x14ac:dyDescent="0.25">
      <c r="B1826" s="16" t="s">
        <v>2</v>
      </c>
      <c r="C1826" s="17">
        <v>45126</v>
      </c>
      <c r="D1826" s="16">
        <v>179704</v>
      </c>
      <c r="E1826" s="16">
        <v>10440</v>
      </c>
      <c r="F1826" s="18" t="s">
        <v>37</v>
      </c>
      <c r="G1826" s="16" t="s">
        <v>334</v>
      </c>
      <c r="H1826" s="16" t="s">
        <v>114</v>
      </c>
      <c r="I1826" s="16" t="s">
        <v>61</v>
      </c>
    </row>
    <row r="1827" spans="2:9" x14ac:dyDescent="0.25">
      <c r="B1827" s="16" t="s">
        <v>2</v>
      </c>
      <c r="C1827" s="17">
        <v>45126</v>
      </c>
      <c r="D1827" s="16">
        <v>59961</v>
      </c>
      <c r="E1827" s="16">
        <v>11787</v>
      </c>
      <c r="F1827" s="18" t="s">
        <v>244</v>
      </c>
      <c r="G1827" s="16" t="s">
        <v>334</v>
      </c>
      <c r="H1827" s="16" t="s">
        <v>190</v>
      </c>
      <c r="I1827" s="16" t="s">
        <v>17</v>
      </c>
    </row>
    <row r="1828" spans="2:9" x14ac:dyDescent="0.25">
      <c r="B1828" s="16" t="s">
        <v>22</v>
      </c>
      <c r="C1828" s="17">
        <v>45126</v>
      </c>
      <c r="D1828" s="16">
        <v>120246</v>
      </c>
      <c r="E1828" s="16">
        <v>11604</v>
      </c>
      <c r="F1828" s="18" t="s">
        <v>63</v>
      </c>
      <c r="G1828" s="16" t="s">
        <v>262</v>
      </c>
      <c r="H1828" s="16" t="s">
        <v>38</v>
      </c>
      <c r="I1828" s="16" t="s">
        <v>17</v>
      </c>
    </row>
    <row r="1829" spans="2:9" x14ac:dyDescent="0.25">
      <c r="B1829" s="16" t="s">
        <v>22</v>
      </c>
      <c r="C1829" s="17">
        <v>45126</v>
      </c>
      <c r="D1829" s="16">
        <v>481908</v>
      </c>
      <c r="E1829" s="16">
        <v>10767</v>
      </c>
      <c r="F1829" s="18" t="s">
        <v>372</v>
      </c>
      <c r="G1829" s="16" t="s">
        <v>343</v>
      </c>
      <c r="H1829" s="16" t="s">
        <v>186</v>
      </c>
      <c r="I1829" s="16" t="s">
        <v>61</v>
      </c>
    </row>
    <row r="1830" spans="2:9" x14ac:dyDescent="0.25">
      <c r="B1830" s="16" t="s">
        <v>22</v>
      </c>
      <c r="C1830" s="17">
        <v>45126</v>
      </c>
      <c r="D1830" s="16">
        <v>482750</v>
      </c>
      <c r="E1830" s="16">
        <v>10767</v>
      </c>
      <c r="F1830" s="18" t="s">
        <v>372</v>
      </c>
      <c r="G1830" s="16" t="s">
        <v>343</v>
      </c>
      <c r="H1830" s="16" t="s">
        <v>186</v>
      </c>
      <c r="I1830" s="16" t="s">
        <v>61</v>
      </c>
    </row>
    <row r="1831" spans="2:9" x14ac:dyDescent="0.25">
      <c r="B1831" s="16" t="s">
        <v>22</v>
      </c>
      <c r="C1831" s="17">
        <v>45126</v>
      </c>
      <c r="D1831" s="16">
        <v>408317</v>
      </c>
      <c r="E1831" s="16">
        <v>1216</v>
      </c>
      <c r="F1831" s="18" t="s">
        <v>47</v>
      </c>
      <c r="G1831" s="16" t="s">
        <v>341</v>
      </c>
      <c r="H1831" s="16" t="s">
        <v>41</v>
      </c>
      <c r="I1831" s="16" t="s">
        <v>17</v>
      </c>
    </row>
    <row r="1832" spans="2:9" x14ac:dyDescent="0.25">
      <c r="B1832" s="16" t="s">
        <v>22</v>
      </c>
      <c r="C1832" s="17">
        <v>45126</v>
      </c>
      <c r="D1832" s="16">
        <v>1807795</v>
      </c>
      <c r="E1832" s="16">
        <v>9307</v>
      </c>
      <c r="F1832" s="18" t="s">
        <v>68</v>
      </c>
      <c r="G1832" s="16" t="s">
        <v>334</v>
      </c>
      <c r="H1832" s="16" t="s">
        <v>38</v>
      </c>
      <c r="I1832" s="16" t="s">
        <v>61</v>
      </c>
    </row>
    <row r="1833" spans="2:9" x14ac:dyDescent="0.25">
      <c r="B1833" s="16" t="s">
        <v>22</v>
      </c>
      <c r="C1833" s="17">
        <v>45126</v>
      </c>
      <c r="D1833" s="16">
        <v>179698</v>
      </c>
      <c r="E1833" s="16">
        <v>10440</v>
      </c>
      <c r="F1833" s="18" t="s">
        <v>37</v>
      </c>
      <c r="G1833" s="16" t="s">
        <v>334</v>
      </c>
      <c r="H1833" s="16" t="s">
        <v>114</v>
      </c>
      <c r="I1833" s="16" t="s">
        <v>61</v>
      </c>
    </row>
    <row r="1834" spans="2:9" x14ac:dyDescent="0.25">
      <c r="B1834" s="16" t="s">
        <v>33</v>
      </c>
      <c r="C1834" s="17">
        <v>45126</v>
      </c>
      <c r="D1834" s="16">
        <v>408307</v>
      </c>
      <c r="E1834" s="16">
        <v>1216</v>
      </c>
      <c r="F1834" s="18" t="s">
        <v>47</v>
      </c>
      <c r="G1834" s="16" t="s">
        <v>341</v>
      </c>
      <c r="H1834" s="16" t="s">
        <v>184</v>
      </c>
      <c r="I1834" s="16" t="s">
        <v>61</v>
      </c>
    </row>
    <row r="1835" spans="2:9" x14ac:dyDescent="0.25">
      <c r="B1835" s="16" t="s">
        <v>2</v>
      </c>
      <c r="C1835" s="17">
        <v>45126</v>
      </c>
      <c r="D1835" s="16">
        <v>26696</v>
      </c>
      <c r="E1835" s="16">
        <v>11840</v>
      </c>
      <c r="F1835" s="18" t="s">
        <v>129</v>
      </c>
      <c r="G1835" s="16" t="s">
        <v>341</v>
      </c>
      <c r="H1835" s="16" t="s">
        <v>39</v>
      </c>
      <c r="I1835" s="16" t="s">
        <v>61</v>
      </c>
    </row>
    <row r="1836" spans="2:9" x14ac:dyDescent="0.25">
      <c r="B1836" s="16" t="s">
        <v>2</v>
      </c>
      <c r="C1836" s="17">
        <v>45126</v>
      </c>
      <c r="D1836" s="16">
        <v>240642</v>
      </c>
      <c r="E1836" s="16">
        <v>1175</v>
      </c>
      <c r="F1836" s="18" t="s">
        <v>81</v>
      </c>
      <c r="G1836" s="16" t="s">
        <v>7</v>
      </c>
      <c r="H1836" s="16" t="s">
        <v>38</v>
      </c>
      <c r="I1836" s="16" t="s">
        <v>17</v>
      </c>
    </row>
    <row r="1837" spans="2:9" x14ac:dyDescent="0.25">
      <c r="B1837" s="16" t="s">
        <v>210</v>
      </c>
      <c r="C1837" s="17">
        <v>45126</v>
      </c>
      <c r="D1837" s="16">
        <v>203220</v>
      </c>
      <c r="E1837" s="16">
        <v>1100</v>
      </c>
      <c r="F1837" s="18" t="s">
        <v>152</v>
      </c>
      <c r="G1837" s="16" t="s">
        <v>5</v>
      </c>
      <c r="H1837" s="16" t="s">
        <v>46</v>
      </c>
      <c r="I1837" s="16" t="s">
        <v>17</v>
      </c>
    </row>
    <row r="1838" spans="2:9" x14ac:dyDescent="0.25">
      <c r="B1838" s="16" t="s">
        <v>210</v>
      </c>
      <c r="C1838" s="17">
        <v>45126</v>
      </c>
      <c r="D1838" s="16">
        <v>203222</v>
      </c>
      <c r="E1838" s="16">
        <v>1100</v>
      </c>
      <c r="F1838" s="18" t="s">
        <v>152</v>
      </c>
      <c r="G1838" s="16" t="s">
        <v>5</v>
      </c>
      <c r="H1838" s="16" t="s">
        <v>46</v>
      </c>
      <c r="I1838" s="16" t="s">
        <v>17</v>
      </c>
    </row>
    <row r="1839" spans="2:9" x14ac:dyDescent="0.25">
      <c r="B1839" s="16" t="s">
        <v>210</v>
      </c>
      <c r="C1839" s="17">
        <v>45126</v>
      </c>
      <c r="D1839" s="16">
        <v>203215</v>
      </c>
      <c r="E1839" s="16">
        <v>1100</v>
      </c>
      <c r="F1839" s="18" t="s">
        <v>152</v>
      </c>
      <c r="G1839" s="16" t="s">
        <v>5</v>
      </c>
      <c r="H1839" s="16" t="s">
        <v>46</v>
      </c>
      <c r="I1839" s="16" t="s">
        <v>17</v>
      </c>
    </row>
    <row r="1840" spans="2:9" x14ac:dyDescent="0.25">
      <c r="B1840" s="16" t="s">
        <v>22</v>
      </c>
      <c r="C1840" s="17">
        <v>45126</v>
      </c>
      <c r="D1840" s="16">
        <v>179638</v>
      </c>
      <c r="E1840" s="16">
        <v>10440</v>
      </c>
      <c r="F1840" s="18" t="s">
        <v>37</v>
      </c>
      <c r="G1840" s="16" t="s">
        <v>342</v>
      </c>
      <c r="H1840" s="16" t="s">
        <v>71</v>
      </c>
      <c r="I1840" s="16" t="s">
        <v>17</v>
      </c>
    </row>
    <row r="1841" spans="2:9" x14ac:dyDescent="0.25">
      <c r="B1841" s="16" t="s">
        <v>22</v>
      </c>
      <c r="C1841" s="17">
        <v>45126</v>
      </c>
      <c r="D1841" s="16">
        <v>180108</v>
      </c>
      <c r="E1841" s="16">
        <v>10440</v>
      </c>
      <c r="F1841" s="18" t="s">
        <v>37</v>
      </c>
      <c r="G1841" s="16" t="s">
        <v>334</v>
      </c>
      <c r="H1841" s="16" t="s">
        <v>71</v>
      </c>
      <c r="I1841" s="16" t="s">
        <v>17</v>
      </c>
    </row>
    <row r="1842" spans="2:9" x14ac:dyDescent="0.25">
      <c r="B1842" s="16" t="s">
        <v>22</v>
      </c>
      <c r="C1842" s="17">
        <v>45126</v>
      </c>
      <c r="D1842" s="16">
        <v>179699</v>
      </c>
      <c r="E1842" s="16">
        <v>10440</v>
      </c>
      <c r="F1842" s="18" t="s">
        <v>37</v>
      </c>
      <c r="G1842" s="16" t="s">
        <v>334</v>
      </c>
      <c r="H1842" s="16" t="s">
        <v>71</v>
      </c>
      <c r="I1842" s="16" t="s">
        <v>17</v>
      </c>
    </row>
    <row r="1843" spans="2:9" x14ac:dyDescent="0.25">
      <c r="B1843" s="16" t="s">
        <v>210</v>
      </c>
      <c r="C1843" s="17">
        <v>45127</v>
      </c>
      <c r="D1843" s="16">
        <v>120292</v>
      </c>
      <c r="E1843" s="16">
        <v>11604</v>
      </c>
      <c r="F1843" s="18" t="s">
        <v>63</v>
      </c>
      <c r="G1843" s="16" t="s">
        <v>262</v>
      </c>
      <c r="H1843" s="16" t="s">
        <v>38</v>
      </c>
      <c r="I1843" s="16" t="s">
        <v>17</v>
      </c>
    </row>
    <row r="1844" spans="2:9" x14ac:dyDescent="0.25">
      <c r="B1844" s="16" t="s">
        <v>210</v>
      </c>
      <c r="C1844" s="17">
        <v>45127</v>
      </c>
      <c r="D1844" s="16">
        <v>87354</v>
      </c>
      <c r="E1844" s="16">
        <v>63522</v>
      </c>
      <c r="F1844" s="18" t="s">
        <v>325</v>
      </c>
      <c r="G1844" s="16" t="s">
        <v>343</v>
      </c>
      <c r="H1844" s="16" t="s">
        <v>97</v>
      </c>
      <c r="I1844" s="16" t="s">
        <v>373</v>
      </c>
    </row>
    <row r="1845" spans="2:9" x14ac:dyDescent="0.25">
      <c r="B1845" s="16" t="s">
        <v>33</v>
      </c>
      <c r="C1845" s="17">
        <v>45127</v>
      </c>
      <c r="D1845" s="16">
        <v>165933</v>
      </c>
      <c r="E1845" s="16">
        <v>12613</v>
      </c>
      <c r="F1845" s="18" t="s">
        <v>371</v>
      </c>
      <c r="G1845" s="16" t="s">
        <v>342</v>
      </c>
      <c r="H1845" s="16" t="s">
        <v>221</v>
      </c>
      <c r="I1845" s="16" t="s">
        <v>61</v>
      </c>
    </row>
    <row r="1846" spans="2:9" x14ac:dyDescent="0.25">
      <c r="B1846" s="16" t="s">
        <v>2</v>
      </c>
      <c r="C1846" s="17">
        <v>45127</v>
      </c>
      <c r="D1846" s="16">
        <v>63726</v>
      </c>
      <c r="E1846" s="16">
        <v>63753</v>
      </c>
      <c r="F1846" s="18" t="s">
        <v>374</v>
      </c>
      <c r="G1846" s="16" t="s">
        <v>334</v>
      </c>
      <c r="H1846" s="16" t="s">
        <v>114</v>
      </c>
      <c r="I1846" s="16" t="s">
        <v>375</v>
      </c>
    </row>
    <row r="1847" spans="2:9" x14ac:dyDescent="0.25">
      <c r="B1847" s="16" t="s">
        <v>210</v>
      </c>
      <c r="C1847" s="17">
        <v>45127</v>
      </c>
      <c r="D1847" s="16">
        <v>166111</v>
      </c>
      <c r="E1847" s="16">
        <v>12613</v>
      </c>
      <c r="F1847" s="18" t="s">
        <v>371</v>
      </c>
      <c r="G1847" s="16" t="s">
        <v>342</v>
      </c>
      <c r="H1847" s="16" t="s">
        <v>221</v>
      </c>
      <c r="I1847" s="16" t="s">
        <v>61</v>
      </c>
    </row>
    <row r="1848" spans="2:9" x14ac:dyDescent="0.25">
      <c r="B1848" s="16" t="s">
        <v>210</v>
      </c>
      <c r="C1848" s="17">
        <v>45127</v>
      </c>
      <c r="D1848" s="16">
        <v>994523</v>
      </c>
      <c r="E1848" s="16">
        <v>10263</v>
      </c>
      <c r="F1848" s="18" t="s">
        <v>34</v>
      </c>
      <c r="G1848" s="16" t="s">
        <v>334</v>
      </c>
      <c r="H1848" s="16" t="s">
        <v>36</v>
      </c>
      <c r="I1848" s="16" t="s">
        <v>288</v>
      </c>
    </row>
    <row r="1849" spans="2:9" x14ac:dyDescent="0.25">
      <c r="B1849" s="16" t="s">
        <v>210</v>
      </c>
      <c r="C1849" s="17">
        <v>45127</v>
      </c>
      <c r="D1849" s="16">
        <v>1149584</v>
      </c>
      <c r="E1849" s="16">
        <v>9516</v>
      </c>
      <c r="F1849" s="18" t="s">
        <v>110</v>
      </c>
      <c r="G1849" s="16" t="s">
        <v>334</v>
      </c>
      <c r="H1849" s="16" t="s">
        <v>190</v>
      </c>
      <c r="I1849" s="16" t="s">
        <v>17</v>
      </c>
    </row>
    <row r="1850" spans="2:9" x14ac:dyDescent="0.25">
      <c r="B1850" s="16" t="s">
        <v>210</v>
      </c>
      <c r="C1850" s="17">
        <v>45127</v>
      </c>
      <c r="D1850" s="16">
        <v>2390609</v>
      </c>
      <c r="E1850" s="16">
        <v>8252</v>
      </c>
      <c r="F1850" s="18" t="s">
        <v>286</v>
      </c>
      <c r="G1850" s="16" t="s">
        <v>52</v>
      </c>
      <c r="H1850" s="16" t="s">
        <v>186</v>
      </c>
      <c r="I1850" s="16" t="s">
        <v>61</v>
      </c>
    </row>
    <row r="1851" spans="2:9" x14ac:dyDescent="0.25">
      <c r="B1851" s="16" t="s">
        <v>26</v>
      </c>
      <c r="C1851" s="17">
        <v>45127</v>
      </c>
      <c r="D1851" s="16">
        <v>994796</v>
      </c>
      <c r="E1851" s="16">
        <v>10263</v>
      </c>
      <c r="F1851" s="18" t="s">
        <v>34</v>
      </c>
      <c r="G1851" s="16" t="s">
        <v>16</v>
      </c>
      <c r="H1851" s="16" t="s">
        <v>36</v>
      </c>
      <c r="I1851" s="16" t="s">
        <v>51</v>
      </c>
    </row>
    <row r="1852" spans="2:9" x14ac:dyDescent="0.25">
      <c r="B1852" s="16" t="s">
        <v>26</v>
      </c>
      <c r="C1852" s="17">
        <v>45127</v>
      </c>
      <c r="D1852" s="16">
        <v>20963</v>
      </c>
      <c r="E1852" s="16">
        <v>14818</v>
      </c>
      <c r="F1852" s="18" t="s">
        <v>90</v>
      </c>
      <c r="G1852" s="16" t="s">
        <v>342</v>
      </c>
      <c r="H1852" s="16" t="s">
        <v>376</v>
      </c>
      <c r="I1852" s="16" t="s">
        <v>51</v>
      </c>
    </row>
    <row r="1853" spans="2:9" x14ac:dyDescent="0.25">
      <c r="B1853" s="16" t="s">
        <v>40</v>
      </c>
      <c r="C1853" s="17">
        <v>45127</v>
      </c>
      <c r="D1853" s="16">
        <v>2390599</v>
      </c>
      <c r="E1853" s="16">
        <v>8252</v>
      </c>
      <c r="F1853" s="18" t="s">
        <v>286</v>
      </c>
      <c r="G1853" s="16" t="s">
        <v>4</v>
      </c>
      <c r="H1853" s="16" t="s">
        <v>184</v>
      </c>
      <c r="I1853" s="16" t="s">
        <v>20</v>
      </c>
    </row>
    <row r="1854" spans="2:9" x14ac:dyDescent="0.25">
      <c r="B1854" s="16" t="s">
        <v>26</v>
      </c>
      <c r="C1854" s="17">
        <v>45127</v>
      </c>
      <c r="D1854" s="16">
        <v>994828</v>
      </c>
      <c r="E1854" s="16">
        <v>10263</v>
      </c>
      <c r="F1854" s="18" t="s">
        <v>34</v>
      </c>
      <c r="G1854" s="16" t="s">
        <v>16</v>
      </c>
      <c r="H1854" s="16" t="s">
        <v>36</v>
      </c>
      <c r="I1854" s="16" t="s">
        <v>20</v>
      </c>
    </row>
    <row r="1855" spans="2:9" x14ac:dyDescent="0.25">
      <c r="B1855" s="16" t="s">
        <v>33</v>
      </c>
      <c r="C1855" s="17">
        <v>45127</v>
      </c>
      <c r="D1855" s="16">
        <v>2390603</v>
      </c>
      <c r="E1855" s="16">
        <v>8252</v>
      </c>
      <c r="F1855" s="18" t="s">
        <v>286</v>
      </c>
      <c r="G1855" s="16" t="s">
        <v>52</v>
      </c>
      <c r="H1855" s="16" t="s">
        <v>184</v>
      </c>
      <c r="I1855" s="16" t="s">
        <v>235</v>
      </c>
    </row>
    <row r="1856" spans="2:9" x14ac:dyDescent="0.25">
      <c r="B1856" s="16" t="s">
        <v>26</v>
      </c>
      <c r="C1856" s="17">
        <v>45127</v>
      </c>
      <c r="D1856" s="16">
        <v>215645</v>
      </c>
      <c r="E1856" s="16">
        <v>9813</v>
      </c>
      <c r="F1856" s="18" t="s">
        <v>86</v>
      </c>
      <c r="G1856" s="16" t="s">
        <v>4</v>
      </c>
      <c r="H1856" s="16" t="s">
        <v>36</v>
      </c>
      <c r="I1856" s="16" t="s">
        <v>61</v>
      </c>
    </row>
    <row r="1857" spans="2:9" x14ac:dyDescent="0.25">
      <c r="B1857" s="16" t="s">
        <v>26</v>
      </c>
      <c r="C1857" s="17">
        <v>45127</v>
      </c>
      <c r="D1857" s="16">
        <v>55400</v>
      </c>
      <c r="E1857" s="16">
        <v>10388</v>
      </c>
      <c r="F1857" s="18" t="s">
        <v>211</v>
      </c>
      <c r="G1857" s="16" t="s">
        <v>6</v>
      </c>
      <c r="H1857" s="16" t="s">
        <v>114</v>
      </c>
      <c r="I1857" s="16" t="s">
        <v>61</v>
      </c>
    </row>
    <row r="1858" spans="2:9" x14ac:dyDescent="0.25">
      <c r="B1858" s="16" t="s">
        <v>26</v>
      </c>
      <c r="C1858" s="17">
        <v>45127</v>
      </c>
      <c r="D1858" s="16">
        <v>516981</v>
      </c>
      <c r="E1858" s="16">
        <v>516981</v>
      </c>
      <c r="F1858" s="18" t="s">
        <v>20</v>
      </c>
      <c r="G1858" s="16" t="s">
        <v>20</v>
      </c>
      <c r="H1858" s="16" t="s">
        <v>38</v>
      </c>
      <c r="I1858" s="16" t="s">
        <v>61</v>
      </c>
    </row>
    <row r="1859" spans="2:9" x14ac:dyDescent="0.25">
      <c r="B1859" s="16" t="s">
        <v>26</v>
      </c>
      <c r="C1859" s="17">
        <v>45127</v>
      </c>
      <c r="D1859" s="16">
        <v>2390616</v>
      </c>
      <c r="E1859" s="16">
        <v>8252</v>
      </c>
      <c r="F1859" s="18" t="s">
        <v>286</v>
      </c>
      <c r="G1859" s="16" t="s">
        <v>52</v>
      </c>
      <c r="H1859" s="16" t="s">
        <v>39</v>
      </c>
      <c r="I1859" s="16" t="s">
        <v>20</v>
      </c>
    </row>
    <row r="1860" spans="2:9" x14ac:dyDescent="0.25">
      <c r="B1860" s="16" t="s">
        <v>40</v>
      </c>
      <c r="C1860" s="17">
        <v>45127</v>
      </c>
      <c r="D1860" s="16">
        <v>268</v>
      </c>
      <c r="E1860" s="16">
        <v>70861</v>
      </c>
      <c r="F1860" s="18" t="s">
        <v>20</v>
      </c>
      <c r="G1860" s="16" t="s">
        <v>16</v>
      </c>
      <c r="H1860" s="16" t="s">
        <v>71</v>
      </c>
      <c r="I1860" s="16" t="s">
        <v>17</v>
      </c>
    </row>
    <row r="1861" spans="2:9" x14ac:dyDescent="0.25">
      <c r="B1861" s="16" t="s">
        <v>22</v>
      </c>
      <c r="C1861" s="17">
        <v>45127</v>
      </c>
      <c r="D1861" s="16">
        <v>994389</v>
      </c>
      <c r="E1861" s="16">
        <v>10263</v>
      </c>
      <c r="F1861" s="18" t="s">
        <v>34</v>
      </c>
      <c r="G1861" s="16" t="s">
        <v>16</v>
      </c>
      <c r="H1861" s="16" t="s">
        <v>36</v>
      </c>
      <c r="I1861" s="16" t="s">
        <v>61</v>
      </c>
    </row>
    <row r="1862" spans="2:9" x14ac:dyDescent="0.25">
      <c r="B1862" s="16" t="s">
        <v>22</v>
      </c>
      <c r="C1862" s="17">
        <v>45127</v>
      </c>
      <c r="D1862" s="16">
        <v>994421</v>
      </c>
      <c r="E1862" s="16">
        <v>10263</v>
      </c>
      <c r="F1862" s="18" t="s">
        <v>34</v>
      </c>
      <c r="G1862" s="16" t="s">
        <v>16</v>
      </c>
      <c r="H1862" s="16" t="s">
        <v>36</v>
      </c>
      <c r="I1862" s="16" t="s">
        <v>61</v>
      </c>
    </row>
    <row r="1863" spans="2:9" x14ac:dyDescent="0.25">
      <c r="B1863" s="16" t="s">
        <v>22</v>
      </c>
      <c r="C1863" s="17">
        <v>45127</v>
      </c>
      <c r="D1863" s="16">
        <v>270</v>
      </c>
      <c r="E1863" s="16">
        <v>70861</v>
      </c>
      <c r="F1863" s="18" t="s">
        <v>20</v>
      </c>
      <c r="G1863" s="16" t="s">
        <v>16</v>
      </c>
      <c r="H1863" s="16" t="s">
        <v>31</v>
      </c>
      <c r="I1863" s="16" t="s">
        <v>377</v>
      </c>
    </row>
    <row r="1864" spans="2:9" x14ac:dyDescent="0.25">
      <c r="B1864" s="16" t="s">
        <v>22</v>
      </c>
      <c r="C1864" s="17">
        <v>45127</v>
      </c>
      <c r="D1864" s="16">
        <v>81863</v>
      </c>
      <c r="E1864" s="16">
        <v>64460</v>
      </c>
      <c r="F1864" s="18" t="s">
        <v>139</v>
      </c>
      <c r="G1864" s="16" t="s">
        <v>6</v>
      </c>
      <c r="H1864" s="16" t="s">
        <v>28</v>
      </c>
      <c r="I1864" s="16" t="s">
        <v>73</v>
      </c>
    </row>
    <row r="1865" spans="2:9" x14ac:dyDescent="0.25">
      <c r="B1865" s="16" t="s">
        <v>22</v>
      </c>
      <c r="C1865" s="17">
        <v>45127</v>
      </c>
      <c r="D1865" s="16">
        <v>180180</v>
      </c>
      <c r="E1865" s="16">
        <v>10440</v>
      </c>
      <c r="F1865" s="18" t="s">
        <v>37</v>
      </c>
      <c r="G1865" s="16" t="s">
        <v>334</v>
      </c>
      <c r="H1865" s="16" t="s">
        <v>28</v>
      </c>
      <c r="I1865" s="16" t="s">
        <v>61</v>
      </c>
    </row>
    <row r="1866" spans="2:9" x14ac:dyDescent="0.25">
      <c r="B1866" s="16" t="s">
        <v>22</v>
      </c>
      <c r="C1866" s="17">
        <v>45127</v>
      </c>
      <c r="D1866" s="16">
        <v>179699</v>
      </c>
      <c r="E1866" s="16">
        <v>10440</v>
      </c>
      <c r="F1866" s="18" t="s">
        <v>37</v>
      </c>
      <c r="G1866" s="16" t="s">
        <v>334</v>
      </c>
      <c r="H1866" s="16" t="s">
        <v>28</v>
      </c>
      <c r="I1866" s="16" t="s">
        <v>61</v>
      </c>
    </row>
    <row r="1867" spans="2:9" x14ac:dyDescent="0.25">
      <c r="B1867" s="16" t="s">
        <v>40</v>
      </c>
      <c r="C1867" s="17">
        <v>45127</v>
      </c>
      <c r="D1867" s="16">
        <v>240701</v>
      </c>
      <c r="E1867" s="16">
        <v>1175</v>
      </c>
      <c r="F1867" s="18" t="s">
        <v>81</v>
      </c>
      <c r="G1867" s="16" t="s">
        <v>7</v>
      </c>
      <c r="H1867" s="16" t="s">
        <v>38</v>
      </c>
      <c r="I1867" s="16" t="s">
        <v>17</v>
      </c>
    </row>
    <row r="1868" spans="2:9" x14ac:dyDescent="0.25">
      <c r="B1868" s="16" t="s">
        <v>33</v>
      </c>
      <c r="C1868" s="17">
        <v>45127</v>
      </c>
      <c r="D1868" s="16">
        <v>5794</v>
      </c>
      <c r="E1868" s="16">
        <v>70420</v>
      </c>
      <c r="F1868" s="18" t="s">
        <v>20</v>
      </c>
      <c r="G1868" s="16" t="s">
        <v>4</v>
      </c>
      <c r="H1868" s="16" t="s">
        <v>49</v>
      </c>
      <c r="I1868" s="16" t="s">
        <v>17</v>
      </c>
    </row>
    <row r="1869" spans="2:9" x14ac:dyDescent="0.25">
      <c r="B1869" s="16" t="s">
        <v>33</v>
      </c>
      <c r="C1869" s="17">
        <v>45127</v>
      </c>
      <c r="D1869" s="16">
        <v>302067</v>
      </c>
      <c r="E1869" s="16">
        <v>9398</v>
      </c>
      <c r="F1869" s="18" t="s">
        <v>65</v>
      </c>
      <c r="G1869" s="16" t="s">
        <v>16</v>
      </c>
      <c r="H1869" s="16" t="s">
        <v>190</v>
      </c>
      <c r="I1869" s="16" t="s">
        <v>20</v>
      </c>
    </row>
    <row r="1870" spans="2:9" x14ac:dyDescent="0.25">
      <c r="B1870" s="16" t="s">
        <v>26</v>
      </c>
      <c r="C1870" s="17">
        <v>45127</v>
      </c>
      <c r="D1870" s="16">
        <v>5789</v>
      </c>
      <c r="E1870" s="16">
        <v>70420</v>
      </c>
      <c r="F1870" s="18" t="s">
        <v>20</v>
      </c>
      <c r="G1870" s="16" t="s">
        <v>4</v>
      </c>
      <c r="H1870" s="16" t="s">
        <v>49</v>
      </c>
      <c r="I1870" s="16" t="s">
        <v>20</v>
      </c>
    </row>
    <row r="1871" spans="2:9" x14ac:dyDescent="0.25">
      <c r="B1871" s="16" t="s">
        <v>2</v>
      </c>
      <c r="C1871" s="17">
        <v>45127</v>
      </c>
      <c r="D1871" s="16">
        <v>5791</v>
      </c>
      <c r="E1871" s="16">
        <v>70420</v>
      </c>
      <c r="F1871" s="18" t="s">
        <v>20</v>
      </c>
      <c r="G1871" s="16" t="s">
        <v>4</v>
      </c>
      <c r="H1871" s="16" t="s">
        <v>49</v>
      </c>
      <c r="I1871" s="16" t="s">
        <v>17</v>
      </c>
    </row>
    <row r="1872" spans="2:9" x14ac:dyDescent="0.25">
      <c r="B1872" s="16" t="s">
        <v>210</v>
      </c>
      <c r="C1872" s="17">
        <v>45127</v>
      </c>
      <c r="D1872" s="16">
        <v>5790</v>
      </c>
      <c r="E1872" s="16">
        <v>70420</v>
      </c>
      <c r="F1872" s="18" t="s">
        <v>20</v>
      </c>
      <c r="G1872" s="16" t="s">
        <v>4</v>
      </c>
      <c r="H1872" s="16" t="s">
        <v>49</v>
      </c>
      <c r="I1872" s="16" t="s">
        <v>17</v>
      </c>
    </row>
    <row r="1873" spans="2:9" x14ac:dyDescent="0.25">
      <c r="B1873" s="16" t="s">
        <v>22</v>
      </c>
      <c r="C1873" s="17">
        <v>45127</v>
      </c>
      <c r="D1873" s="16">
        <v>240702</v>
      </c>
      <c r="E1873" s="16">
        <v>1175</v>
      </c>
      <c r="F1873" s="18" t="s">
        <v>81</v>
      </c>
      <c r="G1873" s="16" t="s">
        <v>7</v>
      </c>
      <c r="H1873" s="16" t="s">
        <v>71</v>
      </c>
      <c r="I1873" s="16" t="s">
        <v>17</v>
      </c>
    </row>
    <row r="1874" spans="2:9" x14ac:dyDescent="0.25">
      <c r="B1874" s="16" t="s">
        <v>40</v>
      </c>
      <c r="C1874" s="17">
        <v>45127</v>
      </c>
      <c r="D1874" s="16">
        <v>293493</v>
      </c>
      <c r="E1874" s="16">
        <v>11564</v>
      </c>
      <c r="F1874" s="18" t="s">
        <v>82</v>
      </c>
      <c r="G1874" s="16" t="s">
        <v>7</v>
      </c>
      <c r="H1874" s="16" t="s">
        <v>39</v>
      </c>
      <c r="I1874" s="16" t="s">
        <v>17</v>
      </c>
    </row>
    <row r="1875" spans="2:9" x14ac:dyDescent="0.25">
      <c r="B1875" s="16" t="s">
        <v>40</v>
      </c>
      <c r="C1875" s="17">
        <v>45127</v>
      </c>
      <c r="D1875" s="16">
        <v>3871297</v>
      </c>
      <c r="E1875" s="16">
        <v>3506</v>
      </c>
      <c r="F1875" s="18" t="s">
        <v>77</v>
      </c>
      <c r="G1875" s="16" t="s">
        <v>4</v>
      </c>
      <c r="H1875" s="16" t="s">
        <v>71</v>
      </c>
      <c r="I1875" s="16" t="s">
        <v>17</v>
      </c>
    </row>
    <row r="1876" spans="2:9" x14ac:dyDescent="0.25">
      <c r="B1876" s="16" t="s">
        <v>40</v>
      </c>
      <c r="C1876" s="17">
        <v>45127</v>
      </c>
      <c r="D1876" s="16">
        <v>3871298</v>
      </c>
      <c r="E1876" s="16">
        <v>3506</v>
      </c>
      <c r="F1876" s="18" t="s">
        <v>77</v>
      </c>
      <c r="G1876" s="16" t="s">
        <v>4</v>
      </c>
      <c r="H1876" s="16" t="s">
        <v>71</v>
      </c>
      <c r="I1876" s="16" t="s">
        <v>17</v>
      </c>
    </row>
    <row r="1877" spans="2:9" x14ac:dyDescent="0.25">
      <c r="B1877" s="16" t="s">
        <v>2</v>
      </c>
      <c r="C1877" s="17">
        <v>45127</v>
      </c>
      <c r="D1877" s="16">
        <v>302011</v>
      </c>
      <c r="E1877" s="16">
        <v>9398</v>
      </c>
      <c r="F1877" s="18" t="s">
        <v>65</v>
      </c>
      <c r="G1877" s="16" t="s">
        <v>16</v>
      </c>
      <c r="H1877" s="16" t="s">
        <v>190</v>
      </c>
      <c r="I1877" s="16" t="s">
        <v>378</v>
      </c>
    </row>
    <row r="1878" spans="2:9" x14ac:dyDescent="0.25">
      <c r="B1878" s="16" t="s">
        <v>33</v>
      </c>
      <c r="C1878" s="17">
        <v>45128</v>
      </c>
      <c r="D1878" s="16">
        <v>1118685</v>
      </c>
      <c r="E1878" s="16">
        <v>1139</v>
      </c>
      <c r="F1878" s="18" t="s">
        <v>66</v>
      </c>
      <c r="G1878" s="16" t="s">
        <v>334</v>
      </c>
      <c r="H1878" s="16" t="s">
        <v>71</v>
      </c>
      <c r="I1878" s="16" t="s">
        <v>17</v>
      </c>
    </row>
    <row r="1879" spans="2:9" x14ac:dyDescent="0.25">
      <c r="B1879" s="16" t="s">
        <v>40</v>
      </c>
      <c r="C1879" s="17">
        <v>45128</v>
      </c>
      <c r="D1879" s="16">
        <v>989843</v>
      </c>
      <c r="E1879" s="16">
        <v>9434</v>
      </c>
      <c r="F1879" s="18" t="s">
        <v>23</v>
      </c>
      <c r="G1879" s="16" t="s">
        <v>334</v>
      </c>
      <c r="H1879" s="16" t="s">
        <v>28</v>
      </c>
      <c r="I1879" s="16" t="s">
        <v>117</v>
      </c>
    </row>
    <row r="1880" spans="2:9" x14ac:dyDescent="0.25">
      <c r="B1880" s="16" t="s">
        <v>40</v>
      </c>
      <c r="C1880" s="17">
        <v>45128</v>
      </c>
      <c r="D1880" s="16">
        <v>989846</v>
      </c>
      <c r="E1880" s="16">
        <v>9434</v>
      </c>
      <c r="F1880" s="18" t="s">
        <v>23</v>
      </c>
      <c r="G1880" s="16" t="s">
        <v>334</v>
      </c>
      <c r="H1880" s="16" t="s">
        <v>28</v>
      </c>
      <c r="I1880" s="16" t="s">
        <v>117</v>
      </c>
    </row>
    <row r="1881" spans="2:9" x14ac:dyDescent="0.25">
      <c r="B1881" s="16" t="s">
        <v>40</v>
      </c>
      <c r="C1881" s="17">
        <v>45128</v>
      </c>
      <c r="D1881" s="16">
        <v>989847</v>
      </c>
      <c r="E1881" s="16">
        <v>9434</v>
      </c>
      <c r="F1881" s="18" t="s">
        <v>23</v>
      </c>
      <c r="G1881" s="16" t="s">
        <v>334</v>
      </c>
      <c r="H1881" s="16" t="s">
        <v>28</v>
      </c>
      <c r="I1881" s="16" t="s">
        <v>117</v>
      </c>
    </row>
    <row r="1882" spans="2:9" x14ac:dyDescent="0.25">
      <c r="B1882" s="16" t="s">
        <v>40</v>
      </c>
      <c r="C1882" s="17">
        <v>45128</v>
      </c>
      <c r="D1882" s="16">
        <v>989848</v>
      </c>
      <c r="E1882" s="16">
        <v>9434</v>
      </c>
      <c r="F1882" s="18" t="s">
        <v>23</v>
      </c>
      <c r="G1882" s="16" t="s">
        <v>334</v>
      </c>
      <c r="H1882" s="16" t="s">
        <v>28</v>
      </c>
      <c r="I1882" s="16" t="s">
        <v>117</v>
      </c>
    </row>
    <row r="1883" spans="2:9" x14ac:dyDescent="0.25">
      <c r="B1883" s="16" t="s">
        <v>40</v>
      </c>
      <c r="C1883" s="17">
        <v>45128</v>
      </c>
      <c r="D1883" s="16">
        <v>989849</v>
      </c>
      <c r="E1883" s="16">
        <v>9434</v>
      </c>
      <c r="F1883" s="18" t="s">
        <v>23</v>
      </c>
      <c r="G1883" s="16" t="s">
        <v>334</v>
      </c>
      <c r="H1883" s="16" t="s">
        <v>28</v>
      </c>
      <c r="I1883" s="16" t="s">
        <v>117</v>
      </c>
    </row>
    <row r="1884" spans="2:9" x14ac:dyDescent="0.25">
      <c r="B1884" s="16" t="s">
        <v>40</v>
      </c>
      <c r="C1884" s="17">
        <v>45128</v>
      </c>
      <c r="D1884" s="16">
        <v>989850</v>
      </c>
      <c r="E1884" s="16">
        <v>9434</v>
      </c>
      <c r="F1884" s="18" t="s">
        <v>23</v>
      </c>
      <c r="G1884" s="16" t="s">
        <v>334</v>
      </c>
      <c r="H1884" s="16" t="s">
        <v>28</v>
      </c>
      <c r="I1884" s="16" t="s">
        <v>117</v>
      </c>
    </row>
    <row r="1885" spans="2:9" x14ac:dyDescent="0.25">
      <c r="B1885" s="16" t="s">
        <v>40</v>
      </c>
      <c r="C1885" s="17">
        <v>45128</v>
      </c>
      <c r="D1885" s="16">
        <v>989851</v>
      </c>
      <c r="E1885" s="16">
        <v>9434</v>
      </c>
      <c r="F1885" s="18" t="s">
        <v>23</v>
      </c>
      <c r="G1885" s="16" t="s">
        <v>334</v>
      </c>
      <c r="H1885" s="16" t="s">
        <v>28</v>
      </c>
      <c r="I1885" s="16" t="s">
        <v>117</v>
      </c>
    </row>
    <row r="1886" spans="2:9" x14ac:dyDescent="0.25">
      <c r="B1886" s="16" t="s">
        <v>40</v>
      </c>
      <c r="C1886" s="17">
        <v>45128</v>
      </c>
      <c r="D1886" s="16">
        <v>989852</v>
      </c>
      <c r="E1886" s="16">
        <v>9434</v>
      </c>
      <c r="F1886" s="18" t="s">
        <v>23</v>
      </c>
      <c r="G1886" s="16" t="s">
        <v>334</v>
      </c>
      <c r="H1886" s="16" t="s">
        <v>28</v>
      </c>
      <c r="I1886" s="16" t="s">
        <v>117</v>
      </c>
    </row>
    <row r="1887" spans="2:9" x14ac:dyDescent="0.25">
      <c r="B1887" s="16" t="s">
        <v>40</v>
      </c>
      <c r="C1887" s="17">
        <v>45128</v>
      </c>
      <c r="D1887" s="16">
        <v>989853</v>
      </c>
      <c r="E1887" s="16">
        <v>9434</v>
      </c>
      <c r="F1887" s="18" t="s">
        <v>23</v>
      </c>
      <c r="G1887" s="16" t="s">
        <v>334</v>
      </c>
      <c r="H1887" s="16" t="s">
        <v>28</v>
      </c>
      <c r="I1887" s="16" t="s">
        <v>117</v>
      </c>
    </row>
    <row r="1888" spans="2:9" x14ac:dyDescent="0.25">
      <c r="B1888" s="16" t="s">
        <v>40</v>
      </c>
      <c r="C1888" s="17">
        <v>45128</v>
      </c>
      <c r="D1888" s="16">
        <v>989854</v>
      </c>
      <c r="E1888" s="16">
        <v>9434</v>
      </c>
      <c r="F1888" s="18" t="s">
        <v>23</v>
      </c>
      <c r="G1888" s="16" t="s">
        <v>334</v>
      </c>
      <c r="H1888" s="16" t="s">
        <v>28</v>
      </c>
      <c r="I1888" s="16" t="s">
        <v>117</v>
      </c>
    </row>
    <row r="1889" spans="2:9" x14ac:dyDescent="0.25">
      <c r="B1889" s="16" t="s">
        <v>40</v>
      </c>
      <c r="C1889" s="17">
        <v>45128</v>
      </c>
      <c r="D1889" s="16">
        <v>989855</v>
      </c>
      <c r="E1889" s="16">
        <v>9434</v>
      </c>
      <c r="F1889" s="18" t="s">
        <v>23</v>
      </c>
      <c r="G1889" s="16" t="s">
        <v>334</v>
      </c>
      <c r="H1889" s="16" t="s">
        <v>28</v>
      </c>
      <c r="I1889" s="16" t="s">
        <v>117</v>
      </c>
    </row>
    <row r="1890" spans="2:9" x14ac:dyDescent="0.25">
      <c r="B1890" s="16" t="s">
        <v>40</v>
      </c>
      <c r="C1890" s="17">
        <v>45128</v>
      </c>
      <c r="D1890" s="16">
        <v>989856</v>
      </c>
      <c r="E1890" s="16">
        <v>9434</v>
      </c>
      <c r="F1890" s="18" t="s">
        <v>23</v>
      </c>
      <c r="G1890" s="16" t="s">
        <v>334</v>
      </c>
      <c r="H1890" s="16" t="s">
        <v>28</v>
      </c>
      <c r="I1890" s="16" t="s">
        <v>117</v>
      </c>
    </row>
    <row r="1891" spans="2:9" x14ac:dyDescent="0.25">
      <c r="B1891" s="16" t="s">
        <v>40</v>
      </c>
      <c r="C1891" s="17">
        <v>45128</v>
      </c>
      <c r="D1891" s="16">
        <v>989857</v>
      </c>
      <c r="E1891" s="16">
        <v>9434</v>
      </c>
      <c r="F1891" s="18" t="s">
        <v>23</v>
      </c>
      <c r="G1891" s="16" t="s">
        <v>334</v>
      </c>
      <c r="H1891" s="16" t="s">
        <v>28</v>
      </c>
      <c r="I1891" s="16" t="s">
        <v>117</v>
      </c>
    </row>
    <row r="1892" spans="2:9" x14ac:dyDescent="0.25">
      <c r="B1892" s="16" t="s">
        <v>40</v>
      </c>
      <c r="C1892" s="17">
        <v>45128</v>
      </c>
      <c r="D1892" s="16">
        <v>989858</v>
      </c>
      <c r="E1892" s="16">
        <v>9434</v>
      </c>
      <c r="F1892" s="18" t="s">
        <v>23</v>
      </c>
      <c r="G1892" s="16" t="s">
        <v>334</v>
      </c>
      <c r="H1892" s="16" t="s">
        <v>28</v>
      </c>
      <c r="I1892" s="16" t="s">
        <v>117</v>
      </c>
    </row>
    <row r="1893" spans="2:9" x14ac:dyDescent="0.25">
      <c r="B1893" s="16" t="s">
        <v>40</v>
      </c>
      <c r="C1893" s="17">
        <v>45128</v>
      </c>
      <c r="D1893" s="16">
        <v>989859</v>
      </c>
      <c r="E1893" s="16">
        <v>9434</v>
      </c>
      <c r="F1893" s="18" t="s">
        <v>23</v>
      </c>
      <c r="G1893" s="16" t="s">
        <v>334</v>
      </c>
      <c r="H1893" s="16" t="s">
        <v>28</v>
      </c>
      <c r="I1893" s="16" t="s">
        <v>117</v>
      </c>
    </row>
    <row r="1894" spans="2:9" x14ac:dyDescent="0.25">
      <c r="B1894" s="16" t="s">
        <v>26</v>
      </c>
      <c r="C1894" s="17">
        <v>45128</v>
      </c>
      <c r="D1894" s="16">
        <v>8515573</v>
      </c>
      <c r="E1894" s="16">
        <v>9389</v>
      </c>
      <c r="F1894" s="18" t="s">
        <v>119</v>
      </c>
      <c r="G1894" s="16" t="s">
        <v>5</v>
      </c>
      <c r="H1894" s="16" t="s">
        <v>221</v>
      </c>
      <c r="I1894" s="16" t="s">
        <v>20</v>
      </c>
    </row>
    <row r="1895" spans="2:9" x14ac:dyDescent="0.25">
      <c r="B1895" s="16" t="s">
        <v>210</v>
      </c>
      <c r="C1895" s="17">
        <v>45128</v>
      </c>
      <c r="D1895" s="16">
        <v>481897</v>
      </c>
      <c r="E1895" s="16">
        <v>10767</v>
      </c>
      <c r="F1895" s="18" t="s">
        <v>372</v>
      </c>
      <c r="G1895" s="16" t="s">
        <v>343</v>
      </c>
      <c r="H1895" s="16" t="s">
        <v>186</v>
      </c>
      <c r="I1895" s="16" t="s">
        <v>373</v>
      </c>
    </row>
    <row r="1896" spans="2:9" x14ac:dyDescent="0.25">
      <c r="B1896" s="16" t="s">
        <v>210</v>
      </c>
      <c r="C1896" s="17">
        <v>45128</v>
      </c>
      <c r="D1896" s="16">
        <v>149229</v>
      </c>
      <c r="E1896" s="16">
        <v>8918</v>
      </c>
      <c r="F1896" s="18" t="s">
        <v>256</v>
      </c>
      <c r="G1896" s="16" t="s">
        <v>52</v>
      </c>
      <c r="H1896" s="16" t="s">
        <v>49</v>
      </c>
      <c r="I1896" s="16" t="s">
        <v>17</v>
      </c>
    </row>
    <row r="1897" spans="2:9" x14ac:dyDescent="0.25">
      <c r="B1897" s="16" t="s">
        <v>210</v>
      </c>
      <c r="C1897" s="17">
        <v>45128</v>
      </c>
      <c r="D1897" s="16">
        <v>309085</v>
      </c>
      <c r="E1897" s="16">
        <v>9398</v>
      </c>
      <c r="F1897" s="18" t="s">
        <v>65</v>
      </c>
      <c r="G1897" s="16" t="s">
        <v>16</v>
      </c>
      <c r="H1897" s="16" t="s">
        <v>184</v>
      </c>
      <c r="I1897" s="16" t="s">
        <v>61</v>
      </c>
    </row>
    <row r="1898" spans="2:9" x14ac:dyDescent="0.25">
      <c r="B1898" s="16" t="s">
        <v>210</v>
      </c>
      <c r="C1898" s="17">
        <v>45128</v>
      </c>
      <c r="D1898" s="16">
        <v>4886015</v>
      </c>
      <c r="E1898" s="16">
        <v>9430</v>
      </c>
      <c r="F1898" s="18" t="s">
        <v>185</v>
      </c>
      <c r="G1898" s="16" t="s">
        <v>334</v>
      </c>
      <c r="H1898" s="16" t="s">
        <v>39</v>
      </c>
      <c r="I1898" s="16" t="s">
        <v>61</v>
      </c>
    </row>
    <row r="1899" spans="2:9" x14ac:dyDescent="0.25">
      <c r="B1899" s="16" t="s">
        <v>210</v>
      </c>
      <c r="C1899" s="17">
        <v>45128</v>
      </c>
      <c r="D1899" s="16">
        <v>215755</v>
      </c>
      <c r="E1899" s="16">
        <v>9813</v>
      </c>
      <c r="F1899" s="18" t="s">
        <v>86</v>
      </c>
      <c r="G1899" s="16" t="s">
        <v>4</v>
      </c>
      <c r="H1899" s="16" t="s">
        <v>186</v>
      </c>
      <c r="I1899" s="16" t="s">
        <v>51</v>
      </c>
    </row>
    <row r="1900" spans="2:9" x14ac:dyDescent="0.25">
      <c r="B1900" s="16" t="s">
        <v>33</v>
      </c>
      <c r="C1900" s="17">
        <v>45128</v>
      </c>
      <c r="D1900" s="16">
        <v>4886024</v>
      </c>
      <c r="E1900" s="16">
        <v>9430</v>
      </c>
      <c r="F1900" s="18" t="s">
        <v>185</v>
      </c>
      <c r="G1900" s="16" t="s">
        <v>334</v>
      </c>
      <c r="H1900" s="16" t="s">
        <v>39</v>
      </c>
      <c r="I1900" s="16" t="s">
        <v>61</v>
      </c>
    </row>
    <row r="1901" spans="2:9" x14ac:dyDescent="0.25">
      <c r="B1901" s="16" t="s">
        <v>33</v>
      </c>
      <c r="C1901" s="17">
        <v>45128</v>
      </c>
      <c r="D1901" s="16">
        <v>165838</v>
      </c>
      <c r="E1901" s="16">
        <v>1146</v>
      </c>
      <c r="F1901" s="18" t="s">
        <v>379</v>
      </c>
      <c r="G1901" s="16" t="s">
        <v>343</v>
      </c>
      <c r="H1901" s="16" t="s">
        <v>71</v>
      </c>
      <c r="I1901" s="16" t="s">
        <v>17</v>
      </c>
    </row>
    <row r="1902" spans="2:9" x14ac:dyDescent="0.25">
      <c r="B1902" s="16" t="s">
        <v>33</v>
      </c>
      <c r="C1902" s="17">
        <v>45128</v>
      </c>
      <c r="D1902" s="16">
        <v>102961</v>
      </c>
      <c r="E1902" s="16">
        <v>1233</v>
      </c>
      <c r="F1902" s="18" t="s">
        <v>69</v>
      </c>
      <c r="G1902" s="16" t="s">
        <v>341</v>
      </c>
      <c r="H1902" s="16" t="s">
        <v>71</v>
      </c>
      <c r="I1902" s="16" t="s">
        <v>17</v>
      </c>
    </row>
    <row r="1903" spans="2:9" x14ac:dyDescent="0.25">
      <c r="B1903" s="16" t="s">
        <v>33</v>
      </c>
      <c r="C1903" s="17">
        <v>45128</v>
      </c>
      <c r="D1903" s="16">
        <v>102956</v>
      </c>
      <c r="E1903" s="16">
        <v>1233</v>
      </c>
      <c r="F1903" s="18" t="s">
        <v>69</v>
      </c>
      <c r="G1903" s="16" t="s">
        <v>341</v>
      </c>
      <c r="H1903" s="16" t="s">
        <v>71</v>
      </c>
      <c r="I1903" s="16" t="s">
        <v>17</v>
      </c>
    </row>
    <row r="1904" spans="2:9" x14ac:dyDescent="0.25">
      <c r="B1904" s="16" t="s">
        <v>33</v>
      </c>
      <c r="C1904" s="17">
        <v>45128</v>
      </c>
      <c r="D1904" s="16">
        <v>102959</v>
      </c>
      <c r="E1904" s="16">
        <v>1233</v>
      </c>
      <c r="F1904" s="18" t="s">
        <v>69</v>
      </c>
      <c r="G1904" s="16" t="s">
        <v>341</v>
      </c>
      <c r="H1904" s="16" t="s">
        <v>71</v>
      </c>
      <c r="I1904" s="16" t="s">
        <v>17</v>
      </c>
    </row>
    <row r="1905" spans="2:9" x14ac:dyDescent="0.25">
      <c r="B1905" s="16" t="s">
        <v>22</v>
      </c>
      <c r="C1905" s="17">
        <v>45128</v>
      </c>
      <c r="D1905" s="16">
        <v>4886027</v>
      </c>
      <c r="E1905" s="16">
        <v>9430</v>
      </c>
      <c r="F1905" s="18" t="s">
        <v>185</v>
      </c>
      <c r="G1905" s="16" t="s">
        <v>334</v>
      </c>
      <c r="H1905" s="16" t="s">
        <v>39</v>
      </c>
      <c r="I1905" s="16" t="s">
        <v>335</v>
      </c>
    </row>
    <row r="1906" spans="2:9" x14ac:dyDescent="0.25">
      <c r="B1906" s="16" t="s">
        <v>22</v>
      </c>
      <c r="C1906" s="17">
        <v>45128</v>
      </c>
      <c r="D1906" s="16">
        <v>1415488</v>
      </c>
      <c r="E1906" s="16">
        <v>13235</v>
      </c>
      <c r="F1906" s="18" t="s">
        <v>99</v>
      </c>
      <c r="G1906" s="16" t="s">
        <v>52</v>
      </c>
      <c r="H1906" s="16" t="s">
        <v>184</v>
      </c>
      <c r="I1906" s="16" t="s">
        <v>61</v>
      </c>
    </row>
    <row r="1907" spans="2:9" x14ac:dyDescent="0.25">
      <c r="B1907" s="16" t="s">
        <v>22</v>
      </c>
      <c r="C1907" s="17">
        <v>45128</v>
      </c>
      <c r="D1907" s="16">
        <v>309327</v>
      </c>
      <c r="E1907" s="16">
        <v>9398</v>
      </c>
      <c r="F1907" s="18" t="s">
        <v>65</v>
      </c>
      <c r="G1907" s="16" t="s">
        <v>16</v>
      </c>
      <c r="H1907" s="16" t="s">
        <v>186</v>
      </c>
      <c r="I1907" s="16" t="s">
        <v>61</v>
      </c>
    </row>
    <row r="1908" spans="2:9" x14ac:dyDescent="0.25">
      <c r="B1908" s="16" t="s">
        <v>22</v>
      </c>
      <c r="C1908" s="17">
        <v>45128</v>
      </c>
      <c r="D1908" s="16">
        <v>165839</v>
      </c>
      <c r="E1908" s="16">
        <v>1146</v>
      </c>
      <c r="F1908" s="18" t="s">
        <v>379</v>
      </c>
      <c r="G1908" s="16" t="s">
        <v>343</v>
      </c>
      <c r="H1908" s="16" t="s">
        <v>46</v>
      </c>
      <c r="I1908" s="16" t="s">
        <v>17</v>
      </c>
    </row>
    <row r="1909" spans="2:9" x14ac:dyDescent="0.25">
      <c r="B1909" s="16" t="s">
        <v>22</v>
      </c>
      <c r="C1909" s="17">
        <v>45128</v>
      </c>
      <c r="D1909" s="16">
        <v>240863</v>
      </c>
      <c r="E1909" s="16">
        <v>1175</v>
      </c>
      <c r="F1909" s="18" t="s">
        <v>81</v>
      </c>
      <c r="G1909" s="16" t="s">
        <v>7</v>
      </c>
      <c r="H1909" s="16" t="s">
        <v>38</v>
      </c>
      <c r="I1909" s="16" t="s">
        <v>17</v>
      </c>
    </row>
    <row r="1910" spans="2:9" x14ac:dyDescent="0.25">
      <c r="B1910" s="16" t="s">
        <v>2</v>
      </c>
      <c r="C1910" s="17">
        <v>45128</v>
      </c>
      <c r="D1910" s="16">
        <v>66674</v>
      </c>
      <c r="E1910" s="16">
        <v>5346</v>
      </c>
      <c r="F1910" s="18" t="s">
        <v>277</v>
      </c>
      <c r="G1910" s="16" t="s">
        <v>7</v>
      </c>
      <c r="H1910" s="16" t="s">
        <v>38</v>
      </c>
      <c r="I1910" s="16" t="s">
        <v>17</v>
      </c>
    </row>
    <row r="1911" spans="2:9" x14ac:dyDescent="0.25">
      <c r="B1911" s="16" t="s">
        <v>2</v>
      </c>
      <c r="C1911" s="17">
        <v>45128</v>
      </c>
      <c r="D1911" s="16">
        <v>102958</v>
      </c>
      <c r="E1911" s="16">
        <v>1233</v>
      </c>
      <c r="F1911" s="18" t="s">
        <v>69</v>
      </c>
      <c r="G1911" s="16" t="s">
        <v>6</v>
      </c>
      <c r="H1911" s="16" t="s">
        <v>36</v>
      </c>
      <c r="I1911" s="16" t="s">
        <v>61</v>
      </c>
    </row>
    <row r="1912" spans="2:9" x14ac:dyDescent="0.25">
      <c r="B1912" s="16" t="s">
        <v>2</v>
      </c>
      <c r="C1912" s="17">
        <v>45128</v>
      </c>
      <c r="D1912" s="16">
        <v>120723</v>
      </c>
      <c r="E1912" s="16">
        <v>9616</v>
      </c>
      <c r="F1912" s="18" t="s">
        <v>104</v>
      </c>
      <c r="G1912" s="16" t="s">
        <v>52</v>
      </c>
      <c r="H1912" s="16" t="s">
        <v>184</v>
      </c>
      <c r="I1912" s="16" t="s">
        <v>380</v>
      </c>
    </row>
    <row r="1913" spans="2:9" x14ac:dyDescent="0.25">
      <c r="B1913" s="16" t="s">
        <v>2</v>
      </c>
      <c r="C1913" s="17">
        <v>45128</v>
      </c>
      <c r="D1913" s="16">
        <v>211612</v>
      </c>
      <c r="E1913" s="16">
        <v>9508</v>
      </c>
      <c r="F1913" s="18" t="s">
        <v>226</v>
      </c>
      <c r="G1913" s="16" t="s">
        <v>5</v>
      </c>
      <c r="H1913" s="16" t="s">
        <v>190</v>
      </c>
      <c r="I1913" s="16" t="s">
        <v>17</v>
      </c>
    </row>
    <row r="1914" spans="2:9" x14ac:dyDescent="0.25">
      <c r="B1914" s="16" t="s">
        <v>2</v>
      </c>
      <c r="C1914" s="17">
        <v>45128</v>
      </c>
      <c r="D1914" s="16">
        <v>4886025</v>
      </c>
      <c r="E1914" s="16">
        <v>9430</v>
      </c>
      <c r="F1914" s="18" t="s">
        <v>185</v>
      </c>
      <c r="G1914" s="16" t="s">
        <v>334</v>
      </c>
      <c r="H1914" s="16" t="s">
        <v>39</v>
      </c>
      <c r="I1914" s="16" t="s">
        <v>61</v>
      </c>
    </row>
    <row r="1915" spans="2:9" x14ac:dyDescent="0.25">
      <c r="B1915" s="17" t="s">
        <v>210</v>
      </c>
      <c r="C1915" s="17">
        <v>45129</v>
      </c>
      <c r="D1915" s="16">
        <v>102964</v>
      </c>
      <c r="E1915" s="16">
        <v>1233</v>
      </c>
      <c r="F1915" s="18" t="s">
        <v>69</v>
      </c>
      <c r="G1915" s="16" t="s">
        <v>6</v>
      </c>
      <c r="H1915" s="16" t="s">
        <v>114</v>
      </c>
      <c r="I1915" s="16" t="s">
        <v>258</v>
      </c>
    </row>
    <row r="1916" spans="2:9" x14ac:dyDescent="0.25">
      <c r="B1916" s="17" t="s">
        <v>26</v>
      </c>
      <c r="C1916" s="17">
        <v>45129</v>
      </c>
      <c r="D1916" s="16">
        <v>120374</v>
      </c>
      <c r="E1916" s="16">
        <v>11604</v>
      </c>
      <c r="F1916" s="18" t="s">
        <v>63</v>
      </c>
      <c r="G1916" s="16" t="s">
        <v>262</v>
      </c>
      <c r="H1916" s="16" t="s">
        <v>38</v>
      </c>
      <c r="I1916" s="16" t="s">
        <v>103</v>
      </c>
    </row>
    <row r="1917" spans="2:9" x14ac:dyDescent="0.25">
      <c r="B1917" s="17" t="s">
        <v>210</v>
      </c>
      <c r="C1917" s="17">
        <v>45129</v>
      </c>
      <c r="D1917" s="16">
        <v>120371</v>
      </c>
      <c r="E1917" s="16">
        <v>11604</v>
      </c>
      <c r="F1917" s="18" t="s">
        <v>63</v>
      </c>
      <c r="G1917" s="16" t="s">
        <v>262</v>
      </c>
      <c r="H1917" s="16" t="s">
        <v>38</v>
      </c>
      <c r="I1917" s="16" t="s">
        <v>103</v>
      </c>
    </row>
    <row r="1918" spans="2:9" x14ac:dyDescent="0.25">
      <c r="B1918" s="16" t="s">
        <v>210</v>
      </c>
      <c r="C1918" s="17">
        <v>45129</v>
      </c>
      <c r="D1918" s="16">
        <v>169764</v>
      </c>
      <c r="E1918" s="16" t="s">
        <v>20</v>
      </c>
      <c r="F1918" s="18" t="s">
        <v>20</v>
      </c>
      <c r="G1918" s="16" t="s">
        <v>20</v>
      </c>
      <c r="H1918" s="16" t="s">
        <v>38</v>
      </c>
      <c r="I1918" s="16" t="s">
        <v>20</v>
      </c>
    </row>
    <row r="1919" spans="2:9" x14ac:dyDescent="0.25">
      <c r="B1919" s="16" t="s">
        <v>20</v>
      </c>
      <c r="C1919" s="17">
        <v>45129</v>
      </c>
      <c r="D1919" s="16">
        <v>169758</v>
      </c>
      <c r="E1919" s="16">
        <v>7929</v>
      </c>
      <c r="F1919" s="18" t="s">
        <v>313</v>
      </c>
      <c r="G1919" s="16" t="s">
        <v>20</v>
      </c>
      <c r="H1919" s="16" t="s">
        <v>20</v>
      </c>
      <c r="I1919" s="16" t="s">
        <v>20</v>
      </c>
    </row>
    <row r="1920" spans="2:9" x14ac:dyDescent="0.25">
      <c r="B1920" s="17" t="s">
        <v>33</v>
      </c>
      <c r="C1920" s="17">
        <v>45129</v>
      </c>
      <c r="D1920" s="16">
        <v>689086</v>
      </c>
      <c r="E1920" s="16">
        <v>3610</v>
      </c>
      <c r="F1920" s="18" t="s">
        <v>8</v>
      </c>
      <c r="G1920" s="16" t="s">
        <v>262</v>
      </c>
      <c r="H1920" s="16" t="s">
        <v>38</v>
      </c>
      <c r="I1920" s="16" t="s">
        <v>20</v>
      </c>
    </row>
    <row r="1921" spans="2:9" x14ac:dyDescent="0.25">
      <c r="B1921" s="16" t="s">
        <v>33</v>
      </c>
      <c r="C1921" s="17">
        <v>45131</v>
      </c>
      <c r="D1921" s="16">
        <v>240998</v>
      </c>
      <c r="E1921" s="16">
        <v>1175</v>
      </c>
      <c r="F1921" s="18" t="s">
        <v>81</v>
      </c>
      <c r="G1921" s="16" t="s">
        <v>7</v>
      </c>
      <c r="H1921" s="16" t="s">
        <v>41</v>
      </c>
      <c r="I1921" s="16" t="s">
        <v>17</v>
      </c>
    </row>
    <row r="1922" spans="2:9" x14ac:dyDescent="0.25">
      <c r="B1922" s="16" t="s">
        <v>210</v>
      </c>
      <c r="C1922" s="17">
        <v>45131</v>
      </c>
      <c r="D1922" s="16">
        <v>1272363</v>
      </c>
      <c r="E1922" s="16">
        <v>9388</v>
      </c>
      <c r="F1922" s="18" t="s">
        <v>165</v>
      </c>
      <c r="G1922" s="16" t="s">
        <v>5</v>
      </c>
      <c r="H1922" s="16" t="s">
        <v>220</v>
      </c>
      <c r="I1922" s="16" t="s">
        <v>381</v>
      </c>
    </row>
    <row r="1923" spans="2:9" x14ac:dyDescent="0.25">
      <c r="B1923" s="16" t="s">
        <v>210</v>
      </c>
      <c r="C1923" s="17">
        <v>45131</v>
      </c>
      <c r="D1923" s="16">
        <v>1272364</v>
      </c>
      <c r="E1923" s="16">
        <v>9388</v>
      </c>
      <c r="F1923" s="18" t="s">
        <v>165</v>
      </c>
      <c r="G1923" s="16" t="s">
        <v>5</v>
      </c>
      <c r="H1923" s="16" t="s">
        <v>220</v>
      </c>
      <c r="I1923" s="16" t="s">
        <v>381</v>
      </c>
    </row>
    <row r="1924" spans="2:9" x14ac:dyDescent="0.25">
      <c r="B1924" s="16" t="s">
        <v>40</v>
      </c>
      <c r="C1924" s="17">
        <v>45131</v>
      </c>
      <c r="D1924" s="16">
        <v>477617</v>
      </c>
      <c r="E1924" s="16">
        <v>1469</v>
      </c>
      <c r="F1924" s="18" t="s">
        <v>382</v>
      </c>
      <c r="G1924" s="16" t="s">
        <v>52</v>
      </c>
      <c r="H1924" s="16" t="s">
        <v>304</v>
      </c>
      <c r="I1924" s="16" t="s">
        <v>381</v>
      </c>
    </row>
    <row r="1925" spans="2:9" x14ac:dyDescent="0.25">
      <c r="B1925" s="16" t="s">
        <v>40</v>
      </c>
      <c r="C1925" s="17">
        <v>45131</v>
      </c>
      <c r="D1925" s="16">
        <v>477618</v>
      </c>
      <c r="E1925" s="16">
        <v>1469</v>
      </c>
      <c r="F1925" s="18" t="s">
        <v>382</v>
      </c>
      <c r="G1925" s="16" t="s">
        <v>52</v>
      </c>
      <c r="H1925" s="16" t="s">
        <v>304</v>
      </c>
      <c r="I1925" s="16" t="s">
        <v>381</v>
      </c>
    </row>
    <row r="1926" spans="2:9" x14ac:dyDescent="0.25">
      <c r="B1926" s="16" t="s">
        <v>40</v>
      </c>
      <c r="C1926" s="17">
        <v>45131</v>
      </c>
      <c r="D1926" s="16">
        <v>477621</v>
      </c>
      <c r="E1926" s="16">
        <v>1469</v>
      </c>
      <c r="F1926" s="18" t="s">
        <v>382</v>
      </c>
      <c r="G1926" s="16" t="s">
        <v>52</v>
      </c>
      <c r="H1926" s="16" t="s">
        <v>304</v>
      </c>
      <c r="I1926" s="16" t="s">
        <v>381</v>
      </c>
    </row>
    <row r="1927" spans="2:9" x14ac:dyDescent="0.25">
      <c r="B1927" s="16" t="s">
        <v>26</v>
      </c>
      <c r="C1927" s="17">
        <v>45131</v>
      </c>
      <c r="D1927" s="16">
        <v>383340</v>
      </c>
      <c r="E1927" s="16">
        <v>5895</v>
      </c>
      <c r="F1927" s="18" t="s">
        <v>214</v>
      </c>
      <c r="G1927" s="16" t="s">
        <v>52</v>
      </c>
      <c r="H1927" s="16" t="s">
        <v>383</v>
      </c>
      <c r="I1927" s="16" t="s">
        <v>17</v>
      </c>
    </row>
    <row r="1928" spans="2:9" x14ac:dyDescent="0.25">
      <c r="B1928" s="16" t="s">
        <v>40</v>
      </c>
      <c r="C1928" s="17">
        <v>45131</v>
      </c>
      <c r="D1928" s="16">
        <v>383341</v>
      </c>
      <c r="E1928" s="16">
        <v>1469</v>
      </c>
      <c r="F1928" s="18" t="s">
        <v>382</v>
      </c>
      <c r="G1928" s="16" t="s">
        <v>52</v>
      </c>
      <c r="H1928" s="16" t="s">
        <v>304</v>
      </c>
      <c r="I1928" s="16" t="s">
        <v>232</v>
      </c>
    </row>
    <row r="1929" spans="2:9" x14ac:dyDescent="0.25">
      <c r="B1929" s="16" t="s">
        <v>40</v>
      </c>
      <c r="C1929" s="17">
        <v>45131</v>
      </c>
      <c r="D1929" s="16">
        <v>8515690</v>
      </c>
      <c r="E1929" s="16">
        <v>9389</v>
      </c>
      <c r="F1929" s="18" t="s">
        <v>119</v>
      </c>
      <c r="G1929" s="16" t="s">
        <v>5</v>
      </c>
      <c r="H1929" s="16" t="s">
        <v>49</v>
      </c>
      <c r="I1929" s="16" t="s">
        <v>17</v>
      </c>
    </row>
    <row r="1930" spans="2:9" x14ac:dyDescent="0.25">
      <c r="B1930" s="16" t="s">
        <v>26</v>
      </c>
      <c r="C1930" s="17">
        <v>45131</v>
      </c>
      <c r="D1930" s="16">
        <v>415016</v>
      </c>
      <c r="E1930" s="16">
        <v>9397</v>
      </c>
      <c r="F1930" s="18" t="s">
        <v>133</v>
      </c>
      <c r="G1930" s="16" t="s">
        <v>6</v>
      </c>
      <c r="H1930" s="16" t="s">
        <v>28</v>
      </c>
      <c r="I1930" s="16" t="s">
        <v>232</v>
      </c>
    </row>
    <row r="1931" spans="2:9" x14ac:dyDescent="0.25">
      <c r="B1931" s="16" t="s">
        <v>26</v>
      </c>
      <c r="C1931" s="17">
        <v>45131</v>
      </c>
      <c r="D1931" s="16">
        <v>415017</v>
      </c>
      <c r="E1931" s="16">
        <v>9397</v>
      </c>
      <c r="F1931" s="18" t="s">
        <v>133</v>
      </c>
      <c r="G1931" s="16" t="s">
        <v>6</v>
      </c>
      <c r="H1931" s="16" t="s">
        <v>28</v>
      </c>
      <c r="I1931" s="16" t="s">
        <v>232</v>
      </c>
    </row>
    <row r="1932" spans="2:9" x14ac:dyDescent="0.25">
      <c r="B1932" s="16" t="s">
        <v>40</v>
      </c>
      <c r="C1932" s="17">
        <v>45131</v>
      </c>
      <c r="D1932" s="16">
        <v>265650</v>
      </c>
      <c r="E1932" s="16">
        <v>12899</v>
      </c>
      <c r="F1932" s="18" t="s">
        <v>204</v>
      </c>
      <c r="G1932" s="16" t="s">
        <v>334</v>
      </c>
      <c r="H1932" s="16" t="s">
        <v>36</v>
      </c>
      <c r="I1932" s="16" t="s">
        <v>61</v>
      </c>
    </row>
    <row r="1933" spans="2:9" x14ac:dyDescent="0.25">
      <c r="B1933" s="16" t="s">
        <v>40</v>
      </c>
      <c r="C1933" s="17">
        <v>45131</v>
      </c>
      <c r="D1933" s="16">
        <v>1151069</v>
      </c>
      <c r="E1933" s="16">
        <v>9516</v>
      </c>
      <c r="F1933" s="18" t="s">
        <v>110</v>
      </c>
      <c r="G1933" s="16" t="s">
        <v>334</v>
      </c>
      <c r="H1933" s="16" t="s">
        <v>46</v>
      </c>
      <c r="I1933" s="16" t="s">
        <v>17</v>
      </c>
    </row>
    <row r="1934" spans="2:9" x14ac:dyDescent="0.25">
      <c r="B1934" s="16" t="s">
        <v>40</v>
      </c>
      <c r="C1934" s="17">
        <v>45131</v>
      </c>
      <c r="D1934" s="16">
        <v>1151054</v>
      </c>
      <c r="E1934" s="16">
        <v>9516</v>
      </c>
      <c r="F1934" s="18" t="s">
        <v>110</v>
      </c>
      <c r="G1934" s="16" t="s">
        <v>334</v>
      </c>
      <c r="H1934" s="16" t="s">
        <v>46</v>
      </c>
      <c r="I1934" s="16" t="s">
        <v>17</v>
      </c>
    </row>
    <row r="1935" spans="2:9" x14ac:dyDescent="0.25">
      <c r="B1935" s="16" t="s">
        <v>40</v>
      </c>
      <c r="C1935" s="17">
        <v>45131</v>
      </c>
      <c r="D1935" s="16">
        <v>1151053</v>
      </c>
      <c r="E1935" s="16">
        <v>9516</v>
      </c>
      <c r="F1935" s="18" t="s">
        <v>110</v>
      </c>
      <c r="G1935" s="16" t="s">
        <v>334</v>
      </c>
      <c r="H1935" s="16" t="s">
        <v>46</v>
      </c>
      <c r="I1935" s="16" t="s">
        <v>17</v>
      </c>
    </row>
    <row r="1936" spans="2:9" x14ac:dyDescent="0.25">
      <c r="B1936" s="16" t="s">
        <v>40</v>
      </c>
      <c r="C1936" s="17">
        <v>45131</v>
      </c>
      <c r="D1936" s="16">
        <v>1151052</v>
      </c>
      <c r="E1936" s="16">
        <v>9516</v>
      </c>
      <c r="F1936" s="18" t="s">
        <v>110</v>
      </c>
      <c r="G1936" s="16" t="s">
        <v>334</v>
      </c>
      <c r="H1936" s="16" t="s">
        <v>46</v>
      </c>
      <c r="I1936" s="16" t="s">
        <v>17</v>
      </c>
    </row>
    <row r="1937" spans="2:9" x14ac:dyDescent="0.25">
      <c r="B1937" s="16" t="s">
        <v>40</v>
      </c>
      <c r="C1937" s="17">
        <v>45131</v>
      </c>
      <c r="D1937" s="16">
        <v>1151056</v>
      </c>
      <c r="E1937" s="16">
        <v>9516</v>
      </c>
      <c r="F1937" s="18" t="s">
        <v>110</v>
      </c>
      <c r="G1937" s="16" t="s">
        <v>334</v>
      </c>
      <c r="H1937" s="16" t="s">
        <v>46</v>
      </c>
      <c r="I1937" s="16" t="s">
        <v>17</v>
      </c>
    </row>
    <row r="1938" spans="2:9" x14ac:dyDescent="0.25">
      <c r="B1938" s="16" t="s">
        <v>40</v>
      </c>
      <c r="C1938" s="17">
        <v>45131</v>
      </c>
      <c r="D1938" s="16">
        <v>1151055</v>
      </c>
      <c r="E1938" s="16">
        <v>9516</v>
      </c>
      <c r="F1938" s="18" t="s">
        <v>110</v>
      </c>
      <c r="G1938" s="16" t="s">
        <v>334</v>
      </c>
      <c r="H1938" s="16" t="s">
        <v>46</v>
      </c>
      <c r="I1938" s="16" t="s">
        <v>17</v>
      </c>
    </row>
    <row r="1939" spans="2:9" x14ac:dyDescent="0.25">
      <c r="B1939" s="16" t="s">
        <v>26</v>
      </c>
      <c r="C1939" s="17">
        <v>45131</v>
      </c>
      <c r="D1939" s="16">
        <v>182023</v>
      </c>
      <c r="E1939" s="16">
        <v>10440</v>
      </c>
      <c r="F1939" s="18" t="s">
        <v>37</v>
      </c>
      <c r="G1939" s="16" t="s">
        <v>334</v>
      </c>
      <c r="H1939" s="16" t="s">
        <v>114</v>
      </c>
      <c r="I1939" s="16" t="s">
        <v>17</v>
      </c>
    </row>
    <row r="1940" spans="2:9" x14ac:dyDescent="0.25">
      <c r="B1940" s="16" t="s">
        <v>210</v>
      </c>
      <c r="C1940" s="17">
        <v>45131</v>
      </c>
      <c r="D1940" s="16">
        <v>1812692</v>
      </c>
      <c r="E1940" s="16">
        <v>1015</v>
      </c>
      <c r="F1940" s="18" t="s">
        <v>134</v>
      </c>
      <c r="G1940" s="16" t="s">
        <v>342</v>
      </c>
      <c r="H1940" s="16" t="s">
        <v>184</v>
      </c>
      <c r="I1940" s="16" t="s">
        <v>61</v>
      </c>
    </row>
    <row r="1941" spans="2:9" x14ac:dyDescent="0.25">
      <c r="B1941" s="16" t="s">
        <v>2</v>
      </c>
      <c r="C1941" s="17">
        <v>45131</v>
      </c>
      <c r="D1941" s="16">
        <v>1282841</v>
      </c>
      <c r="E1941" s="16">
        <v>9388</v>
      </c>
      <c r="F1941" s="18" t="s">
        <v>165</v>
      </c>
      <c r="G1941" s="16" t="s">
        <v>341</v>
      </c>
      <c r="H1941" s="16" t="s">
        <v>186</v>
      </c>
      <c r="I1941" s="16" t="s">
        <v>61</v>
      </c>
    </row>
    <row r="1942" spans="2:9" x14ac:dyDescent="0.25">
      <c r="B1942" s="16" t="s">
        <v>33</v>
      </c>
      <c r="C1942" s="17">
        <v>45131</v>
      </c>
      <c r="D1942" s="16">
        <v>415035</v>
      </c>
      <c r="E1942" s="16">
        <v>9397</v>
      </c>
      <c r="F1942" s="18" t="s">
        <v>133</v>
      </c>
      <c r="G1942" s="16" t="s">
        <v>6</v>
      </c>
      <c r="H1942" s="16" t="s">
        <v>28</v>
      </c>
      <c r="I1942" s="16" t="s">
        <v>51</v>
      </c>
    </row>
    <row r="1943" spans="2:9" x14ac:dyDescent="0.25">
      <c r="B1943" s="16" t="s">
        <v>2</v>
      </c>
      <c r="C1943" s="17">
        <v>45131</v>
      </c>
      <c r="D1943" s="16">
        <v>188136</v>
      </c>
      <c r="E1943" s="16">
        <v>9016</v>
      </c>
      <c r="F1943" s="18" t="s">
        <v>111</v>
      </c>
      <c r="G1943" s="16" t="s">
        <v>7</v>
      </c>
      <c r="H1943" s="16" t="s">
        <v>114</v>
      </c>
      <c r="I1943" s="16" t="s">
        <v>17</v>
      </c>
    </row>
    <row r="1944" spans="2:9" x14ac:dyDescent="0.25">
      <c r="B1944" s="16" t="s">
        <v>2</v>
      </c>
      <c r="C1944" s="17">
        <v>45131</v>
      </c>
      <c r="D1944" s="16">
        <v>4734</v>
      </c>
      <c r="E1944" s="16">
        <v>70678</v>
      </c>
      <c r="F1944" s="18" t="s">
        <v>20</v>
      </c>
      <c r="G1944" s="16" t="s">
        <v>7</v>
      </c>
      <c r="H1944" s="16" t="s">
        <v>114</v>
      </c>
      <c r="I1944" s="16" t="s">
        <v>17</v>
      </c>
    </row>
    <row r="1945" spans="2:9" x14ac:dyDescent="0.25">
      <c r="B1945" s="16" t="s">
        <v>2</v>
      </c>
      <c r="C1945" s="17">
        <v>45131</v>
      </c>
      <c r="D1945" s="16">
        <v>861</v>
      </c>
      <c r="E1945" s="16">
        <v>71064</v>
      </c>
      <c r="F1945" s="18" t="s">
        <v>20</v>
      </c>
      <c r="G1945" s="16" t="s">
        <v>7</v>
      </c>
      <c r="H1945" s="16" t="s">
        <v>38</v>
      </c>
      <c r="I1945" s="16" t="s">
        <v>17</v>
      </c>
    </row>
    <row r="1946" spans="2:9" x14ac:dyDescent="0.25">
      <c r="B1946" s="16" t="s">
        <v>40</v>
      </c>
      <c r="C1946" s="17">
        <v>45131</v>
      </c>
      <c r="D1946" s="16">
        <v>182043</v>
      </c>
      <c r="E1946" s="16">
        <v>10440</v>
      </c>
      <c r="F1946" s="18" t="s">
        <v>37</v>
      </c>
      <c r="G1946" s="16" t="s">
        <v>334</v>
      </c>
      <c r="H1946" s="16" t="s">
        <v>186</v>
      </c>
      <c r="I1946" s="16" t="s">
        <v>61</v>
      </c>
    </row>
    <row r="1947" spans="2:9" x14ac:dyDescent="0.25">
      <c r="B1947" s="16" t="s">
        <v>210</v>
      </c>
      <c r="C1947" s="17">
        <v>45132</v>
      </c>
      <c r="D1947" s="16">
        <v>120449</v>
      </c>
      <c r="E1947" s="16">
        <v>11604</v>
      </c>
      <c r="F1947" s="18" t="s">
        <v>63</v>
      </c>
      <c r="G1947" s="16" t="s">
        <v>262</v>
      </c>
      <c r="H1947" s="16" t="s">
        <v>38</v>
      </c>
      <c r="I1947" s="16" t="s">
        <v>17</v>
      </c>
    </row>
    <row r="1948" spans="2:9" x14ac:dyDescent="0.25">
      <c r="B1948" s="16" t="s">
        <v>40</v>
      </c>
      <c r="C1948" s="17">
        <v>45132</v>
      </c>
      <c r="D1948" s="16">
        <v>1816748</v>
      </c>
      <c r="E1948" s="16">
        <v>9480</v>
      </c>
      <c r="F1948" s="18" t="s">
        <v>147</v>
      </c>
      <c r="G1948" s="16" t="s">
        <v>341</v>
      </c>
      <c r="H1948" s="16" t="s">
        <v>28</v>
      </c>
      <c r="I1948" s="16" t="s">
        <v>73</v>
      </c>
    </row>
    <row r="1949" spans="2:9" x14ac:dyDescent="0.25">
      <c r="B1949" s="16" t="s">
        <v>40</v>
      </c>
      <c r="C1949" s="17">
        <v>45132</v>
      </c>
      <c r="D1949" s="16">
        <v>1816749</v>
      </c>
      <c r="E1949" s="16">
        <v>9480</v>
      </c>
      <c r="F1949" s="18" t="s">
        <v>147</v>
      </c>
      <c r="G1949" s="16" t="s">
        <v>341</v>
      </c>
      <c r="H1949" s="16" t="s">
        <v>28</v>
      </c>
      <c r="I1949" s="16" t="s">
        <v>73</v>
      </c>
    </row>
    <row r="1950" spans="2:9" x14ac:dyDescent="0.25">
      <c r="B1950" s="16" t="s">
        <v>40</v>
      </c>
      <c r="C1950" s="17">
        <v>45132</v>
      </c>
      <c r="D1950" s="16">
        <v>1816752</v>
      </c>
      <c r="E1950" s="16">
        <v>9480</v>
      </c>
      <c r="F1950" s="18" t="s">
        <v>147</v>
      </c>
      <c r="G1950" s="16" t="s">
        <v>341</v>
      </c>
      <c r="H1950" s="16" t="s">
        <v>28</v>
      </c>
      <c r="I1950" s="16" t="s">
        <v>73</v>
      </c>
    </row>
    <row r="1951" spans="2:9" x14ac:dyDescent="0.25">
      <c r="B1951" s="16" t="s">
        <v>40</v>
      </c>
      <c r="C1951" s="17">
        <v>45132</v>
      </c>
      <c r="D1951" s="16">
        <v>1816753</v>
      </c>
      <c r="E1951" s="16">
        <v>9480</v>
      </c>
      <c r="F1951" s="18" t="s">
        <v>147</v>
      </c>
      <c r="G1951" s="16" t="s">
        <v>341</v>
      </c>
      <c r="H1951" s="16" t="s">
        <v>28</v>
      </c>
      <c r="I1951" s="16" t="s">
        <v>73</v>
      </c>
    </row>
    <row r="1952" spans="2:9" x14ac:dyDescent="0.25">
      <c r="B1952" s="16" t="s">
        <v>40</v>
      </c>
      <c r="C1952" s="17">
        <v>45132</v>
      </c>
      <c r="D1952" s="16">
        <v>4890538</v>
      </c>
      <c r="E1952" s="16">
        <v>9430</v>
      </c>
      <c r="F1952" s="18" t="s">
        <v>185</v>
      </c>
      <c r="G1952" s="16" t="s">
        <v>342</v>
      </c>
      <c r="H1952" s="16" t="s">
        <v>39</v>
      </c>
      <c r="I1952" s="16" t="s">
        <v>25</v>
      </c>
    </row>
    <row r="1953" spans="2:9" x14ac:dyDescent="0.25">
      <c r="B1953" s="16" t="s">
        <v>40</v>
      </c>
      <c r="C1953" s="17">
        <v>45132</v>
      </c>
      <c r="D1953" s="16">
        <v>1151055</v>
      </c>
      <c r="E1953" s="16">
        <v>9516</v>
      </c>
      <c r="F1953" s="18" t="s">
        <v>110</v>
      </c>
      <c r="G1953" s="16" t="s">
        <v>334</v>
      </c>
      <c r="H1953" s="16" t="s">
        <v>49</v>
      </c>
      <c r="I1953" s="16" t="s">
        <v>17</v>
      </c>
    </row>
    <row r="1954" spans="2:9" x14ac:dyDescent="0.25">
      <c r="B1954" s="16" t="s">
        <v>210</v>
      </c>
      <c r="C1954" s="17">
        <v>45132</v>
      </c>
      <c r="D1954" s="16">
        <v>1816750</v>
      </c>
      <c r="E1954" s="16">
        <v>9480</v>
      </c>
      <c r="F1954" s="18" t="s">
        <v>147</v>
      </c>
      <c r="G1954" s="16" t="s">
        <v>341</v>
      </c>
      <c r="H1954" s="16" t="s">
        <v>28</v>
      </c>
      <c r="I1954" s="16" t="s">
        <v>61</v>
      </c>
    </row>
    <row r="1955" spans="2:9" x14ac:dyDescent="0.25">
      <c r="B1955" s="16" t="s">
        <v>210</v>
      </c>
      <c r="C1955" s="17">
        <v>45132</v>
      </c>
      <c r="D1955" s="16">
        <v>1816751</v>
      </c>
      <c r="E1955" s="16">
        <v>9480</v>
      </c>
      <c r="F1955" s="18" t="s">
        <v>147</v>
      </c>
      <c r="G1955" s="16" t="s">
        <v>341</v>
      </c>
      <c r="H1955" s="16" t="s">
        <v>28</v>
      </c>
      <c r="I1955" s="16" t="s">
        <v>288</v>
      </c>
    </row>
    <row r="1956" spans="2:9" x14ac:dyDescent="0.25">
      <c r="B1956" s="16" t="s">
        <v>210</v>
      </c>
      <c r="C1956" s="17">
        <v>45132</v>
      </c>
      <c r="D1956" s="16">
        <v>1816747</v>
      </c>
      <c r="E1956" s="16">
        <v>9480</v>
      </c>
      <c r="F1956" s="18" t="s">
        <v>147</v>
      </c>
      <c r="G1956" s="16" t="s">
        <v>341</v>
      </c>
      <c r="H1956" s="16" t="s">
        <v>28</v>
      </c>
      <c r="I1956" s="16" t="s">
        <v>317</v>
      </c>
    </row>
    <row r="1957" spans="2:9" x14ac:dyDescent="0.25">
      <c r="B1957" s="16" t="s">
        <v>33</v>
      </c>
      <c r="C1957" s="17">
        <v>45132</v>
      </c>
      <c r="D1957" s="16">
        <v>279398</v>
      </c>
      <c r="E1957" s="16">
        <v>37945</v>
      </c>
      <c r="F1957" s="18" t="s">
        <v>166</v>
      </c>
      <c r="G1957" s="16" t="s">
        <v>334</v>
      </c>
      <c r="H1957" s="16" t="s">
        <v>221</v>
      </c>
      <c r="I1957" s="16" t="s">
        <v>61</v>
      </c>
    </row>
    <row r="1958" spans="2:9" x14ac:dyDescent="0.25">
      <c r="B1958" s="16" t="s">
        <v>2</v>
      </c>
      <c r="C1958" s="17">
        <v>45132</v>
      </c>
      <c r="D1958" s="16">
        <v>1329</v>
      </c>
      <c r="E1958" s="16">
        <v>69924</v>
      </c>
      <c r="F1958" s="18" t="s">
        <v>87</v>
      </c>
      <c r="G1958" s="16" t="s">
        <v>4</v>
      </c>
      <c r="H1958" s="16" t="s">
        <v>36</v>
      </c>
      <c r="I1958" s="16" t="s">
        <v>61</v>
      </c>
    </row>
    <row r="1959" spans="2:9" x14ac:dyDescent="0.25">
      <c r="B1959" s="16" t="s">
        <v>33</v>
      </c>
      <c r="C1959" s="17">
        <v>45132</v>
      </c>
      <c r="D1959" s="16">
        <v>62281</v>
      </c>
      <c r="E1959" s="16">
        <v>10604</v>
      </c>
      <c r="F1959" s="18" t="s">
        <v>248</v>
      </c>
      <c r="G1959" s="16" t="s">
        <v>343</v>
      </c>
      <c r="H1959" s="16" t="s">
        <v>36</v>
      </c>
      <c r="I1959" s="16" t="s">
        <v>317</v>
      </c>
    </row>
    <row r="1960" spans="2:9" x14ac:dyDescent="0.25">
      <c r="B1960" s="16" t="s">
        <v>210</v>
      </c>
      <c r="C1960" s="17">
        <v>45132</v>
      </c>
      <c r="D1960" s="16">
        <v>166111</v>
      </c>
      <c r="E1960" s="16">
        <v>12613</v>
      </c>
      <c r="F1960" s="18" t="s">
        <v>371</v>
      </c>
      <c r="G1960" s="16" t="s">
        <v>342</v>
      </c>
      <c r="H1960" s="16" t="s">
        <v>75</v>
      </c>
      <c r="I1960" s="16" t="s">
        <v>192</v>
      </c>
    </row>
    <row r="1961" spans="2:9" x14ac:dyDescent="0.25">
      <c r="B1961" s="16" t="s">
        <v>26</v>
      </c>
      <c r="C1961" s="17">
        <v>45132</v>
      </c>
      <c r="D1961" s="16">
        <v>279350</v>
      </c>
      <c r="E1961" s="16">
        <v>37945</v>
      </c>
      <c r="F1961" s="18" t="s">
        <v>166</v>
      </c>
      <c r="G1961" s="16" t="s">
        <v>334</v>
      </c>
      <c r="H1961" s="16" t="s">
        <v>221</v>
      </c>
      <c r="I1961" s="16" t="s">
        <v>61</v>
      </c>
    </row>
    <row r="1962" spans="2:9" x14ac:dyDescent="0.25">
      <c r="B1962" s="16" t="s">
        <v>26</v>
      </c>
      <c r="C1962" s="17">
        <v>45132</v>
      </c>
      <c r="D1962" s="16">
        <v>1417617</v>
      </c>
      <c r="E1962" s="16">
        <v>13235</v>
      </c>
      <c r="F1962" s="18" t="s">
        <v>99</v>
      </c>
      <c r="G1962" s="16" t="s">
        <v>52</v>
      </c>
      <c r="H1962" s="16" t="s">
        <v>36</v>
      </c>
      <c r="I1962" s="16" t="s">
        <v>61</v>
      </c>
    </row>
    <row r="1963" spans="2:9" x14ac:dyDescent="0.25">
      <c r="B1963" s="16" t="s">
        <v>26</v>
      </c>
      <c r="C1963" s="17">
        <v>45132</v>
      </c>
      <c r="D1963" s="16">
        <v>1417616</v>
      </c>
      <c r="E1963" s="16">
        <v>13235</v>
      </c>
      <c r="F1963" s="18" t="s">
        <v>99</v>
      </c>
      <c r="G1963" s="16" t="s">
        <v>52</v>
      </c>
      <c r="H1963" s="16" t="s">
        <v>184</v>
      </c>
      <c r="I1963" s="16" t="s">
        <v>61</v>
      </c>
    </row>
    <row r="1964" spans="2:9" x14ac:dyDescent="0.25">
      <c r="B1964" s="16" t="s">
        <v>33</v>
      </c>
      <c r="C1964" s="17">
        <v>45132</v>
      </c>
      <c r="D1964" s="16">
        <v>120477</v>
      </c>
      <c r="E1964" s="16">
        <v>11604</v>
      </c>
      <c r="F1964" s="18" t="s">
        <v>63</v>
      </c>
      <c r="G1964" s="16" t="s">
        <v>262</v>
      </c>
      <c r="H1964" s="16" t="s">
        <v>38</v>
      </c>
      <c r="I1964" s="16" t="s">
        <v>17</v>
      </c>
    </row>
    <row r="1965" spans="2:9" x14ac:dyDescent="0.25">
      <c r="B1965" s="16" t="s">
        <v>22</v>
      </c>
      <c r="C1965" s="17">
        <v>45132</v>
      </c>
      <c r="D1965" s="16">
        <v>2863241</v>
      </c>
      <c r="E1965" s="16">
        <v>9468</v>
      </c>
      <c r="F1965" s="18" t="s">
        <v>145</v>
      </c>
      <c r="G1965" s="16" t="s">
        <v>341</v>
      </c>
      <c r="H1965" s="16" t="s">
        <v>376</v>
      </c>
      <c r="I1965" s="16" t="s">
        <v>370</v>
      </c>
    </row>
    <row r="1966" spans="2:9" x14ac:dyDescent="0.25">
      <c r="B1966" s="16" t="s">
        <v>40</v>
      </c>
      <c r="C1966" s="17">
        <v>45132</v>
      </c>
      <c r="D1966" s="16">
        <v>610484</v>
      </c>
      <c r="E1966" s="16">
        <v>6172</v>
      </c>
      <c r="F1966" s="18" t="s">
        <v>64</v>
      </c>
      <c r="G1966" s="16" t="s">
        <v>342</v>
      </c>
      <c r="H1966" s="16" t="s">
        <v>75</v>
      </c>
      <c r="I1966" s="16" t="s">
        <v>61</v>
      </c>
    </row>
    <row r="1967" spans="2:9" x14ac:dyDescent="0.25">
      <c r="B1967" s="16" t="s">
        <v>26</v>
      </c>
      <c r="C1967" s="17">
        <v>45132</v>
      </c>
      <c r="D1967" s="16">
        <v>279350</v>
      </c>
      <c r="E1967" s="16">
        <v>37945</v>
      </c>
      <c r="F1967" s="18" t="s">
        <v>166</v>
      </c>
      <c r="G1967" s="16" t="s">
        <v>6</v>
      </c>
      <c r="H1967" s="16" t="s">
        <v>221</v>
      </c>
      <c r="I1967" s="16" t="s">
        <v>61</v>
      </c>
    </row>
    <row r="1968" spans="2:9" x14ac:dyDescent="0.25">
      <c r="B1968" s="16" t="s">
        <v>26</v>
      </c>
      <c r="C1968" s="17">
        <v>45132</v>
      </c>
      <c r="D1968" s="16">
        <v>324516</v>
      </c>
      <c r="E1968" s="16">
        <v>9589</v>
      </c>
      <c r="F1968" s="18" t="s">
        <v>384</v>
      </c>
      <c r="G1968" s="16" t="s">
        <v>6</v>
      </c>
      <c r="H1968" s="16" t="s">
        <v>28</v>
      </c>
      <c r="I1968" s="16" t="s">
        <v>61</v>
      </c>
    </row>
    <row r="1969" spans="2:9" x14ac:dyDescent="0.25">
      <c r="B1969" s="16" t="s">
        <v>33</v>
      </c>
      <c r="C1969" s="17">
        <v>45132</v>
      </c>
      <c r="D1969" s="16">
        <v>166982</v>
      </c>
      <c r="E1969" s="16">
        <v>12613</v>
      </c>
      <c r="F1969" s="18" t="s">
        <v>371</v>
      </c>
      <c r="G1969" s="16" t="s">
        <v>342</v>
      </c>
      <c r="H1969" s="16" t="s">
        <v>221</v>
      </c>
      <c r="I1969" s="16" t="s">
        <v>61</v>
      </c>
    </row>
    <row r="1970" spans="2:9" x14ac:dyDescent="0.25">
      <c r="B1970" s="16" t="s">
        <v>2</v>
      </c>
      <c r="C1970" s="17">
        <v>45132</v>
      </c>
      <c r="D1970" s="16">
        <v>2863210</v>
      </c>
      <c r="E1970" s="16">
        <v>9468</v>
      </c>
      <c r="F1970" s="18" t="s">
        <v>145</v>
      </c>
      <c r="G1970" s="16" t="s">
        <v>341</v>
      </c>
      <c r="H1970" s="16" t="s">
        <v>184</v>
      </c>
      <c r="I1970" s="16" t="s">
        <v>317</v>
      </c>
    </row>
    <row r="1971" spans="2:9" x14ac:dyDescent="0.25">
      <c r="B1971" s="16" t="s">
        <v>2</v>
      </c>
      <c r="C1971" s="17">
        <v>45132</v>
      </c>
      <c r="D1971" s="16">
        <v>30895</v>
      </c>
      <c r="E1971" s="16">
        <v>12841</v>
      </c>
      <c r="F1971" s="18" t="s">
        <v>124</v>
      </c>
      <c r="G1971" s="16" t="s">
        <v>7</v>
      </c>
      <c r="H1971" s="16" t="s">
        <v>38</v>
      </c>
      <c r="I1971" s="16" t="s">
        <v>17</v>
      </c>
    </row>
    <row r="1972" spans="2:9" x14ac:dyDescent="0.25">
      <c r="B1972" s="16" t="s">
        <v>2</v>
      </c>
      <c r="C1972" s="17">
        <v>45132</v>
      </c>
      <c r="D1972" s="16">
        <v>4341234</v>
      </c>
      <c r="E1972" s="16">
        <v>1174</v>
      </c>
      <c r="F1972" s="18" t="s">
        <v>100</v>
      </c>
      <c r="G1972" s="16" t="s">
        <v>4</v>
      </c>
      <c r="H1972" s="16" t="s">
        <v>49</v>
      </c>
      <c r="I1972" s="16" t="s">
        <v>192</v>
      </c>
    </row>
    <row r="1973" spans="2:9" x14ac:dyDescent="0.25">
      <c r="B1973" s="16" t="s">
        <v>210</v>
      </c>
      <c r="C1973" s="17">
        <v>45132</v>
      </c>
      <c r="D1973" s="16">
        <v>42166</v>
      </c>
      <c r="E1973" s="16">
        <v>72178</v>
      </c>
      <c r="F1973" s="18" t="s">
        <v>20</v>
      </c>
      <c r="G1973" s="16" t="s">
        <v>7</v>
      </c>
      <c r="H1973" s="16" t="s">
        <v>38</v>
      </c>
      <c r="I1973" s="16" t="s">
        <v>17</v>
      </c>
    </row>
    <row r="1974" spans="2:9" x14ac:dyDescent="0.25">
      <c r="B1974" s="16" t="s">
        <v>33</v>
      </c>
      <c r="C1974" s="17">
        <v>45132</v>
      </c>
      <c r="D1974" s="16">
        <v>103003</v>
      </c>
      <c r="E1974" s="16">
        <v>1233</v>
      </c>
      <c r="F1974" s="18" t="s">
        <v>69</v>
      </c>
      <c r="G1974" s="16" t="s">
        <v>5</v>
      </c>
      <c r="H1974" s="16" t="s">
        <v>75</v>
      </c>
      <c r="I1974" s="16" t="s">
        <v>17</v>
      </c>
    </row>
    <row r="1975" spans="2:9" x14ac:dyDescent="0.25">
      <c r="B1975" s="16" t="s">
        <v>2</v>
      </c>
      <c r="C1975" s="17">
        <v>45132</v>
      </c>
      <c r="D1975" s="16">
        <v>6636330</v>
      </c>
      <c r="E1975" s="16">
        <v>9844</v>
      </c>
      <c r="F1975" s="18" t="s">
        <v>279</v>
      </c>
      <c r="G1975" s="16" t="s">
        <v>5</v>
      </c>
      <c r="H1975" s="16" t="s">
        <v>49</v>
      </c>
      <c r="I1975" s="16" t="s">
        <v>57</v>
      </c>
    </row>
    <row r="1976" spans="2:9" x14ac:dyDescent="0.25">
      <c r="B1976" s="16" t="s">
        <v>33</v>
      </c>
      <c r="C1976" s="17">
        <v>45133</v>
      </c>
      <c r="D1976" s="16">
        <v>226337</v>
      </c>
      <c r="E1976" s="16">
        <v>9456</v>
      </c>
      <c r="F1976" s="18" t="s">
        <v>113</v>
      </c>
      <c r="G1976" s="16" t="s">
        <v>343</v>
      </c>
      <c r="H1976" s="16" t="s">
        <v>31</v>
      </c>
      <c r="I1976" s="16" t="s">
        <v>132</v>
      </c>
    </row>
    <row r="1977" spans="2:9" x14ac:dyDescent="0.25">
      <c r="B1977" s="16" t="s">
        <v>210</v>
      </c>
      <c r="C1977" s="17">
        <v>45133</v>
      </c>
      <c r="D1977" s="16">
        <v>226339</v>
      </c>
      <c r="E1977" s="16">
        <v>9456</v>
      </c>
      <c r="F1977" s="18" t="s">
        <v>113</v>
      </c>
      <c r="G1977" s="16" t="s">
        <v>343</v>
      </c>
      <c r="H1977" s="16" t="s">
        <v>31</v>
      </c>
      <c r="I1977" s="16" t="s">
        <v>132</v>
      </c>
    </row>
    <row r="1978" spans="2:9" x14ac:dyDescent="0.25">
      <c r="B1978" s="16" t="s">
        <v>40</v>
      </c>
      <c r="C1978" s="17">
        <v>45133</v>
      </c>
      <c r="D1978" s="16">
        <v>226332</v>
      </c>
      <c r="E1978" s="16">
        <v>9456</v>
      </c>
      <c r="F1978" s="18" t="s">
        <v>113</v>
      </c>
      <c r="G1978" s="16" t="s">
        <v>343</v>
      </c>
      <c r="H1978" s="16" t="s">
        <v>31</v>
      </c>
      <c r="I1978" s="16" t="s">
        <v>132</v>
      </c>
    </row>
    <row r="1979" spans="2:9" x14ac:dyDescent="0.25">
      <c r="B1979" s="16" t="s">
        <v>210</v>
      </c>
      <c r="C1979" s="17">
        <v>45133</v>
      </c>
      <c r="D1979" s="16">
        <v>8295</v>
      </c>
      <c r="E1979" s="16">
        <v>63097</v>
      </c>
      <c r="F1979" s="18" t="s">
        <v>316</v>
      </c>
      <c r="G1979" s="16" t="s">
        <v>7</v>
      </c>
      <c r="H1979" s="16" t="s">
        <v>38</v>
      </c>
      <c r="I1979" s="16" t="s">
        <v>17</v>
      </c>
    </row>
    <row r="1980" spans="2:9" x14ac:dyDescent="0.25">
      <c r="B1980" s="16" t="s">
        <v>40</v>
      </c>
      <c r="C1980" s="17">
        <v>45133</v>
      </c>
      <c r="D1980" s="16">
        <v>1152307</v>
      </c>
      <c r="E1980" s="16">
        <v>9516</v>
      </c>
      <c r="F1980" s="18" t="s">
        <v>110</v>
      </c>
      <c r="G1980" s="16" t="s">
        <v>334</v>
      </c>
      <c r="H1980" s="16" t="s">
        <v>28</v>
      </c>
      <c r="I1980" s="16" t="s">
        <v>61</v>
      </c>
    </row>
    <row r="1981" spans="2:9" x14ac:dyDescent="0.25">
      <c r="B1981" s="16" t="s">
        <v>40</v>
      </c>
      <c r="C1981" s="17">
        <v>45133</v>
      </c>
      <c r="D1981" s="16">
        <v>1151055</v>
      </c>
      <c r="E1981" s="16">
        <v>9516</v>
      </c>
      <c r="F1981" s="18" t="s">
        <v>110</v>
      </c>
      <c r="G1981" s="16" t="s">
        <v>334</v>
      </c>
      <c r="H1981" s="16" t="s">
        <v>28</v>
      </c>
      <c r="I1981" s="16" t="s">
        <v>61</v>
      </c>
    </row>
    <row r="1982" spans="2:9" x14ac:dyDescent="0.25">
      <c r="B1982" s="16" t="s">
        <v>40</v>
      </c>
      <c r="C1982" s="17">
        <v>45133</v>
      </c>
      <c r="D1982" s="16">
        <v>14722</v>
      </c>
      <c r="E1982" s="16">
        <v>68338</v>
      </c>
      <c r="F1982" s="18" t="s">
        <v>385</v>
      </c>
      <c r="G1982" s="16" t="s">
        <v>343</v>
      </c>
      <c r="H1982" s="16" t="s">
        <v>75</v>
      </c>
      <c r="I1982" s="16" t="s">
        <v>61</v>
      </c>
    </row>
    <row r="1983" spans="2:9" x14ac:dyDescent="0.25">
      <c r="B1983" s="16" t="s">
        <v>40</v>
      </c>
      <c r="C1983" s="17">
        <v>45133</v>
      </c>
      <c r="D1983" s="16">
        <v>6554</v>
      </c>
      <c r="E1983" s="16">
        <v>1499</v>
      </c>
      <c r="F1983" s="18" t="s">
        <v>386</v>
      </c>
      <c r="G1983" s="16" t="s">
        <v>7</v>
      </c>
      <c r="H1983" s="16" t="s">
        <v>355</v>
      </c>
      <c r="I1983" s="16" t="s">
        <v>12</v>
      </c>
    </row>
    <row r="1984" spans="2:9" x14ac:dyDescent="0.25">
      <c r="B1984" s="16" t="s">
        <v>40</v>
      </c>
      <c r="C1984" s="17">
        <v>45133</v>
      </c>
      <c r="D1984" s="16">
        <v>265650</v>
      </c>
      <c r="E1984" s="16">
        <v>12899</v>
      </c>
      <c r="F1984" s="18" t="s">
        <v>204</v>
      </c>
      <c r="G1984" s="16" t="s">
        <v>334</v>
      </c>
      <c r="H1984" s="16" t="s">
        <v>36</v>
      </c>
      <c r="I1984" s="16" t="s">
        <v>61</v>
      </c>
    </row>
    <row r="1985" spans="2:9" x14ac:dyDescent="0.25">
      <c r="B1985" s="16" t="s">
        <v>26</v>
      </c>
      <c r="C1985" s="17">
        <v>45133</v>
      </c>
      <c r="D1985" s="16">
        <v>73983</v>
      </c>
      <c r="E1985" s="16">
        <v>1002</v>
      </c>
      <c r="F1985" s="18" t="s">
        <v>178</v>
      </c>
      <c r="G1985" s="16" t="s">
        <v>52</v>
      </c>
      <c r="H1985" s="16" t="s">
        <v>304</v>
      </c>
      <c r="I1985" s="16" t="s">
        <v>232</v>
      </c>
    </row>
    <row r="1986" spans="2:9" x14ac:dyDescent="0.25">
      <c r="B1986" s="16" t="s">
        <v>2</v>
      </c>
      <c r="C1986" s="17">
        <v>45133</v>
      </c>
      <c r="D1986" s="16">
        <v>8294</v>
      </c>
      <c r="E1986" s="16">
        <v>63097</v>
      </c>
      <c r="F1986" s="18" t="s">
        <v>316</v>
      </c>
      <c r="G1986" s="16" t="s">
        <v>7</v>
      </c>
      <c r="H1986" s="16" t="s">
        <v>38</v>
      </c>
      <c r="I1986" s="16" t="s">
        <v>17</v>
      </c>
    </row>
    <row r="1987" spans="2:9" x14ac:dyDescent="0.25">
      <c r="B1987" s="16" t="s">
        <v>40</v>
      </c>
      <c r="C1987" s="17">
        <v>45133</v>
      </c>
      <c r="D1987" s="16">
        <v>60269</v>
      </c>
      <c r="E1987" s="16">
        <v>11787</v>
      </c>
      <c r="F1987" s="18" t="s">
        <v>244</v>
      </c>
      <c r="G1987" s="16" t="s">
        <v>334</v>
      </c>
      <c r="H1987" s="16" t="s">
        <v>190</v>
      </c>
      <c r="I1987" s="16" t="s">
        <v>335</v>
      </c>
    </row>
    <row r="1988" spans="2:9" x14ac:dyDescent="0.25">
      <c r="B1988" s="16" t="s">
        <v>40</v>
      </c>
      <c r="C1988" s="17">
        <v>45133</v>
      </c>
      <c r="D1988" s="16">
        <v>60268</v>
      </c>
      <c r="E1988" s="16">
        <v>11787</v>
      </c>
      <c r="F1988" s="18" t="s">
        <v>244</v>
      </c>
      <c r="G1988" s="16" t="s">
        <v>334</v>
      </c>
      <c r="H1988" s="16" t="s">
        <v>190</v>
      </c>
      <c r="I1988" s="16" t="s">
        <v>335</v>
      </c>
    </row>
    <row r="1989" spans="2:9" x14ac:dyDescent="0.25">
      <c r="B1989" s="16" t="s">
        <v>40</v>
      </c>
      <c r="C1989" s="17">
        <v>45133</v>
      </c>
      <c r="D1989" s="16">
        <v>8299</v>
      </c>
      <c r="E1989" s="16">
        <v>63097</v>
      </c>
      <c r="F1989" s="18" t="s">
        <v>316</v>
      </c>
      <c r="G1989" s="16" t="s">
        <v>7</v>
      </c>
      <c r="H1989" s="16" t="s">
        <v>38</v>
      </c>
      <c r="I1989" s="16" t="s">
        <v>17</v>
      </c>
    </row>
    <row r="1990" spans="2:9" x14ac:dyDescent="0.25">
      <c r="B1990" s="16" t="s">
        <v>26</v>
      </c>
      <c r="C1990" s="17">
        <v>45133</v>
      </c>
      <c r="D1990" s="16">
        <v>179582</v>
      </c>
      <c r="E1990" s="16">
        <v>9599</v>
      </c>
      <c r="F1990" s="18" t="s">
        <v>43</v>
      </c>
      <c r="G1990" s="16" t="s">
        <v>334</v>
      </c>
      <c r="H1990" s="16" t="s">
        <v>137</v>
      </c>
      <c r="I1990" s="16" t="s">
        <v>17</v>
      </c>
    </row>
    <row r="1991" spans="2:9" x14ac:dyDescent="0.25">
      <c r="B1991" s="16" t="s">
        <v>26</v>
      </c>
      <c r="C1991" s="17">
        <v>45133</v>
      </c>
      <c r="D1991" s="16">
        <v>8297</v>
      </c>
      <c r="E1991" s="16">
        <v>63097</v>
      </c>
      <c r="F1991" s="18" t="s">
        <v>316</v>
      </c>
      <c r="G1991" s="16" t="s">
        <v>7</v>
      </c>
      <c r="H1991" s="16" t="s">
        <v>38</v>
      </c>
      <c r="I1991" s="16" t="s">
        <v>17</v>
      </c>
    </row>
    <row r="1992" spans="2:9" x14ac:dyDescent="0.25">
      <c r="B1992" s="16" t="s">
        <v>33</v>
      </c>
      <c r="C1992" s="17">
        <v>45133</v>
      </c>
      <c r="D1992" s="16">
        <v>8328</v>
      </c>
      <c r="E1992" s="16">
        <v>63097</v>
      </c>
      <c r="F1992" s="18" t="s">
        <v>316</v>
      </c>
      <c r="G1992" s="16" t="s">
        <v>7</v>
      </c>
      <c r="H1992" s="16" t="s">
        <v>38</v>
      </c>
      <c r="I1992" s="16" t="s">
        <v>17</v>
      </c>
    </row>
    <row r="1993" spans="2:9" x14ac:dyDescent="0.25">
      <c r="B1993" s="16" t="s">
        <v>33</v>
      </c>
      <c r="C1993" s="17">
        <v>45133</v>
      </c>
      <c r="D1993" s="16">
        <v>8301</v>
      </c>
      <c r="E1993" s="16">
        <v>63097</v>
      </c>
      <c r="F1993" s="18" t="s">
        <v>316</v>
      </c>
      <c r="G1993" s="16" t="s">
        <v>7</v>
      </c>
      <c r="H1993" s="16" t="s">
        <v>38</v>
      </c>
      <c r="I1993" s="16" t="s">
        <v>17</v>
      </c>
    </row>
    <row r="1994" spans="2:9" x14ac:dyDescent="0.25">
      <c r="B1994" s="16" t="s">
        <v>2</v>
      </c>
      <c r="C1994" s="17">
        <v>45133</v>
      </c>
      <c r="D1994" s="16">
        <v>276844</v>
      </c>
      <c r="E1994" s="16">
        <v>71433</v>
      </c>
      <c r="F1994" s="18" t="s">
        <v>20</v>
      </c>
      <c r="G1994" s="16" t="s">
        <v>341</v>
      </c>
      <c r="H1994" s="16" t="s">
        <v>71</v>
      </c>
      <c r="I1994" s="16" t="s">
        <v>17</v>
      </c>
    </row>
    <row r="1995" spans="2:9" x14ac:dyDescent="0.25">
      <c r="B1995" s="16" t="s">
        <v>26</v>
      </c>
      <c r="C1995" s="17">
        <v>45133</v>
      </c>
      <c r="D1995" s="16">
        <v>316213</v>
      </c>
      <c r="E1995" s="16">
        <v>68353</v>
      </c>
      <c r="F1995" s="18" t="s">
        <v>116</v>
      </c>
      <c r="G1995" s="16" t="s">
        <v>16</v>
      </c>
      <c r="H1995" s="16" t="s">
        <v>71</v>
      </c>
      <c r="I1995" s="16" t="s">
        <v>17</v>
      </c>
    </row>
    <row r="1996" spans="2:9" x14ac:dyDescent="0.25">
      <c r="B1996" s="16" t="s">
        <v>33</v>
      </c>
      <c r="C1996" s="17">
        <v>45134</v>
      </c>
      <c r="D1996" s="16">
        <v>35011</v>
      </c>
      <c r="E1996" s="16">
        <v>1047</v>
      </c>
      <c r="F1996" s="18" t="s">
        <v>346</v>
      </c>
      <c r="G1996" s="16" t="s">
        <v>343</v>
      </c>
      <c r="H1996" s="16" t="s">
        <v>184</v>
      </c>
      <c r="I1996" s="16" t="s">
        <v>61</v>
      </c>
    </row>
    <row r="1997" spans="2:9" x14ac:dyDescent="0.25">
      <c r="B1997" s="16" t="s">
        <v>210</v>
      </c>
      <c r="C1997" s="17">
        <v>45134</v>
      </c>
      <c r="D1997" s="16">
        <v>35012</v>
      </c>
      <c r="E1997" s="16">
        <v>1047</v>
      </c>
      <c r="F1997" s="18" t="s">
        <v>346</v>
      </c>
      <c r="G1997" s="16" t="s">
        <v>343</v>
      </c>
      <c r="H1997" s="16" t="s">
        <v>184</v>
      </c>
      <c r="I1997" s="16" t="s">
        <v>61</v>
      </c>
    </row>
    <row r="1998" spans="2:9" x14ac:dyDescent="0.25">
      <c r="B1998" s="16" t="s">
        <v>40</v>
      </c>
      <c r="C1998" s="17">
        <v>45134</v>
      </c>
      <c r="D1998" s="16">
        <v>35014</v>
      </c>
      <c r="E1998" s="16">
        <v>1047</v>
      </c>
      <c r="F1998" s="18" t="s">
        <v>346</v>
      </c>
      <c r="G1998" s="16" t="s">
        <v>343</v>
      </c>
      <c r="H1998" s="16" t="s">
        <v>184</v>
      </c>
      <c r="I1998" s="16" t="s">
        <v>344</v>
      </c>
    </row>
    <row r="1999" spans="2:9" x14ac:dyDescent="0.25">
      <c r="B1999" s="16" t="s">
        <v>40</v>
      </c>
      <c r="C1999" s="17">
        <v>45134</v>
      </c>
      <c r="D1999" s="16">
        <v>997852</v>
      </c>
      <c r="E1999" s="16">
        <v>10263</v>
      </c>
      <c r="F1999" s="18" t="s">
        <v>34</v>
      </c>
      <c r="G1999" s="16" t="s">
        <v>16</v>
      </c>
      <c r="H1999" s="16" t="s">
        <v>36</v>
      </c>
      <c r="I1999" s="16" t="s">
        <v>61</v>
      </c>
    </row>
    <row r="2000" spans="2:9" x14ac:dyDescent="0.25">
      <c r="B2000" s="16" t="s">
        <v>40</v>
      </c>
      <c r="C2000" s="17">
        <v>45134</v>
      </c>
      <c r="D2000" s="16">
        <v>997889</v>
      </c>
      <c r="E2000" s="16">
        <v>10263</v>
      </c>
      <c r="F2000" s="18" t="s">
        <v>34</v>
      </c>
      <c r="G2000" s="16" t="s">
        <v>16</v>
      </c>
      <c r="H2000" s="16" t="s">
        <v>36</v>
      </c>
      <c r="I2000" s="16" t="s">
        <v>61</v>
      </c>
    </row>
    <row r="2001" spans="2:9" x14ac:dyDescent="0.25">
      <c r="B2001" s="16" t="s">
        <v>40</v>
      </c>
      <c r="C2001" s="17">
        <v>45134</v>
      </c>
      <c r="D2001" s="16">
        <v>76372</v>
      </c>
      <c r="E2001" s="16">
        <v>3659</v>
      </c>
      <c r="F2001" s="18" t="s">
        <v>387</v>
      </c>
      <c r="G2001" s="16" t="s">
        <v>7</v>
      </c>
      <c r="H2001" s="16" t="s">
        <v>38</v>
      </c>
      <c r="I2001" s="16" t="s">
        <v>123</v>
      </c>
    </row>
    <row r="2002" spans="2:9" x14ac:dyDescent="0.25">
      <c r="B2002" s="16" t="s">
        <v>40</v>
      </c>
      <c r="C2002" s="17">
        <v>45134</v>
      </c>
      <c r="D2002" s="16">
        <v>519459</v>
      </c>
      <c r="E2002" s="16">
        <v>12012</v>
      </c>
      <c r="F2002" s="18" t="s">
        <v>328</v>
      </c>
      <c r="G2002" s="16" t="s">
        <v>342</v>
      </c>
      <c r="H2002" s="16" t="s">
        <v>114</v>
      </c>
      <c r="I2002" s="16" t="s">
        <v>12</v>
      </c>
    </row>
    <row r="2003" spans="2:9" x14ac:dyDescent="0.25">
      <c r="B2003" s="16" t="s">
        <v>40</v>
      </c>
      <c r="C2003" s="17">
        <v>45134</v>
      </c>
      <c r="D2003" s="16">
        <v>279984</v>
      </c>
      <c r="E2003" s="16">
        <v>37945</v>
      </c>
      <c r="F2003" s="18" t="s">
        <v>166</v>
      </c>
      <c r="G2003" s="16" t="s">
        <v>341</v>
      </c>
      <c r="H2003" s="16" t="s">
        <v>49</v>
      </c>
      <c r="I2003" s="16" t="s">
        <v>17</v>
      </c>
    </row>
    <row r="2004" spans="2:9" x14ac:dyDescent="0.25">
      <c r="B2004" s="16" t="s">
        <v>40</v>
      </c>
      <c r="C2004" s="17">
        <v>45134</v>
      </c>
      <c r="D2004" s="16">
        <v>997860</v>
      </c>
      <c r="E2004" s="16">
        <v>10263</v>
      </c>
      <c r="F2004" s="18" t="s">
        <v>34</v>
      </c>
      <c r="G2004" s="16" t="s">
        <v>16</v>
      </c>
      <c r="H2004" s="16" t="s">
        <v>75</v>
      </c>
      <c r="I2004" s="16" t="s">
        <v>17</v>
      </c>
    </row>
    <row r="2005" spans="2:9" x14ac:dyDescent="0.25">
      <c r="B2005" s="16" t="s">
        <v>210</v>
      </c>
      <c r="C2005" s="17">
        <v>45134</v>
      </c>
      <c r="D2005" s="16">
        <v>997804</v>
      </c>
      <c r="E2005" s="16">
        <v>10263</v>
      </c>
      <c r="F2005" s="18" t="s">
        <v>34</v>
      </c>
      <c r="G2005" s="16" t="s">
        <v>16</v>
      </c>
      <c r="H2005" s="16" t="s">
        <v>36</v>
      </c>
      <c r="I2005" s="16" t="s">
        <v>61</v>
      </c>
    </row>
    <row r="2006" spans="2:9" x14ac:dyDescent="0.25">
      <c r="B2006" s="16" t="s">
        <v>210</v>
      </c>
      <c r="C2006" s="17">
        <v>45134</v>
      </c>
      <c r="D2006" s="16">
        <v>997831</v>
      </c>
      <c r="E2006" s="16">
        <v>10263</v>
      </c>
      <c r="F2006" s="18" t="s">
        <v>34</v>
      </c>
      <c r="G2006" s="16" t="s">
        <v>16</v>
      </c>
      <c r="H2006" s="16" t="s">
        <v>36</v>
      </c>
      <c r="I2006" s="16" t="s">
        <v>61</v>
      </c>
    </row>
    <row r="2007" spans="2:9" x14ac:dyDescent="0.25">
      <c r="B2007" s="16" t="s">
        <v>210</v>
      </c>
      <c r="C2007" s="17">
        <v>45134</v>
      </c>
      <c r="D2007" s="16">
        <v>34982</v>
      </c>
      <c r="E2007" s="16">
        <v>1047</v>
      </c>
      <c r="F2007" s="18" t="s">
        <v>346</v>
      </c>
      <c r="G2007" s="16" t="s">
        <v>343</v>
      </c>
      <c r="H2007" s="16" t="s">
        <v>36</v>
      </c>
      <c r="I2007" s="16" t="s">
        <v>61</v>
      </c>
    </row>
    <row r="2008" spans="2:9" x14ac:dyDescent="0.25">
      <c r="B2008" s="16" t="s">
        <v>210</v>
      </c>
      <c r="C2008" s="17">
        <v>45134</v>
      </c>
      <c r="D2008" s="16">
        <v>35012</v>
      </c>
      <c r="E2008" s="16">
        <v>1047</v>
      </c>
      <c r="F2008" s="18" t="s">
        <v>346</v>
      </c>
      <c r="G2008" s="16" t="s">
        <v>343</v>
      </c>
      <c r="H2008" s="16" t="s">
        <v>186</v>
      </c>
      <c r="I2008" s="16" t="s">
        <v>61</v>
      </c>
    </row>
    <row r="2009" spans="2:9" x14ac:dyDescent="0.25">
      <c r="B2009" s="16" t="s">
        <v>26</v>
      </c>
      <c r="C2009" s="17">
        <v>45134</v>
      </c>
      <c r="D2009" s="16">
        <v>998003</v>
      </c>
      <c r="E2009" s="16">
        <v>10263</v>
      </c>
      <c r="F2009" s="18" t="s">
        <v>34</v>
      </c>
      <c r="G2009" s="16" t="s">
        <v>16</v>
      </c>
      <c r="H2009" s="16" t="s">
        <v>184</v>
      </c>
      <c r="I2009" s="16" t="s">
        <v>20</v>
      </c>
    </row>
    <row r="2010" spans="2:9" x14ac:dyDescent="0.25">
      <c r="B2010" s="16" t="s">
        <v>26</v>
      </c>
      <c r="C2010" s="17">
        <v>45134</v>
      </c>
      <c r="D2010" s="16">
        <v>997998</v>
      </c>
      <c r="E2010" s="16">
        <v>10263</v>
      </c>
      <c r="F2010" s="18" t="s">
        <v>34</v>
      </c>
      <c r="G2010" s="16" t="s">
        <v>16</v>
      </c>
      <c r="H2010" s="16" t="s">
        <v>36</v>
      </c>
      <c r="I2010" s="16" t="s">
        <v>20</v>
      </c>
    </row>
    <row r="2011" spans="2:9" x14ac:dyDescent="0.25">
      <c r="B2011" s="16" t="s">
        <v>33</v>
      </c>
      <c r="C2011" s="17">
        <v>45134</v>
      </c>
      <c r="D2011" s="16">
        <v>488623</v>
      </c>
      <c r="E2011" s="16">
        <v>9417</v>
      </c>
      <c r="F2011" s="18" t="s">
        <v>72</v>
      </c>
      <c r="G2011" s="16" t="s">
        <v>341</v>
      </c>
      <c r="H2011" s="16" t="s">
        <v>39</v>
      </c>
      <c r="I2011" s="16" t="s">
        <v>61</v>
      </c>
    </row>
    <row r="2012" spans="2:9" x14ac:dyDescent="0.25">
      <c r="B2012" s="16" t="s">
        <v>33</v>
      </c>
      <c r="C2012" s="17">
        <v>45134</v>
      </c>
      <c r="D2012" s="16">
        <v>19746</v>
      </c>
      <c r="E2012" s="16">
        <v>9510</v>
      </c>
      <c r="F2012" s="18" t="s">
        <v>48</v>
      </c>
      <c r="G2012" s="16" t="s">
        <v>52</v>
      </c>
      <c r="H2012" s="16" t="s">
        <v>184</v>
      </c>
      <c r="I2012" s="16" t="s">
        <v>232</v>
      </c>
    </row>
    <row r="2013" spans="2:9" x14ac:dyDescent="0.25">
      <c r="B2013" s="16" t="s">
        <v>26</v>
      </c>
      <c r="C2013" s="17">
        <v>45134</v>
      </c>
      <c r="D2013" s="16">
        <v>998030</v>
      </c>
      <c r="E2013" s="16">
        <v>10263</v>
      </c>
      <c r="F2013" s="18" t="s">
        <v>34</v>
      </c>
      <c r="G2013" s="16" t="s">
        <v>16</v>
      </c>
      <c r="H2013" s="16" t="s">
        <v>39</v>
      </c>
      <c r="I2013" s="16" t="s">
        <v>20</v>
      </c>
    </row>
    <row r="2014" spans="2:9" x14ac:dyDescent="0.25">
      <c r="B2014" s="16" t="s">
        <v>26</v>
      </c>
      <c r="C2014" s="17">
        <v>45134</v>
      </c>
      <c r="D2014" s="16">
        <v>35013</v>
      </c>
      <c r="E2014" s="16">
        <v>1047</v>
      </c>
      <c r="F2014" s="18" t="s">
        <v>346</v>
      </c>
      <c r="G2014" s="16" t="s">
        <v>343</v>
      </c>
      <c r="H2014" s="16" t="s">
        <v>184</v>
      </c>
      <c r="I2014" s="16" t="s">
        <v>61</v>
      </c>
    </row>
    <row r="2015" spans="2:9" x14ac:dyDescent="0.25">
      <c r="B2015" s="16" t="s">
        <v>26</v>
      </c>
      <c r="C2015" s="17">
        <v>45134</v>
      </c>
      <c r="D2015" s="16">
        <v>279907</v>
      </c>
      <c r="E2015" s="16">
        <v>37945</v>
      </c>
      <c r="F2015" s="18" t="s">
        <v>166</v>
      </c>
      <c r="G2015" s="16" t="s">
        <v>52</v>
      </c>
      <c r="H2015" s="16" t="s">
        <v>184</v>
      </c>
      <c r="I2015" s="16" t="s">
        <v>61</v>
      </c>
    </row>
    <row r="2016" spans="2:9" x14ac:dyDescent="0.25">
      <c r="B2016" s="16" t="s">
        <v>26</v>
      </c>
      <c r="C2016" s="17">
        <v>45134</v>
      </c>
      <c r="D2016" s="16">
        <v>5373</v>
      </c>
      <c r="E2016" s="16">
        <v>10840</v>
      </c>
      <c r="F2016" s="18" t="s">
        <v>388</v>
      </c>
      <c r="G2016" s="16" t="s">
        <v>5</v>
      </c>
      <c r="H2016" s="16" t="s">
        <v>38</v>
      </c>
      <c r="I2016" s="16" t="s">
        <v>61</v>
      </c>
    </row>
    <row r="2017" spans="2:9" x14ac:dyDescent="0.25">
      <c r="B2017" s="16" t="s">
        <v>26</v>
      </c>
      <c r="C2017" s="17">
        <v>45134</v>
      </c>
      <c r="D2017" s="16">
        <v>265089</v>
      </c>
      <c r="E2017" s="16">
        <v>10815</v>
      </c>
      <c r="F2017" s="18" t="s">
        <v>389</v>
      </c>
      <c r="G2017" s="16"/>
      <c r="H2017" s="16" t="s">
        <v>49</v>
      </c>
      <c r="I2017" s="16" t="s">
        <v>17</v>
      </c>
    </row>
    <row r="2018" spans="2:9" x14ac:dyDescent="0.25">
      <c r="B2018" s="16" t="s">
        <v>210</v>
      </c>
      <c r="C2018" s="17">
        <v>45134</v>
      </c>
      <c r="D2018" s="16">
        <v>997824</v>
      </c>
      <c r="E2018" s="16">
        <v>10263</v>
      </c>
      <c r="F2018" s="18" t="s">
        <v>34</v>
      </c>
      <c r="G2018" s="16" t="s">
        <v>16</v>
      </c>
      <c r="H2018" s="16" t="s">
        <v>49</v>
      </c>
      <c r="I2018" s="16" t="s">
        <v>17</v>
      </c>
    </row>
    <row r="2019" spans="2:9" x14ac:dyDescent="0.25">
      <c r="B2019" s="16" t="s">
        <v>210</v>
      </c>
      <c r="C2019" s="17">
        <v>45134</v>
      </c>
      <c r="D2019" s="16">
        <v>997809</v>
      </c>
      <c r="E2019" s="16">
        <v>10263</v>
      </c>
      <c r="F2019" s="18" t="s">
        <v>34</v>
      </c>
      <c r="G2019" s="16" t="s">
        <v>16</v>
      </c>
      <c r="H2019" s="16" t="s">
        <v>75</v>
      </c>
      <c r="I2019" s="16" t="s">
        <v>17</v>
      </c>
    </row>
    <row r="2020" spans="2:9" x14ac:dyDescent="0.25">
      <c r="B2020" s="16" t="s">
        <v>2</v>
      </c>
      <c r="C2020" s="17">
        <v>45134</v>
      </c>
      <c r="D2020" s="16">
        <v>34978</v>
      </c>
      <c r="E2020" s="16">
        <v>1047</v>
      </c>
      <c r="F2020" s="18" t="s">
        <v>346</v>
      </c>
      <c r="G2020" s="16" t="s">
        <v>343</v>
      </c>
      <c r="H2020" s="16" t="s">
        <v>36</v>
      </c>
      <c r="I2020" s="16" t="s">
        <v>61</v>
      </c>
    </row>
    <row r="2021" spans="2:9" x14ac:dyDescent="0.25">
      <c r="B2021" s="16" t="s">
        <v>2</v>
      </c>
      <c r="C2021" s="17">
        <v>45134</v>
      </c>
      <c r="D2021" s="16">
        <v>35016</v>
      </c>
      <c r="E2021" s="16">
        <v>1047</v>
      </c>
      <c r="F2021" s="18" t="s">
        <v>346</v>
      </c>
      <c r="G2021" s="16" t="s">
        <v>343</v>
      </c>
      <c r="H2021" s="16" t="s">
        <v>184</v>
      </c>
      <c r="I2021" s="16" t="s">
        <v>61</v>
      </c>
    </row>
    <row r="2022" spans="2:9" x14ac:dyDescent="0.25">
      <c r="B2022" s="16" t="s">
        <v>2</v>
      </c>
      <c r="C2022" s="17">
        <v>45134</v>
      </c>
      <c r="D2022" s="16">
        <v>1818194</v>
      </c>
      <c r="E2022" s="16">
        <v>9480</v>
      </c>
      <c r="F2022" s="18" t="s">
        <v>147</v>
      </c>
      <c r="G2022" s="16" t="s">
        <v>341</v>
      </c>
      <c r="H2022" s="16" t="s">
        <v>28</v>
      </c>
      <c r="I2022" s="16" t="s">
        <v>341</v>
      </c>
    </row>
    <row r="2023" spans="2:9" x14ac:dyDescent="0.25">
      <c r="B2023" s="16" t="s">
        <v>2</v>
      </c>
      <c r="C2023" s="17">
        <v>45134</v>
      </c>
      <c r="D2023" s="16">
        <v>1818195</v>
      </c>
      <c r="E2023" s="16">
        <v>9480</v>
      </c>
      <c r="F2023" s="18" t="s">
        <v>147</v>
      </c>
      <c r="G2023" s="16" t="s">
        <v>341</v>
      </c>
      <c r="H2023" s="16" t="s">
        <v>28</v>
      </c>
      <c r="I2023" s="16" t="s">
        <v>341</v>
      </c>
    </row>
    <row r="2024" spans="2:9" x14ac:dyDescent="0.25">
      <c r="B2024" s="16" t="s">
        <v>2</v>
      </c>
      <c r="C2024" s="17">
        <v>45134</v>
      </c>
      <c r="D2024" s="16">
        <v>1818196</v>
      </c>
      <c r="E2024" s="16">
        <v>9480</v>
      </c>
      <c r="F2024" s="18" t="s">
        <v>147</v>
      </c>
      <c r="G2024" s="16" t="s">
        <v>341</v>
      </c>
      <c r="H2024" s="16" t="s">
        <v>28</v>
      </c>
      <c r="I2024" s="16" t="s">
        <v>341</v>
      </c>
    </row>
    <row r="2025" spans="2:9" x14ac:dyDescent="0.25">
      <c r="B2025" s="16" t="s">
        <v>2</v>
      </c>
      <c r="C2025" s="17">
        <v>45134</v>
      </c>
      <c r="D2025" s="16">
        <v>1818197</v>
      </c>
      <c r="E2025" s="16">
        <v>9480</v>
      </c>
      <c r="F2025" s="18" t="s">
        <v>147</v>
      </c>
      <c r="G2025" s="16" t="s">
        <v>341</v>
      </c>
      <c r="H2025" s="16" t="s">
        <v>28</v>
      </c>
      <c r="I2025" s="16" t="s">
        <v>341</v>
      </c>
    </row>
    <row r="2026" spans="2:9" x14ac:dyDescent="0.25">
      <c r="B2026" s="16" t="s">
        <v>2</v>
      </c>
      <c r="C2026" s="17">
        <v>45134</v>
      </c>
      <c r="D2026" s="16">
        <v>241309</v>
      </c>
      <c r="E2026" s="16">
        <v>1175</v>
      </c>
      <c r="F2026" s="18" t="s">
        <v>81</v>
      </c>
      <c r="G2026" s="16" t="s">
        <v>7</v>
      </c>
      <c r="H2026" s="16" t="s">
        <v>38</v>
      </c>
      <c r="I2026" s="16" t="s">
        <v>17</v>
      </c>
    </row>
    <row r="2027" spans="2:9" x14ac:dyDescent="0.25">
      <c r="B2027" s="16" t="s">
        <v>2</v>
      </c>
      <c r="C2027" s="17">
        <v>45134</v>
      </c>
      <c r="D2027" s="16">
        <v>279947</v>
      </c>
      <c r="E2027" s="16">
        <v>37945</v>
      </c>
      <c r="F2027" s="18" t="s">
        <v>166</v>
      </c>
      <c r="G2027" s="16" t="s">
        <v>5</v>
      </c>
      <c r="H2027" s="16" t="s">
        <v>184</v>
      </c>
      <c r="I2027" s="16" t="s">
        <v>61</v>
      </c>
    </row>
    <row r="2028" spans="2:9" x14ac:dyDescent="0.25">
      <c r="B2028" s="16" t="s">
        <v>22</v>
      </c>
      <c r="C2028" s="17">
        <v>45134</v>
      </c>
      <c r="D2028" s="16">
        <v>337557</v>
      </c>
      <c r="E2028" s="16">
        <v>66719</v>
      </c>
      <c r="F2028" s="18" t="s">
        <v>180</v>
      </c>
      <c r="G2028" s="16" t="s">
        <v>334</v>
      </c>
      <c r="H2028" s="16" t="s">
        <v>41</v>
      </c>
      <c r="I2028" s="16" t="s">
        <v>17</v>
      </c>
    </row>
    <row r="2029" spans="2:9" x14ac:dyDescent="0.25">
      <c r="B2029" s="16" t="s">
        <v>22</v>
      </c>
      <c r="C2029" s="17">
        <v>45134</v>
      </c>
      <c r="D2029" s="16">
        <v>997624</v>
      </c>
      <c r="E2029" s="16">
        <v>10263</v>
      </c>
      <c r="F2029" s="18" t="s">
        <v>34</v>
      </c>
      <c r="G2029" s="16" t="s">
        <v>16</v>
      </c>
      <c r="H2029" s="16" t="s">
        <v>184</v>
      </c>
      <c r="I2029" s="16" t="s">
        <v>61</v>
      </c>
    </row>
    <row r="2030" spans="2:9" x14ac:dyDescent="0.25">
      <c r="B2030" s="16" t="s">
        <v>22</v>
      </c>
      <c r="C2030" s="17">
        <v>45134</v>
      </c>
      <c r="D2030" s="16">
        <v>997619</v>
      </c>
      <c r="E2030" s="16">
        <v>10263</v>
      </c>
      <c r="F2030" s="18" t="s">
        <v>34</v>
      </c>
      <c r="G2030" s="16" t="s">
        <v>16</v>
      </c>
      <c r="H2030" s="16" t="s">
        <v>36</v>
      </c>
      <c r="I2030" s="16" t="s">
        <v>61</v>
      </c>
    </row>
    <row r="2031" spans="2:9" x14ac:dyDescent="0.25">
      <c r="B2031" s="16" t="s">
        <v>22</v>
      </c>
      <c r="C2031" s="17">
        <v>45134</v>
      </c>
      <c r="D2031" s="16">
        <v>35015</v>
      </c>
      <c r="E2031" s="16">
        <v>1047</v>
      </c>
      <c r="F2031" s="18" t="s">
        <v>346</v>
      </c>
      <c r="G2031" s="16" t="s">
        <v>343</v>
      </c>
      <c r="H2031" s="16" t="s">
        <v>186</v>
      </c>
      <c r="I2031" s="16" t="s">
        <v>61</v>
      </c>
    </row>
    <row r="2032" spans="2:9" x14ac:dyDescent="0.25">
      <c r="B2032" s="16" t="s">
        <v>22</v>
      </c>
      <c r="C2032" s="17">
        <v>45134</v>
      </c>
      <c r="D2032" s="16">
        <v>12431</v>
      </c>
      <c r="E2032" s="16">
        <v>13086</v>
      </c>
      <c r="F2032" s="18" t="s">
        <v>354</v>
      </c>
      <c r="G2032" s="16" t="s">
        <v>343</v>
      </c>
      <c r="H2032" s="16" t="s">
        <v>71</v>
      </c>
      <c r="I2032" s="16" t="s">
        <v>17</v>
      </c>
    </row>
    <row r="2033" spans="2:9" x14ac:dyDescent="0.25">
      <c r="B2033" s="16" t="s">
        <v>22</v>
      </c>
      <c r="C2033" s="17">
        <v>45134</v>
      </c>
      <c r="D2033" s="16">
        <v>19534</v>
      </c>
      <c r="E2033" s="16">
        <v>13086</v>
      </c>
      <c r="F2033" s="18" t="s">
        <v>354</v>
      </c>
      <c r="G2033" s="16" t="s">
        <v>343</v>
      </c>
      <c r="H2033" s="16" t="s">
        <v>71</v>
      </c>
      <c r="I2033" s="16" t="s">
        <v>17</v>
      </c>
    </row>
    <row r="2034" spans="2:9" x14ac:dyDescent="0.25">
      <c r="B2034" s="16" t="s">
        <v>22</v>
      </c>
      <c r="C2034" s="17">
        <v>45134</v>
      </c>
      <c r="D2034" s="16">
        <v>2395088</v>
      </c>
      <c r="E2034" s="16">
        <v>8252</v>
      </c>
      <c r="F2034" s="18" t="s">
        <v>286</v>
      </c>
      <c r="G2034" s="16" t="s">
        <v>52</v>
      </c>
      <c r="H2034" s="16" t="s">
        <v>71</v>
      </c>
      <c r="I2034" s="16" t="s">
        <v>17</v>
      </c>
    </row>
    <row r="2035" spans="2:9" x14ac:dyDescent="0.25">
      <c r="B2035" s="16" t="s">
        <v>22</v>
      </c>
      <c r="C2035" s="17">
        <v>45134</v>
      </c>
      <c r="D2035" s="16">
        <v>2395087</v>
      </c>
      <c r="E2035" s="16">
        <v>8252</v>
      </c>
      <c r="F2035" s="18" t="s">
        <v>286</v>
      </c>
      <c r="G2035" s="16" t="s">
        <v>52</v>
      </c>
      <c r="H2035" s="16" t="s">
        <v>71</v>
      </c>
      <c r="I2035" s="16" t="s">
        <v>17</v>
      </c>
    </row>
    <row r="2036" spans="2:9" x14ac:dyDescent="0.25">
      <c r="B2036" s="16" t="s">
        <v>22</v>
      </c>
      <c r="C2036" s="17">
        <v>45134</v>
      </c>
      <c r="D2036" s="16">
        <v>2395086</v>
      </c>
      <c r="E2036" s="16">
        <v>8252</v>
      </c>
      <c r="F2036" s="18" t="s">
        <v>286</v>
      </c>
      <c r="G2036" s="16" t="s">
        <v>52</v>
      </c>
      <c r="H2036" s="16" t="s">
        <v>71</v>
      </c>
      <c r="I2036" s="16" t="s">
        <v>17</v>
      </c>
    </row>
    <row r="2037" spans="2:9" x14ac:dyDescent="0.25">
      <c r="B2037" s="16" t="s">
        <v>33</v>
      </c>
      <c r="C2037" s="17">
        <v>45134</v>
      </c>
      <c r="D2037" s="16">
        <v>279931</v>
      </c>
      <c r="E2037" s="16">
        <v>37945</v>
      </c>
      <c r="F2037" s="18" t="s">
        <v>166</v>
      </c>
      <c r="G2037" s="16" t="s">
        <v>341</v>
      </c>
      <c r="H2037" s="16" t="s">
        <v>71</v>
      </c>
      <c r="I2037" s="16" t="s">
        <v>17</v>
      </c>
    </row>
    <row r="2038" spans="2:9" x14ac:dyDescent="0.25">
      <c r="B2038" s="16" t="s">
        <v>33</v>
      </c>
      <c r="C2038" s="17">
        <v>45134</v>
      </c>
      <c r="D2038" s="16">
        <v>279928</v>
      </c>
      <c r="E2038" s="16">
        <v>37945</v>
      </c>
      <c r="F2038" s="18" t="s">
        <v>166</v>
      </c>
      <c r="G2038" s="16" t="s">
        <v>341</v>
      </c>
      <c r="H2038" s="16" t="s">
        <v>71</v>
      </c>
      <c r="I2038" s="16" t="s">
        <v>17</v>
      </c>
    </row>
    <row r="2039" spans="2:9" x14ac:dyDescent="0.25">
      <c r="B2039" s="16" t="s">
        <v>33</v>
      </c>
      <c r="C2039" s="17">
        <v>45134</v>
      </c>
      <c r="D2039" s="16">
        <v>279929</v>
      </c>
      <c r="E2039" s="16">
        <v>37945</v>
      </c>
      <c r="F2039" s="18" t="s">
        <v>166</v>
      </c>
      <c r="G2039" s="16" t="s">
        <v>343</v>
      </c>
      <c r="H2039" s="16" t="s">
        <v>71</v>
      </c>
      <c r="I2039" s="16" t="s">
        <v>17</v>
      </c>
    </row>
    <row r="2040" spans="2:9" x14ac:dyDescent="0.25">
      <c r="B2040" s="16" t="s">
        <v>33</v>
      </c>
      <c r="C2040" s="17">
        <v>45134</v>
      </c>
      <c r="D2040" s="16">
        <v>279930</v>
      </c>
      <c r="E2040" s="16">
        <v>37945</v>
      </c>
      <c r="F2040" s="18" t="s">
        <v>166</v>
      </c>
      <c r="G2040" s="16" t="s">
        <v>343</v>
      </c>
      <c r="H2040" s="16" t="s">
        <v>71</v>
      </c>
      <c r="I2040" s="16" t="s">
        <v>17</v>
      </c>
    </row>
    <row r="2041" spans="2:9" x14ac:dyDescent="0.25">
      <c r="B2041" s="16" t="s">
        <v>33</v>
      </c>
      <c r="C2041" s="17">
        <v>45134</v>
      </c>
      <c r="D2041" s="16">
        <v>279927</v>
      </c>
      <c r="E2041" s="16">
        <v>37945</v>
      </c>
      <c r="F2041" s="18" t="s">
        <v>166</v>
      </c>
      <c r="G2041" s="16" t="s">
        <v>343</v>
      </c>
      <c r="H2041" s="16" t="s">
        <v>71</v>
      </c>
      <c r="I2041" s="16" t="s">
        <v>17</v>
      </c>
    </row>
    <row r="2042" spans="2:9" x14ac:dyDescent="0.25">
      <c r="B2042" s="16" t="s">
        <v>40</v>
      </c>
      <c r="C2042" s="17">
        <v>45135</v>
      </c>
      <c r="D2042" s="16">
        <v>888392</v>
      </c>
      <c r="E2042" s="16">
        <v>1019</v>
      </c>
      <c r="F2042" s="16" t="s">
        <v>158</v>
      </c>
      <c r="G2042" s="16" t="s">
        <v>341</v>
      </c>
      <c r="H2042" s="16" t="s">
        <v>31</v>
      </c>
      <c r="I2042" s="16" t="s">
        <v>132</v>
      </c>
    </row>
    <row r="2043" spans="2:9" x14ac:dyDescent="0.25">
      <c r="B2043" s="16" t="s">
        <v>40</v>
      </c>
      <c r="C2043" s="17">
        <v>45135</v>
      </c>
      <c r="D2043" s="16">
        <v>120565</v>
      </c>
      <c r="E2043" s="16">
        <v>11604</v>
      </c>
      <c r="F2043" s="16" t="s">
        <v>63</v>
      </c>
      <c r="G2043" s="16" t="s">
        <v>262</v>
      </c>
      <c r="H2043" s="16" t="s">
        <v>38</v>
      </c>
      <c r="I2043" s="16" t="s">
        <v>17</v>
      </c>
    </row>
    <row r="2044" spans="2:9" x14ac:dyDescent="0.25">
      <c r="B2044" s="16" t="s">
        <v>40</v>
      </c>
      <c r="C2044" s="17">
        <v>45135</v>
      </c>
      <c r="D2044" s="16">
        <v>167464</v>
      </c>
      <c r="E2044" s="16">
        <v>12613</v>
      </c>
      <c r="F2044" s="16" t="s">
        <v>371</v>
      </c>
      <c r="G2044" s="16" t="s">
        <v>342</v>
      </c>
      <c r="H2044" s="16" t="s">
        <v>36</v>
      </c>
      <c r="I2044" s="16" t="s">
        <v>61</v>
      </c>
    </row>
    <row r="2045" spans="2:9" x14ac:dyDescent="0.25">
      <c r="B2045" s="16" t="s">
        <v>40</v>
      </c>
      <c r="C2045" s="17">
        <v>45135</v>
      </c>
      <c r="D2045" s="16">
        <v>100164</v>
      </c>
      <c r="E2045" s="16">
        <v>12522</v>
      </c>
      <c r="F2045" s="16" t="s">
        <v>390</v>
      </c>
      <c r="G2045" s="16" t="s">
        <v>4</v>
      </c>
      <c r="H2045" s="16" t="s">
        <v>220</v>
      </c>
      <c r="I2045" s="16" t="s">
        <v>61</v>
      </c>
    </row>
    <row r="2046" spans="2:9" x14ac:dyDescent="0.25">
      <c r="B2046" s="16" t="s">
        <v>40</v>
      </c>
      <c r="C2046" s="17">
        <v>45135</v>
      </c>
      <c r="D2046" s="16">
        <v>100165</v>
      </c>
      <c r="E2046" s="16">
        <v>12522</v>
      </c>
      <c r="F2046" s="16" t="s">
        <v>390</v>
      </c>
      <c r="G2046" s="16" t="s">
        <v>4</v>
      </c>
      <c r="H2046" s="16" t="s">
        <v>220</v>
      </c>
      <c r="I2046" s="16" t="s">
        <v>61</v>
      </c>
    </row>
    <row r="2047" spans="2:9" x14ac:dyDescent="0.25">
      <c r="B2047" s="16" t="s">
        <v>40</v>
      </c>
      <c r="C2047" s="17">
        <v>45135</v>
      </c>
      <c r="D2047" s="16">
        <v>266239</v>
      </c>
      <c r="E2047" s="16">
        <v>12899</v>
      </c>
      <c r="F2047" s="16" t="s">
        <v>204</v>
      </c>
      <c r="G2047" s="16" t="s">
        <v>334</v>
      </c>
      <c r="H2047" s="16" t="s">
        <v>75</v>
      </c>
      <c r="I2047" s="16" t="s">
        <v>17</v>
      </c>
    </row>
    <row r="2048" spans="2:9" x14ac:dyDescent="0.25">
      <c r="B2048" s="16" t="s">
        <v>33</v>
      </c>
      <c r="C2048" s="17">
        <v>45135</v>
      </c>
      <c r="D2048" s="16">
        <v>888438</v>
      </c>
      <c r="E2048" s="16">
        <v>1019</v>
      </c>
      <c r="F2048" s="16" t="s">
        <v>158</v>
      </c>
      <c r="G2048" s="16" t="s">
        <v>341</v>
      </c>
      <c r="H2048" s="16" t="s">
        <v>31</v>
      </c>
      <c r="I2048" s="16" t="s">
        <v>132</v>
      </c>
    </row>
    <row r="2049" spans="2:9" x14ac:dyDescent="0.25">
      <c r="B2049" s="16" t="s">
        <v>210</v>
      </c>
      <c r="C2049" s="17">
        <v>45135</v>
      </c>
      <c r="D2049" s="16">
        <v>888405</v>
      </c>
      <c r="E2049" s="16">
        <v>1019</v>
      </c>
      <c r="F2049" s="16" t="s">
        <v>158</v>
      </c>
      <c r="G2049" s="16" t="s">
        <v>341</v>
      </c>
      <c r="H2049" s="16" t="s">
        <v>31</v>
      </c>
      <c r="I2049" s="16" t="s">
        <v>132</v>
      </c>
    </row>
    <row r="2050" spans="2:9" x14ac:dyDescent="0.25">
      <c r="B2050" s="16" t="s">
        <v>26</v>
      </c>
      <c r="C2050" s="17">
        <v>45135</v>
      </c>
      <c r="D2050" s="16">
        <v>888435</v>
      </c>
      <c r="E2050" s="16">
        <v>1019</v>
      </c>
      <c r="F2050" s="16" t="s">
        <v>158</v>
      </c>
      <c r="G2050" s="16" t="s">
        <v>341</v>
      </c>
      <c r="H2050" s="16" t="s">
        <v>31</v>
      </c>
      <c r="I2050" s="16" t="s">
        <v>132</v>
      </c>
    </row>
    <row r="2051" spans="2:9" x14ac:dyDescent="0.25">
      <c r="B2051" s="16" t="s">
        <v>33</v>
      </c>
      <c r="C2051" s="17">
        <v>45135</v>
      </c>
      <c r="D2051" s="16">
        <v>120568</v>
      </c>
      <c r="E2051" s="16">
        <v>11604</v>
      </c>
      <c r="F2051" s="16" t="s">
        <v>63</v>
      </c>
      <c r="G2051" s="16" t="s">
        <v>262</v>
      </c>
      <c r="H2051" s="16" t="s">
        <v>38</v>
      </c>
      <c r="I2051" s="16" t="s">
        <v>17</v>
      </c>
    </row>
    <row r="2052" spans="2:9" x14ac:dyDescent="0.25">
      <c r="B2052" s="16" t="s">
        <v>40</v>
      </c>
      <c r="C2052" s="17">
        <v>45135</v>
      </c>
      <c r="D2052" s="16">
        <v>52902</v>
      </c>
      <c r="E2052" s="16">
        <v>9462</v>
      </c>
      <c r="F2052" s="16" t="s">
        <v>391</v>
      </c>
      <c r="G2052" s="16" t="s">
        <v>334</v>
      </c>
      <c r="H2052" s="16" t="s">
        <v>38</v>
      </c>
      <c r="I2052" s="16" t="s">
        <v>17</v>
      </c>
    </row>
    <row r="2053" spans="2:9" x14ac:dyDescent="0.25">
      <c r="B2053" s="16" t="s">
        <v>2</v>
      </c>
      <c r="C2053" s="17">
        <v>45135</v>
      </c>
      <c r="D2053" s="16">
        <v>888413</v>
      </c>
      <c r="E2053" s="16">
        <v>1019</v>
      </c>
      <c r="F2053" s="16" t="s">
        <v>158</v>
      </c>
      <c r="G2053" s="16" t="s">
        <v>341</v>
      </c>
      <c r="H2053" s="16" t="s">
        <v>31</v>
      </c>
      <c r="I2053" s="16" t="s">
        <v>132</v>
      </c>
    </row>
    <row r="2054" spans="2:9" x14ac:dyDescent="0.25">
      <c r="B2054" s="16" t="s">
        <v>33</v>
      </c>
      <c r="C2054" s="17">
        <v>45135</v>
      </c>
      <c r="D2054" s="16">
        <v>384125</v>
      </c>
      <c r="E2054" s="16">
        <v>5895</v>
      </c>
      <c r="F2054" s="16" t="s">
        <v>214</v>
      </c>
      <c r="G2054" s="16" t="s">
        <v>52</v>
      </c>
      <c r="H2054" s="16" t="s">
        <v>304</v>
      </c>
      <c r="I2054" s="16" t="s">
        <v>232</v>
      </c>
    </row>
    <row r="2055" spans="2:9" x14ac:dyDescent="0.25">
      <c r="B2055" s="16" t="s">
        <v>33</v>
      </c>
      <c r="C2055" s="17">
        <v>45135</v>
      </c>
      <c r="D2055" s="16">
        <v>384126</v>
      </c>
      <c r="E2055" s="16">
        <v>5895</v>
      </c>
      <c r="F2055" s="16" t="s">
        <v>214</v>
      </c>
      <c r="G2055" s="16" t="s">
        <v>52</v>
      </c>
      <c r="H2055" s="16" t="s">
        <v>304</v>
      </c>
      <c r="I2055" s="16" t="s">
        <v>232</v>
      </c>
    </row>
    <row r="2056" spans="2:9" x14ac:dyDescent="0.25">
      <c r="B2056" s="16" t="s">
        <v>33</v>
      </c>
      <c r="C2056" s="17">
        <v>45135</v>
      </c>
      <c r="D2056" s="16">
        <v>384127</v>
      </c>
      <c r="E2056" s="16">
        <v>5895</v>
      </c>
      <c r="F2056" s="16" t="s">
        <v>214</v>
      </c>
      <c r="G2056" s="16" t="s">
        <v>52</v>
      </c>
      <c r="H2056" s="16" t="s">
        <v>304</v>
      </c>
      <c r="I2056" s="16" t="s">
        <v>232</v>
      </c>
    </row>
    <row r="2057" spans="2:9" x14ac:dyDescent="0.25">
      <c r="B2057" s="16" t="s">
        <v>33</v>
      </c>
      <c r="C2057" s="17">
        <v>45135</v>
      </c>
      <c r="D2057" s="16">
        <v>384132</v>
      </c>
      <c r="E2057" s="16">
        <v>5895</v>
      </c>
      <c r="F2057" s="16" t="s">
        <v>214</v>
      </c>
      <c r="G2057" s="16" t="s">
        <v>52</v>
      </c>
      <c r="H2057" s="16" t="s">
        <v>304</v>
      </c>
      <c r="I2057" s="16" t="s">
        <v>232</v>
      </c>
    </row>
    <row r="2058" spans="2:9" x14ac:dyDescent="0.25">
      <c r="B2058" s="16" t="s">
        <v>33</v>
      </c>
      <c r="C2058" s="17">
        <v>45135</v>
      </c>
      <c r="D2058" s="16">
        <v>384133</v>
      </c>
      <c r="E2058" s="16">
        <v>5895</v>
      </c>
      <c r="F2058" s="16" t="s">
        <v>214</v>
      </c>
      <c r="G2058" s="16" t="s">
        <v>52</v>
      </c>
      <c r="H2058" s="16" t="s">
        <v>304</v>
      </c>
      <c r="I2058" s="16" t="s">
        <v>232</v>
      </c>
    </row>
    <row r="2059" spans="2:9" x14ac:dyDescent="0.25">
      <c r="B2059" s="16" t="s">
        <v>22</v>
      </c>
      <c r="C2059" s="17">
        <v>45135</v>
      </c>
      <c r="D2059" s="16">
        <v>120575</v>
      </c>
      <c r="E2059" s="16">
        <v>11604</v>
      </c>
      <c r="F2059" s="16" t="s">
        <v>63</v>
      </c>
      <c r="G2059" s="16" t="s">
        <v>262</v>
      </c>
      <c r="H2059" s="16" t="s">
        <v>38</v>
      </c>
      <c r="I2059" s="16" t="s">
        <v>17</v>
      </c>
    </row>
    <row r="2060" spans="2:9" x14ac:dyDescent="0.25">
      <c r="B2060" s="16" t="s">
        <v>22</v>
      </c>
      <c r="C2060" s="17">
        <v>45135</v>
      </c>
      <c r="D2060" s="16">
        <v>888423</v>
      </c>
      <c r="E2060" s="16">
        <v>1019</v>
      </c>
      <c r="F2060" s="16" t="s">
        <v>158</v>
      </c>
      <c r="G2060" s="16" t="s">
        <v>341</v>
      </c>
      <c r="H2060" s="16" t="s">
        <v>36</v>
      </c>
      <c r="I2060" s="16" t="s">
        <v>132</v>
      </c>
    </row>
    <row r="2061" spans="2:9" x14ac:dyDescent="0.25">
      <c r="B2061" s="16" t="s">
        <v>26</v>
      </c>
      <c r="C2061" s="17">
        <v>45135</v>
      </c>
      <c r="D2061" s="16">
        <v>792463</v>
      </c>
      <c r="E2061" s="16">
        <v>9794</v>
      </c>
      <c r="F2061" s="16" t="s">
        <v>360</v>
      </c>
      <c r="G2061" s="16" t="s">
        <v>16</v>
      </c>
      <c r="H2061" s="16" t="s">
        <v>190</v>
      </c>
      <c r="I2061" s="16" t="s">
        <v>17</v>
      </c>
    </row>
    <row r="2062" spans="2:9" x14ac:dyDescent="0.25">
      <c r="B2062" s="16" t="s">
        <v>26</v>
      </c>
      <c r="C2062" s="17">
        <v>45135</v>
      </c>
      <c r="D2062" s="16">
        <v>792462</v>
      </c>
      <c r="E2062" s="16">
        <v>9794</v>
      </c>
      <c r="F2062" s="16" t="s">
        <v>360</v>
      </c>
      <c r="G2062" s="16" t="s">
        <v>16</v>
      </c>
      <c r="H2062" s="16" t="s">
        <v>190</v>
      </c>
      <c r="I2062" s="16" t="s">
        <v>17</v>
      </c>
    </row>
    <row r="2063" spans="2:9" x14ac:dyDescent="0.25">
      <c r="B2063" s="16" t="s">
        <v>33</v>
      </c>
      <c r="C2063" s="17">
        <v>45135</v>
      </c>
      <c r="D2063" s="16">
        <v>199049</v>
      </c>
      <c r="E2063" s="16">
        <v>15977</v>
      </c>
      <c r="F2063" s="16" t="s">
        <v>392</v>
      </c>
      <c r="G2063" s="16" t="s">
        <v>5</v>
      </c>
      <c r="H2063" s="16" t="s">
        <v>46</v>
      </c>
      <c r="I2063" s="16" t="s">
        <v>17</v>
      </c>
    </row>
    <row r="2064" spans="2:9" x14ac:dyDescent="0.25">
      <c r="B2064" s="16" t="s">
        <v>210</v>
      </c>
      <c r="C2064" s="17">
        <v>45135</v>
      </c>
      <c r="D2064" s="16">
        <v>792455</v>
      </c>
      <c r="E2064" s="16">
        <v>9794</v>
      </c>
      <c r="F2064" s="16" t="s">
        <v>360</v>
      </c>
      <c r="G2064" s="16" t="s">
        <v>16</v>
      </c>
      <c r="H2064" s="16" t="s">
        <v>41</v>
      </c>
      <c r="I2064" s="16" t="s">
        <v>17</v>
      </c>
    </row>
    <row r="2065" spans="2:9" x14ac:dyDescent="0.25">
      <c r="B2065" s="16" t="s">
        <v>210</v>
      </c>
      <c r="C2065" s="17">
        <v>45135</v>
      </c>
      <c r="D2065" s="16">
        <v>792454</v>
      </c>
      <c r="E2065" s="16">
        <v>9794</v>
      </c>
      <c r="F2065" s="16" t="s">
        <v>360</v>
      </c>
      <c r="G2065" s="16" t="s">
        <v>16</v>
      </c>
      <c r="H2065" s="16" t="s">
        <v>41</v>
      </c>
      <c r="I2065" s="16" t="s">
        <v>17</v>
      </c>
    </row>
    <row r="2066" spans="2:9" x14ac:dyDescent="0.25">
      <c r="B2066" s="16" t="s">
        <v>2</v>
      </c>
      <c r="C2066" s="17">
        <v>45135</v>
      </c>
      <c r="D2066" s="16">
        <v>792438</v>
      </c>
      <c r="E2066" s="16">
        <v>9794</v>
      </c>
      <c r="F2066" s="16" t="s">
        <v>360</v>
      </c>
      <c r="G2066" s="16" t="s">
        <v>16</v>
      </c>
      <c r="H2066" s="16" t="s">
        <v>41</v>
      </c>
      <c r="I2066" s="16" t="s">
        <v>17</v>
      </c>
    </row>
    <row r="2067" spans="2:9" x14ac:dyDescent="0.25">
      <c r="B2067" s="16" t="s">
        <v>2</v>
      </c>
      <c r="C2067" s="17">
        <v>45135</v>
      </c>
      <c r="D2067" s="16">
        <v>792439</v>
      </c>
      <c r="E2067" s="16">
        <v>9794</v>
      </c>
      <c r="F2067" s="16" t="s">
        <v>360</v>
      </c>
      <c r="G2067" s="16" t="s">
        <v>16</v>
      </c>
      <c r="H2067" s="16" t="s">
        <v>41</v>
      </c>
      <c r="I2067" s="16" t="s">
        <v>17</v>
      </c>
    </row>
    <row r="2068" spans="2:9" x14ac:dyDescent="0.25">
      <c r="B2068" s="16" t="s">
        <v>33</v>
      </c>
      <c r="C2068" s="17">
        <v>45135</v>
      </c>
      <c r="D2068" s="16">
        <v>792542</v>
      </c>
      <c r="E2068" s="16">
        <v>9794</v>
      </c>
      <c r="F2068" s="16" t="s">
        <v>360</v>
      </c>
      <c r="G2068" s="16" t="s">
        <v>5</v>
      </c>
      <c r="H2068" s="16" t="s">
        <v>190</v>
      </c>
      <c r="I2068" s="16" t="s">
        <v>17</v>
      </c>
    </row>
    <row r="2069" spans="2:9" x14ac:dyDescent="0.25">
      <c r="B2069" s="16" t="s">
        <v>33</v>
      </c>
      <c r="C2069" s="17">
        <v>45135</v>
      </c>
      <c r="D2069" s="16">
        <v>792543</v>
      </c>
      <c r="E2069" s="16">
        <v>9794</v>
      </c>
      <c r="F2069" s="16" t="s">
        <v>360</v>
      </c>
      <c r="G2069" s="16" t="s">
        <v>5</v>
      </c>
      <c r="H2069" s="16" t="s">
        <v>190</v>
      </c>
      <c r="I2069" s="16" t="s">
        <v>17</v>
      </c>
    </row>
    <row r="2070" spans="2:9" x14ac:dyDescent="0.25">
      <c r="B2070" s="16" t="s">
        <v>33</v>
      </c>
      <c r="C2070" s="17">
        <v>45136</v>
      </c>
      <c r="D2070" s="16">
        <v>120615</v>
      </c>
      <c r="E2070" s="16">
        <v>11604</v>
      </c>
      <c r="F2070" s="18" t="s">
        <v>63</v>
      </c>
      <c r="G2070" s="16" t="s">
        <v>262</v>
      </c>
      <c r="H2070" s="16" t="s">
        <v>38</v>
      </c>
      <c r="I2070" s="16" t="s">
        <v>17</v>
      </c>
    </row>
    <row r="2071" spans="2:9" x14ac:dyDescent="0.25">
      <c r="B2071" s="16" t="s">
        <v>210</v>
      </c>
      <c r="C2071" s="17">
        <v>45138</v>
      </c>
      <c r="D2071" s="16">
        <v>60470</v>
      </c>
      <c r="E2071" s="16">
        <v>11787</v>
      </c>
      <c r="F2071" s="18" t="s">
        <v>244</v>
      </c>
      <c r="G2071" s="16" t="s">
        <v>334</v>
      </c>
      <c r="H2071" s="16" t="s">
        <v>28</v>
      </c>
      <c r="I2071" s="16" t="s">
        <v>335</v>
      </c>
    </row>
    <row r="2072" spans="2:9" x14ac:dyDescent="0.25">
      <c r="B2072" s="16" t="s">
        <v>210</v>
      </c>
      <c r="C2072" s="17">
        <v>45138</v>
      </c>
      <c r="D2072" s="16">
        <v>888945</v>
      </c>
      <c r="E2072" s="16">
        <v>1019</v>
      </c>
      <c r="F2072" s="18" t="s">
        <v>158</v>
      </c>
      <c r="G2072" s="16" t="s">
        <v>341</v>
      </c>
      <c r="H2072" s="16" t="s">
        <v>28</v>
      </c>
      <c r="I2072" s="16" t="s">
        <v>73</v>
      </c>
    </row>
    <row r="2073" spans="2:9" x14ac:dyDescent="0.25">
      <c r="B2073" s="16" t="s">
        <v>210</v>
      </c>
      <c r="C2073" s="17">
        <v>45138</v>
      </c>
      <c r="D2073" s="16">
        <v>888946</v>
      </c>
      <c r="E2073" s="16">
        <v>1019</v>
      </c>
      <c r="F2073" s="18" t="s">
        <v>158</v>
      </c>
      <c r="G2073" s="16" t="s">
        <v>341</v>
      </c>
      <c r="H2073" s="16" t="s">
        <v>28</v>
      </c>
      <c r="I2073" s="16" t="s">
        <v>73</v>
      </c>
    </row>
    <row r="2074" spans="2:9" x14ac:dyDescent="0.25">
      <c r="B2074" s="16" t="s">
        <v>210</v>
      </c>
      <c r="C2074" s="17">
        <v>45138</v>
      </c>
      <c r="D2074" s="16">
        <v>307461</v>
      </c>
      <c r="E2074" s="16">
        <v>1135</v>
      </c>
      <c r="F2074" s="18" t="s">
        <v>205</v>
      </c>
      <c r="G2074" s="16" t="s">
        <v>52</v>
      </c>
      <c r="H2074" s="16" t="s">
        <v>28</v>
      </c>
      <c r="I2074" s="16" t="s">
        <v>73</v>
      </c>
    </row>
    <row r="2075" spans="2:9" x14ac:dyDescent="0.25">
      <c r="B2075" s="16" t="s">
        <v>210</v>
      </c>
      <c r="C2075" s="17">
        <v>45138</v>
      </c>
      <c r="D2075" s="16">
        <v>201367</v>
      </c>
      <c r="E2075" s="16">
        <v>1135</v>
      </c>
      <c r="F2075" s="18" t="s">
        <v>205</v>
      </c>
      <c r="G2075" s="16" t="s">
        <v>52</v>
      </c>
      <c r="H2075" s="16" t="s">
        <v>28</v>
      </c>
      <c r="I2075" s="16" t="s">
        <v>73</v>
      </c>
    </row>
    <row r="2076" spans="2:9" x14ac:dyDescent="0.25">
      <c r="B2076" s="16" t="s">
        <v>210</v>
      </c>
      <c r="C2076" s="17">
        <v>45138</v>
      </c>
      <c r="D2076" s="16">
        <v>307464</v>
      </c>
      <c r="E2076" s="16">
        <v>1135</v>
      </c>
      <c r="F2076" s="18" t="s">
        <v>205</v>
      </c>
      <c r="G2076" s="16" t="s">
        <v>52</v>
      </c>
      <c r="H2076" s="16" t="s">
        <v>28</v>
      </c>
      <c r="I2076" s="16" t="s">
        <v>73</v>
      </c>
    </row>
    <row r="2077" spans="2:9" x14ac:dyDescent="0.25">
      <c r="B2077" s="16" t="s">
        <v>210</v>
      </c>
      <c r="C2077" s="17">
        <v>45138</v>
      </c>
      <c r="D2077" s="16">
        <v>307463</v>
      </c>
      <c r="E2077" s="16">
        <v>1135</v>
      </c>
      <c r="F2077" s="18" t="s">
        <v>205</v>
      </c>
      <c r="G2077" s="16" t="s">
        <v>52</v>
      </c>
      <c r="H2077" s="16" t="s">
        <v>28</v>
      </c>
      <c r="I2077" s="16" t="s">
        <v>73</v>
      </c>
    </row>
    <row r="2078" spans="2:9" x14ac:dyDescent="0.25">
      <c r="B2078" s="16" t="s">
        <v>210</v>
      </c>
      <c r="C2078" s="17">
        <v>45138</v>
      </c>
      <c r="D2078" s="16">
        <v>201366</v>
      </c>
      <c r="E2078" s="16">
        <v>1135</v>
      </c>
      <c r="F2078" s="18" t="s">
        <v>205</v>
      </c>
      <c r="G2078" s="16" t="s">
        <v>52</v>
      </c>
      <c r="H2078" s="16" t="s">
        <v>28</v>
      </c>
      <c r="I2078" s="16" t="s">
        <v>73</v>
      </c>
    </row>
    <row r="2079" spans="2:9" x14ac:dyDescent="0.25">
      <c r="B2079" s="16" t="s">
        <v>210</v>
      </c>
      <c r="C2079" s="17">
        <v>45138</v>
      </c>
      <c r="D2079" s="16">
        <v>307462</v>
      </c>
      <c r="E2079" s="16">
        <v>1135</v>
      </c>
      <c r="F2079" s="18" t="s">
        <v>205</v>
      </c>
      <c r="G2079" s="16" t="s">
        <v>52</v>
      </c>
      <c r="H2079" s="16" t="s">
        <v>28</v>
      </c>
      <c r="I2079" s="16" t="s">
        <v>73</v>
      </c>
    </row>
    <row r="2080" spans="2:9" x14ac:dyDescent="0.25">
      <c r="B2080" s="16" t="s">
        <v>26</v>
      </c>
      <c r="C2080" s="17">
        <v>45138</v>
      </c>
      <c r="D2080" s="16">
        <v>1281730</v>
      </c>
      <c r="E2080" s="16">
        <v>9388</v>
      </c>
      <c r="F2080" s="18" t="s">
        <v>165</v>
      </c>
      <c r="G2080" s="16" t="s">
        <v>5</v>
      </c>
      <c r="H2080" s="16" t="s">
        <v>36</v>
      </c>
      <c r="I2080" s="16" t="s">
        <v>57</v>
      </c>
    </row>
    <row r="2081" spans="2:9" x14ac:dyDescent="0.25">
      <c r="B2081" s="16" t="s">
        <v>33</v>
      </c>
      <c r="C2081" s="17">
        <v>45138</v>
      </c>
      <c r="D2081" s="16">
        <v>848338</v>
      </c>
      <c r="E2081" s="16">
        <v>3438</v>
      </c>
      <c r="F2081" s="18" t="s">
        <v>200</v>
      </c>
      <c r="G2081" s="16" t="s">
        <v>5</v>
      </c>
      <c r="H2081" s="16" t="s">
        <v>184</v>
      </c>
      <c r="I2081" s="16" t="s">
        <v>61</v>
      </c>
    </row>
    <row r="2082" spans="2:9" x14ac:dyDescent="0.25">
      <c r="B2082" s="16" t="s">
        <v>33</v>
      </c>
      <c r="C2082" s="17">
        <v>45138</v>
      </c>
      <c r="D2082" s="16">
        <v>848340</v>
      </c>
      <c r="E2082" s="16">
        <v>3438</v>
      </c>
      <c r="F2082" s="18" t="s">
        <v>200</v>
      </c>
      <c r="G2082" s="16" t="s">
        <v>5</v>
      </c>
      <c r="H2082" s="16" t="s">
        <v>184</v>
      </c>
      <c r="I2082" s="16" t="s">
        <v>61</v>
      </c>
    </row>
    <row r="2083" spans="2:9" x14ac:dyDescent="0.25">
      <c r="B2083" s="16" t="s">
        <v>33</v>
      </c>
      <c r="C2083" s="17">
        <v>45138</v>
      </c>
      <c r="D2083" s="16">
        <v>848341</v>
      </c>
      <c r="E2083" s="16">
        <v>3438</v>
      </c>
      <c r="F2083" s="18" t="s">
        <v>200</v>
      </c>
      <c r="G2083" s="16" t="s">
        <v>341</v>
      </c>
      <c r="H2083" s="16" t="s">
        <v>184</v>
      </c>
      <c r="I2083" s="16" t="s">
        <v>61</v>
      </c>
    </row>
    <row r="2084" spans="2:9" x14ac:dyDescent="0.25">
      <c r="B2084" s="16" t="s">
        <v>33</v>
      </c>
      <c r="C2084" s="17">
        <v>45138</v>
      </c>
      <c r="D2084" s="16">
        <v>848339</v>
      </c>
      <c r="E2084" s="16">
        <v>3438</v>
      </c>
      <c r="F2084" s="18" t="s">
        <v>200</v>
      </c>
      <c r="G2084" s="16" t="s">
        <v>341</v>
      </c>
      <c r="H2084" s="16" t="s">
        <v>184</v>
      </c>
      <c r="I2084" s="16" t="s">
        <v>61</v>
      </c>
    </row>
    <row r="2085" spans="2:9" x14ac:dyDescent="0.25">
      <c r="B2085" s="16" t="s">
        <v>40</v>
      </c>
      <c r="C2085" s="17">
        <v>45138</v>
      </c>
      <c r="D2085" s="16">
        <v>4899408</v>
      </c>
      <c r="E2085" s="16">
        <v>9430</v>
      </c>
      <c r="F2085" s="18" t="s">
        <v>185</v>
      </c>
      <c r="G2085" s="16" t="s">
        <v>334</v>
      </c>
      <c r="H2085" s="16" t="s">
        <v>28</v>
      </c>
      <c r="I2085" s="16" t="s">
        <v>335</v>
      </c>
    </row>
    <row r="2086" spans="2:9" x14ac:dyDescent="0.25">
      <c r="B2086" s="16" t="s">
        <v>40</v>
      </c>
      <c r="C2086" s="17">
        <v>45138</v>
      </c>
      <c r="D2086" s="16">
        <v>4899409</v>
      </c>
      <c r="E2086" s="16">
        <v>9430</v>
      </c>
      <c r="F2086" s="18" t="s">
        <v>185</v>
      </c>
      <c r="G2086" s="16" t="s">
        <v>334</v>
      </c>
      <c r="H2086" s="16" t="s">
        <v>28</v>
      </c>
      <c r="I2086" s="16" t="s">
        <v>335</v>
      </c>
    </row>
    <row r="2087" spans="2:9" x14ac:dyDescent="0.25">
      <c r="B2087" s="16" t="s">
        <v>40</v>
      </c>
      <c r="C2087" s="17">
        <v>45138</v>
      </c>
      <c r="D2087" s="16">
        <v>4899410</v>
      </c>
      <c r="E2087" s="16">
        <v>9430</v>
      </c>
      <c r="F2087" s="18" t="s">
        <v>185</v>
      </c>
      <c r="G2087" s="16" t="s">
        <v>334</v>
      </c>
      <c r="H2087" s="16" t="s">
        <v>28</v>
      </c>
      <c r="I2087" s="16" t="s">
        <v>335</v>
      </c>
    </row>
    <row r="2088" spans="2:9" x14ac:dyDescent="0.25">
      <c r="B2088" s="16" t="s">
        <v>40</v>
      </c>
      <c r="C2088" s="17">
        <v>45138</v>
      </c>
      <c r="D2088" s="16">
        <v>4899411</v>
      </c>
      <c r="E2088" s="16">
        <v>9430</v>
      </c>
      <c r="F2088" s="18" t="s">
        <v>185</v>
      </c>
      <c r="G2088" s="16" t="s">
        <v>334</v>
      </c>
      <c r="H2088" s="16" t="s">
        <v>28</v>
      </c>
      <c r="I2088" s="16" t="s">
        <v>335</v>
      </c>
    </row>
    <row r="2089" spans="2:9" x14ac:dyDescent="0.25">
      <c r="B2089" s="16" t="s">
        <v>40</v>
      </c>
      <c r="C2089" s="17">
        <v>45138</v>
      </c>
      <c r="D2089" s="16">
        <v>4899413</v>
      </c>
      <c r="E2089" s="16">
        <v>9430</v>
      </c>
      <c r="F2089" s="18" t="s">
        <v>185</v>
      </c>
      <c r="G2089" s="16" t="s">
        <v>334</v>
      </c>
      <c r="H2089" s="16" t="s">
        <v>28</v>
      </c>
      <c r="I2089" s="16" t="s">
        <v>335</v>
      </c>
    </row>
    <row r="2090" spans="2:9" x14ac:dyDescent="0.25">
      <c r="B2090" s="16" t="s">
        <v>40</v>
      </c>
      <c r="C2090" s="17">
        <v>45138</v>
      </c>
      <c r="D2090" s="16">
        <v>4899414</v>
      </c>
      <c r="E2090" s="16">
        <v>9430</v>
      </c>
      <c r="F2090" s="18" t="s">
        <v>185</v>
      </c>
      <c r="G2090" s="16" t="s">
        <v>334</v>
      </c>
      <c r="H2090" s="16" t="s">
        <v>28</v>
      </c>
      <c r="I2090" s="16" t="s">
        <v>335</v>
      </c>
    </row>
    <row r="2091" spans="2:9" x14ac:dyDescent="0.25">
      <c r="B2091" s="16" t="s">
        <v>40</v>
      </c>
      <c r="C2091" s="17">
        <v>45138</v>
      </c>
      <c r="D2091" s="16">
        <v>4899416</v>
      </c>
      <c r="E2091" s="16">
        <v>9430</v>
      </c>
      <c r="F2091" s="18" t="s">
        <v>185</v>
      </c>
      <c r="G2091" s="16" t="s">
        <v>334</v>
      </c>
      <c r="H2091" s="16" t="s">
        <v>28</v>
      </c>
      <c r="I2091" s="16" t="s">
        <v>335</v>
      </c>
    </row>
    <row r="2092" spans="2:9" x14ac:dyDescent="0.25">
      <c r="B2092" s="16" t="s">
        <v>40</v>
      </c>
      <c r="C2092" s="17">
        <v>45138</v>
      </c>
      <c r="D2092" s="16">
        <v>4899418</v>
      </c>
      <c r="E2092" s="16">
        <v>9430</v>
      </c>
      <c r="F2092" s="18" t="s">
        <v>185</v>
      </c>
      <c r="G2092" s="16" t="s">
        <v>334</v>
      </c>
      <c r="H2092" s="16" t="s">
        <v>28</v>
      </c>
      <c r="I2092" s="16" t="s">
        <v>335</v>
      </c>
    </row>
    <row r="2093" spans="2:9" x14ac:dyDescent="0.25">
      <c r="B2093" s="16" t="s">
        <v>40</v>
      </c>
      <c r="C2093" s="17">
        <v>45138</v>
      </c>
      <c r="D2093" s="16">
        <v>60468</v>
      </c>
      <c r="E2093" s="16">
        <v>11787</v>
      </c>
      <c r="F2093" s="18" t="s">
        <v>244</v>
      </c>
      <c r="G2093" s="16" t="s">
        <v>334</v>
      </c>
      <c r="H2093" s="16" t="s">
        <v>28</v>
      </c>
      <c r="I2093" s="16" t="s">
        <v>335</v>
      </c>
    </row>
    <row r="2094" spans="2:9" x14ac:dyDescent="0.25">
      <c r="B2094" s="16" t="s">
        <v>40</v>
      </c>
      <c r="C2094" s="17">
        <v>45138</v>
      </c>
      <c r="D2094" s="16">
        <v>60469</v>
      </c>
      <c r="E2094" s="16">
        <v>11787</v>
      </c>
      <c r="F2094" s="18" t="s">
        <v>244</v>
      </c>
      <c r="G2094" s="16" t="s">
        <v>334</v>
      </c>
      <c r="H2094" s="16" t="s">
        <v>28</v>
      </c>
      <c r="I2094" s="16" t="s">
        <v>335</v>
      </c>
    </row>
    <row r="2095" spans="2:9" x14ac:dyDescent="0.25">
      <c r="B2095" s="16" t="s">
        <v>40</v>
      </c>
      <c r="C2095" s="17">
        <v>45138</v>
      </c>
      <c r="D2095" s="16">
        <v>184872</v>
      </c>
      <c r="E2095" s="16">
        <v>10440</v>
      </c>
      <c r="F2095" s="18" t="s">
        <v>37</v>
      </c>
      <c r="G2095" s="16" t="s">
        <v>342</v>
      </c>
      <c r="H2095" s="16" t="s">
        <v>36</v>
      </c>
      <c r="I2095" s="16" t="s">
        <v>61</v>
      </c>
    </row>
    <row r="2096" spans="2:9" x14ac:dyDescent="0.25">
      <c r="B2096" s="16" t="s">
        <v>40</v>
      </c>
      <c r="C2096" s="17">
        <v>45138</v>
      </c>
      <c r="D2096" s="16">
        <v>120643</v>
      </c>
      <c r="E2096" s="16">
        <v>11604</v>
      </c>
      <c r="F2096" s="18" t="s">
        <v>63</v>
      </c>
      <c r="G2096" s="16" t="s">
        <v>262</v>
      </c>
      <c r="H2096" s="16" t="s">
        <v>38</v>
      </c>
      <c r="I2096" s="16" t="s">
        <v>17</v>
      </c>
    </row>
    <row r="2097" spans="2:9" x14ac:dyDescent="0.25">
      <c r="B2097" s="16" t="s">
        <v>33</v>
      </c>
      <c r="C2097" s="17">
        <v>45138</v>
      </c>
      <c r="D2097" s="16">
        <v>888970</v>
      </c>
      <c r="E2097" s="16">
        <v>1019</v>
      </c>
      <c r="F2097" s="18" t="s">
        <v>158</v>
      </c>
      <c r="G2097" s="16" t="s">
        <v>341</v>
      </c>
      <c r="H2097" s="16" t="s">
        <v>28</v>
      </c>
      <c r="I2097" s="16" t="s">
        <v>61</v>
      </c>
    </row>
    <row r="2098" spans="2:9" x14ac:dyDescent="0.25">
      <c r="B2098" s="16" t="s">
        <v>33</v>
      </c>
      <c r="C2098" s="17">
        <v>45138</v>
      </c>
      <c r="D2098" s="16">
        <v>888969</v>
      </c>
      <c r="E2098" s="16">
        <v>1019</v>
      </c>
      <c r="F2098" s="18" t="s">
        <v>158</v>
      </c>
      <c r="G2098" s="16" t="s">
        <v>341</v>
      </c>
      <c r="H2098" s="16" t="s">
        <v>28</v>
      </c>
      <c r="I2098" s="16" t="s">
        <v>61</v>
      </c>
    </row>
    <row r="2099" spans="2:9" x14ac:dyDescent="0.25">
      <c r="B2099" s="16" t="s">
        <v>210</v>
      </c>
      <c r="C2099" s="17">
        <v>45138</v>
      </c>
      <c r="D2099" s="16">
        <v>4899412</v>
      </c>
      <c r="E2099" s="16">
        <v>9430</v>
      </c>
      <c r="F2099" s="18" t="s">
        <v>185</v>
      </c>
      <c r="G2099" s="16" t="s">
        <v>334</v>
      </c>
      <c r="H2099" s="16" t="s">
        <v>28</v>
      </c>
      <c r="I2099" s="16" t="s">
        <v>61</v>
      </c>
    </row>
    <row r="2100" spans="2:9" x14ac:dyDescent="0.25">
      <c r="B2100" s="16" t="s">
        <v>210</v>
      </c>
      <c r="C2100" s="17">
        <v>45138</v>
      </c>
      <c r="D2100" s="16">
        <v>4899415</v>
      </c>
      <c r="E2100" s="16">
        <v>9430</v>
      </c>
      <c r="F2100" s="18" t="s">
        <v>185</v>
      </c>
      <c r="G2100" s="16" t="s">
        <v>334</v>
      </c>
      <c r="H2100" s="16" t="s">
        <v>28</v>
      </c>
      <c r="I2100" s="16" t="s">
        <v>61</v>
      </c>
    </row>
    <row r="2101" spans="2:9" x14ac:dyDescent="0.25">
      <c r="B2101" s="16" t="s">
        <v>210</v>
      </c>
      <c r="C2101" s="17">
        <v>45138</v>
      </c>
      <c r="D2101" s="16">
        <v>4899417</v>
      </c>
      <c r="E2101" s="16">
        <v>9430</v>
      </c>
      <c r="F2101" s="18" t="s">
        <v>185</v>
      </c>
      <c r="G2101" s="16" t="s">
        <v>334</v>
      </c>
      <c r="H2101" s="16" t="s">
        <v>28</v>
      </c>
      <c r="I2101" s="16" t="s">
        <v>61</v>
      </c>
    </row>
    <row r="2102" spans="2:9" x14ac:dyDescent="0.25">
      <c r="B2102" s="16" t="s">
        <v>210</v>
      </c>
      <c r="C2102" s="17">
        <v>45138</v>
      </c>
      <c r="D2102" s="16">
        <v>4899419</v>
      </c>
      <c r="E2102" s="16">
        <v>9430</v>
      </c>
      <c r="F2102" s="18" t="s">
        <v>185</v>
      </c>
      <c r="G2102" s="16" t="s">
        <v>334</v>
      </c>
      <c r="H2102" s="16" t="s">
        <v>28</v>
      </c>
      <c r="I2102" s="16" t="s">
        <v>61</v>
      </c>
    </row>
    <row r="2103" spans="2:9" x14ac:dyDescent="0.25">
      <c r="B2103" s="16" t="s">
        <v>210</v>
      </c>
      <c r="C2103" s="17">
        <v>45138</v>
      </c>
      <c r="D2103" s="16">
        <v>4899420</v>
      </c>
      <c r="E2103" s="16">
        <v>9430</v>
      </c>
      <c r="F2103" s="18" t="s">
        <v>185</v>
      </c>
      <c r="G2103" s="16" t="s">
        <v>334</v>
      </c>
      <c r="H2103" s="16" t="s">
        <v>28</v>
      </c>
      <c r="I2103" s="16" t="s">
        <v>61</v>
      </c>
    </row>
    <row r="2104" spans="2:9" x14ac:dyDescent="0.25">
      <c r="B2104" s="16" t="s">
        <v>210</v>
      </c>
      <c r="C2104" s="17">
        <v>45138</v>
      </c>
      <c r="D2104" s="16">
        <v>4899421</v>
      </c>
      <c r="E2104" s="16">
        <v>9430</v>
      </c>
      <c r="F2104" s="18" t="s">
        <v>185</v>
      </c>
      <c r="G2104" s="16" t="s">
        <v>334</v>
      </c>
      <c r="H2104" s="16" t="s">
        <v>28</v>
      </c>
      <c r="I2104" s="16" t="s">
        <v>61</v>
      </c>
    </row>
    <row r="2105" spans="2:9" x14ac:dyDescent="0.25">
      <c r="B2105" s="16" t="s">
        <v>40</v>
      </c>
      <c r="C2105" s="17">
        <v>45138</v>
      </c>
      <c r="D2105" s="16"/>
      <c r="E2105" s="16">
        <v>11604</v>
      </c>
      <c r="F2105" s="18" t="s">
        <v>63</v>
      </c>
      <c r="G2105" s="16" t="s">
        <v>262</v>
      </c>
      <c r="H2105" s="16" t="s">
        <v>38</v>
      </c>
      <c r="I2105" s="16" t="s">
        <v>17</v>
      </c>
    </row>
    <row r="2106" spans="2:9" x14ac:dyDescent="0.25">
      <c r="B2106" s="16" t="s">
        <v>210</v>
      </c>
      <c r="C2106" s="17">
        <v>45138</v>
      </c>
      <c r="D2106" s="16">
        <v>4899422</v>
      </c>
      <c r="E2106" s="16">
        <v>9430</v>
      </c>
      <c r="F2106" s="18" t="s">
        <v>185</v>
      </c>
      <c r="G2106" s="16" t="s">
        <v>334</v>
      </c>
      <c r="H2106" s="16" t="s">
        <v>28</v>
      </c>
      <c r="I2106" s="16" t="s">
        <v>61</v>
      </c>
    </row>
    <row r="2107" spans="2:9" x14ac:dyDescent="0.25">
      <c r="B2107" s="16" t="s">
        <v>210</v>
      </c>
      <c r="C2107" s="17">
        <v>45138</v>
      </c>
      <c r="D2107" s="16">
        <v>4899423</v>
      </c>
      <c r="E2107" s="16">
        <v>9430</v>
      </c>
      <c r="F2107" s="18" t="s">
        <v>185</v>
      </c>
      <c r="G2107" s="16" t="s">
        <v>334</v>
      </c>
      <c r="H2107" s="16" t="s">
        <v>28</v>
      </c>
      <c r="I2107" s="16" t="s">
        <v>61</v>
      </c>
    </row>
    <row r="2108" spans="2:9" x14ac:dyDescent="0.25">
      <c r="B2108" s="16" t="s">
        <v>210</v>
      </c>
      <c r="C2108" s="17">
        <v>45138</v>
      </c>
      <c r="D2108" s="16">
        <v>4899424</v>
      </c>
      <c r="E2108" s="16">
        <v>9430</v>
      </c>
      <c r="F2108" s="18" t="s">
        <v>185</v>
      </c>
      <c r="G2108" s="16" t="s">
        <v>334</v>
      </c>
      <c r="H2108" s="16" t="s">
        <v>28</v>
      </c>
      <c r="I2108" s="16" t="s">
        <v>61</v>
      </c>
    </row>
    <row r="2109" spans="2:9" x14ac:dyDescent="0.25">
      <c r="B2109" s="16" t="s">
        <v>210</v>
      </c>
      <c r="C2109" s="17">
        <v>45138</v>
      </c>
      <c r="D2109" s="16">
        <v>4899425</v>
      </c>
      <c r="E2109" s="16">
        <v>9430</v>
      </c>
      <c r="F2109" s="18" t="s">
        <v>185</v>
      </c>
      <c r="G2109" s="16" t="s">
        <v>334</v>
      </c>
      <c r="H2109" s="16" t="s">
        <v>28</v>
      </c>
      <c r="I2109" s="16" t="s">
        <v>61</v>
      </c>
    </row>
    <row r="2110" spans="2:9" x14ac:dyDescent="0.25">
      <c r="B2110" s="16" t="s">
        <v>210</v>
      </c>
      <c r="C2110" s="17">
        <v>45138</v>
      </c>
      <c r="D2110" s="16">
        <v>4899426</v>
      </c>
      <c r="E2110" s="16">
        <v>9430</v>
      </c>
      <c r="F2110" s="18" t="s">
        <v>185</v>
      </c>
      <c r="G2110" s="16" t="s">
        <v>334</v>
      </c>
      <c r="H2110" s="16" t="s">
        <v>28</v>
      </c>
      <c r="I2110" s="16" t="s">
        <v>61</v>
      </c>
    </row>
    <row r="2111" spans="2:9" x14ac:dyDescent="0.25">
      <c r="B2111" s="16" t="s">
        <v>210</v>
      </c>
      <c r="C2111" s="17">
        <v>45138</v>
      </c>
      <c r="D2111" s="16">
        <v>4899427</v>
      </c>
      <c r="E2111" s="16">
        <v>9430</v>
      </c>
      <c r="F2111" s="18" t="s">
        <v>185</v>
      </c>
      <c r="G2111" s="16" t="s">
        <v>334</v>
      </c>
      <c r="H2111" s="16" t="s">
        <v>28</v>
      </c>
      <c r="I2111" s="16" t="s">
        <v>61</v>
      </c>
    </row>
    <row r="2112" spans="2:9" x14ac:dyDescent="0.25">
      <c r="B2112" s="16" t="s">
        <v>210</v>
      </c>
      <c r="C2112" s="17">
        <v>45138</v>
      </c>
      <c r="D2112" s="16">
        <v>4899428</v>
      </c>
      <c r="E2112" s="16">
        <v>9430</v>
      </c>
      <c r="F2112" s="18" t="s">
        <v>185</v>
      </c>
      <c r="G2112" s="16" t="s">
        <v>334</v>
      </c>
      <c r="H2112" s="16" t="s">
        <v>28</v>
      </c>
      <c r="I2112" s="16" t="s">
        <v>61</v>
      </c>
    </row>
    <row r="2113" spans="2:9" x14ac:dyDescent="0.25">
      <c r="B2113" s="16" t="s">
        <v>33</v>
      </c>
      <c r="C2113" s="17">
        <v>45138</v>
      </c>
      <c r="D2113" s="16">
        <v>998958</v>
      </c>
      <c r="E2113" s="16">
        <v>10263</v>
      </c>
      <c r="F2113" s="18" t="s">
        <v>34</v>
      </c>
      <c r="G2113" s="16" t="s">
        <v>16</v>
      </c>
      <c r="H2113" s="16" t="s">
        <v>36</v>
      </c>
      <c r="I2113" s="16" t="s">
        <v>61</v>
      </c>
    </row>
    <row r="2114" spans="2:9" x14ac:dyDescent="0.25">
      <c r="B2114" s="16" t="s">
        <v>33</v>
      </c>
      <c r="C2114" s="17">
        <v>45138</v>
      </c>
      <c r="D2114" s="16">
        <v>998963</v>
      </c>
      <c r="E2114" s="16">
        <v>10263</v>
      </c>
      <c r="F2114" s="18" t="s">
        <v>20</v>
      </c>
      <c r="G2114" s="16" t="s">
        <v>59</v>
      </c>
      <c r="H2114" s="16" t="s">
        <v>184</v>
      </c>
      <c r="I2114" s="16" t="s">
        <v>61</v>
      </c>
    </row>
    <row r="2115" spans="2:9" x14ac:dyDescent="0.25">
      <c r="B2115" s="16" t="s">
        <v>210</v>
      </c>
      <c r="C2115" s="17">
        <v>45138</v>
      </c>
      <c r="D2115" s="16">
        <v>992020</v>
      </c>
      <c r="E2115" s="16">
        <v>9434</v>
      </c>
      <c r="F2115" s="18" t="s">
        <v>23</v>
      </c>
      <c r="G2115" s="16" t="s">
        <v>334</v>
      </c>
      <c r="H2115" s="16" t="s">
        <v>36</v>
      </c>
      <c r="I2115" s="16" t="s">
        <v>61</v>
      </c>
    </row>
    <row r="2116" spans="2:9" x14ac:dyDescent="0.25">
      <c r="B2116" s="16" t="s">
        <v>210</v>
      </c>
      <c r="C2116" s="17">
        <v>45138</v>
      </c>
      <c r="D2116" s="16">
        <v>1154359</v>
      </c>
      <c r="E2116" s="16">
        <v>9516</v>
      </c>
      <c r="F2116" s="18" t="s">
        <v>110</v>
      </c>
      <c r="G2116" s="16" t="s">
        <v>334</v>
      </c>
      <c r="H2116" s="16" t="s">
        <v>190</v>
      </c>
      <c r="I2116" s="16" t="s">
        <v>17</v>
      </c>
    </row>
    <row r="2117" spans="2:9" x14ac:dyDescent="0.25">
      <c r="B2117" s="16" t="s">
        <v>40</v>
      </c>
      <c r="C2117" s="17">
        <v>45138</v>
      </c>
      <c r="D2117" s="16">
        <v>263803</v>
      </c>
      <c r="E2117" s="16">
        <v>70955</v>
      </c>
      <c r="F2117" s="18" t="s">
        <v>20</v>
      </c>
      <c r="G2117" s="16" t="s">
        <v>52</v>
      </c>
      <c r="H2117" s="16" t="s">
        <v>49</v>
      </c>
      <c r="I2117" s="16" t="s">
        <v>17</v>
      </c>
    </row>
    <row r="2118" spans="2:9" x14ac:dyDescent="0.25">
      <c r="B2118" s="16" t="s">
        <v>40</v>
      </c>
      <c r="C2118" s="17">
        <v>45138</v>
      </c>
      <c r="D2118" s="16">
        <v>263788</v>
      </c>
      <c r="E2118" s="16">
        <v>70955</v>
      </c>
      <c r="F2118" s="18" t="s">
        <v>20</v>
      </c>
      <c r="G2118" s="16" t="s">
        <v>52</v>
      </c>
      <c r="H2118" s="16" t="s">
        <v>49</v>
      </c>
      <c r="I2118" s="16" t="s">
        <v>17</v>
      </c>
    </row>
    <row r="2119" spans="2:9" x14ac:dyDescent="0.25">
      <c r="B2119" s="16" t="s">
        <v>40</v>
      </c>
      <c r="C2119" s="17">
        <v>45138</v>
      </c>
      <c r="D2119" s="16">
        <v>949685</v>
      </c>
      <c r="E2119" s="16">
        <v>9421</v>
      </c>
      <c r="F2119" s="18" t="s">
        <v>94</v>
      </c>
      <c r="G2119" s="16" t="s">
        <v>341</v>
      </c>
      <c r="H2119" s="16" t="s">
        <v>186</v>
      </c>
      <c r="I2119" s="16" t="s">
        <v>61</v>
      </c>
    </row>
    <row r="2120" spans="2:9" x14ac:dyDescent="0.25">
      <c r="B2120" s="16" t="s">
        <v>33</v>
      </c>
      <c r="C2120" s="17">
        <v>45138</v>
      </c>
      <c r="D2120" s="16">
        <v>184864</v>
      </c>
      <c r="E2120" s="16">
        <v>10440</v>
      </c>
      <c r="F2120" s="18" t="s">
        <v>37</v>
      </c>
      <c r="G2120" s="16" t="s">
        <v>342</v>
      </c>
      <c r="H2120" s="16" t="s">
        <v>38</v>
      </c>
      <c r="I2120" s="16" t="s">
        <v>61</v>
      </c>
    </row>
    <row r="2121" spans="2:9" x14ac:dyDescent="0.25">
      <c r="B2121" s="16" t="s">
        <v>210</v>
      </c>
      <c r="C2121" s="17">
        <v>45138</v>
      </c>
      <c r="D2121" s="16">
        <v>184868</v>
      </c>
      <c r="E2121" s="16">
        <v>10440</v>
      </c>
      <c r="F2121" s="18" t="s">
        <v>37</v>
      </c>
      <c r="G2121" s="16" t="s">
        <v>342</v>
      </c>
      <c r="H2121" s="16" t="s">
        <v>36</v>
      </c>
      <c r="I2121" s="16" t="s">
        <v>61</v>
      </c>
    </row>
    <row r="2122" spans="2:9" x14ac:dyDescent="0.25">
      <c r="B2122" s="16" t="s">
        <v>33</v>
      </c>
      <c r="C2122" s="17">
        <v>45138</v>
      </c>
      <c r="D2122" s="16">
        <v>8531159</v>
      </c>
      <c r="E2122" s="16">
        <v>9389</v>
      </c>
      <c r="F2122" s="18" t="s">
        <v>119</v>
      </c>
      <c r="G2122" s="16" t="s">
        <v>52</v>
      </c>
      <c r="H2122" s="16" t="s">
        <v>28</v>
      </c>
      <c r="I2122" s="16" t="s">
        <v>61</v>
      </c>
    </row>
    <row r="2123" spans="2:9" x14ac:dyDescent="0.25">
      <c r="B2123" s="16" t="s">
        <v>33</v>
      </c>
      <c r="C2123" s="17">
        <v>45138</v>
      </c>
      <c r="D2123" s="16">
        <v>8531158</v>
      </c>
      <c r="E2123" s="16">
        <v>9389</v>
      </c>
      <c r="F2123" s="18" t="s">
        <v>119</v>
      </c>
      <c r="G2123" s="16" t="s">
        <v>52</v>
      </c>
      <c r="H2123" s="16" t="s">
        <v>28</v>
      </c>
      <c r="I2123" s="16" t="s">
        <v>61</v>
      </c>
    </row>
    <row r="2124" spans="2:9" x14ac:dyDescent="0.25">
      <c r="B2124" s="16" t="s">
        <v>33</v>
      </c>
      <c r="C2124" s="17">
        <v>45138</v>
      </c>
      <c r="D2124" s="16">
        <v>8531160</v>
      </c>
      <c r="E2124" s="16">
        <v>9389</v>
      </c>
      <c r="F2124" s="18" t="s">
        <v>119</v>
      </c>
      <c r="G2124" s="16" t="s">
        <v>52</v>
      </c>
      <c r="H2124" s="16" t="s">
        <v>28</v>
      </c>
      <c r="I2124" s="16" t="s">
        <v>61</v>
      </c>
    </row>
    <row r="2125" spans="2:9" x14ac:dyDescent="0.25">
      <c r="B2125" s="16" t="s">
        <v>33</v>
      </c>
      <c r="C2125" s="17">
        <v>45138</v>
      </c>
      <c r="D2125" s="16">
        <v>949261</v>
      </c>
      <c r="E2125" s="16">
        <v>9421</v>
      </c>
      <c r="F2125" s="18" t="s">
        <v>94</v>
      </c>
      <c r="G2125" s="16" t="s">
        <v>341</v>
      </c>
      <c r="H2125" s="16" t="s">
        <v>184</v>
      </c>
      <c r="I2125" s="16" t="s">
        <v>61</v>
      </c>
    </row>
    <row r="2126" spans="2:9" x14ac:dyDescent="0.25">
      <c r="B2126" s="16" t="s">
        <v>210</v>
      </c>
      <c r="C2126" s="17">
        <v>45138</v>
      </c>
      <c r="D2126" s="16">
        <v>128734</v>
      </c>
      <c r="E2126" s="16">
        <v>9388</v>
      </c>
      <c r="F2126" s="18" t="s">
        <v>165</v>
      </c>
      <c r="G2126" s="16" t="s">
        <v>5</v>
      </c>
      <c r="H2126" s="16" t="s">
        <v>36</v>
      </c>
      <c r="I2126" s="16" t="s">
        <v>57</v>
      </c>
    </row>
    <row r="2127" spans="2:9" x14ac:dyDescent="0.25">
      <c r="B2127" s="16" t="s">
        <v>40</v>
      </c>
      <c r="C2127" s="17">
        <v>45138</v>
      </c>
      <c r="D2127" s="16">
        <v>185132</v>
      </c>
      <c r="E2127" s="16">
        <v>10440</v>
      </c>
      <c r="F2127" s="18" t="s">
        <v>37</v>
      </c>
      <c r="G2127" s="16" t="s">
        <v>334</v>
      </c>
      <c r="H2127" s="16" t="s">
        <v>184</v>
      </c>
      <c r="I2127" s="16" t="s">
        <v>61</v>
      </c>
    </row>
    <row r="2128" spans="2:9" x14ac:dyDescent="0.25">
      <c r="B2128" s="16" t="s">
        <v>40</v>
      </c>
      <c r="C2128" s="17">
        <v>45138</v>
      </c>
      <c r="D2128" s="16">
        <v>1281719</v>
      </c>
      <c r="E2128" s="16">
        <v>9388</v>
      </c>
      <c r="F2128" s="18" t="s">
        <v>165</v>
      </c>
      <c r="G2128" s="16" t="s">
        <v>5</v>
      </c>
      <c r="H2128" s="16" t="s">
        <v>36</v>
      </c>
      <c r="I2128" s="16" t="s">
        <v>57</v>
      </c>
    </row>
    <row r="2129" spans="2:9" x14ac:dyDescent="0.25">
      <c r="B2129" s="16" t="s">
        <v>40</v>
      </c>
      <c r="C2129" s="17">
        <v>45138</v>
      </c>
      <c r="D2129" s="16">
        <v>992014</v>
      </c>
      <c r="E2129" s="16">
        <v>9434</v>
      </c>
      <c r="F2129" s="18" t="s">
        <v>23</v>
      </c>
      <c r="G2129" s="16" t="s">
        <v>334</v>
      </c>
      <c r="H2129" s="16" t="s">
        <v>36</v>
      </c>
      <c r="I2129" s="16" t="s">
        <v>61</v>
      </c>
    </row>
    <row r="2130" spans="2:9" x14ac:dyDescent="0.25">
      <c r="B2130" s="16" t="s">
        <v>33</v>
      </c>
      <c r="C2130" s="17">
        <v>45138</v>
      </c>
      <c r="D2130" s="16">
        <v>949288</v>
      </c>
      <c r="E2130" s="16">
        <v>9421</v>
      </c>
      <c r="F2130" s="18" t="s">
        <v>94</v>
      </c>
      <c r="G2130" s="16" t="s">
        <v>341</v>
      </c>
      <c r="H2130" s="16" t="s">
        <v>184</v>
      </c>
      <c r="I2130" s="16" t="s">
        <v>61</v>
      </c>
    </row>
    <row r="2131" spans="2:9" x14ac:dyDescent="0.25">
      <c r="B2131" s="16" t="s">
        <v>40</v>
      </c>
      <c r="C2131" s="17">
        <v>45138</v>
      </c>
      <c r="D2131" s="16">
        <v>1205424</v>
      </c>
      <c r="E2131" s="16" t="s">
        <v>393</v>
      </c>
      <c r="F2131" s="18" t="s">
        <v>20</v>
      </c>
      <c r="G2131" s="16" t="s">
        <v>341</v>
      </c>
      <c r="H2131" s="16" t="s">
        <v>20</v>
      </c>
      <c r="I2131" s="16" t="s">
        <v>17</v>
      </c>
    </row>
    <row r="2132" spans="2:9" x14ac:dyDescent="0.25">
      <c r="B2132" s="16" t="s">
        <v>26</v>
      </c>
      <c r="C2132" s="17">
        <v>45138</v>
      </c>
      <c r="D2132" s="16">
        <v>1205426</v>
      </c>
      <c r="E2132" s="16" t="s">
        <v>20</v>
      </c>
      <c r="F2132" s="18" t="s">
        <v>20</v>
      </c>
      <c r="G2132" s="16" t="s">
        <v>341</v>
      </c>
      <c r="H2132" s="16" t="s">
        <v>184</v>
      </c>
      <c r="I2132" s="16" t="s">
        <v>61</v>
      </c>
    </row>
    <row r="2133" spans="2:9" x14ac:dyDescent="0.25">
      <c r="B2133" s="16" t="s">
        <v>26</v>
      </c>
      <c r="C2133" s="17">
        <v>45138</v>
      </c>
      <c r="D2133" s="16">
        <v>184851</v>
      </c>
      <c r="E2133" s="16">
        <v>10440</v>
      </c>
      <c r="F2133" s="18" t="s">
        <v>37</v>
      </c>
      <c r="G2133" s="16" t="s">
        <v>342</v>
      </c>
      <c r="H2133" s="16" t="s">
        <v>38</v>
      </c>
      <c r="I2133" s="16" t="s">
        <v>61</v>
      </c>
    </row>
    <row r="2134" spans="2:9" x14ac:dyDescent="0.25">
      <c r="B2134" s="16" t="s">
        <v>26</v>
      </c>
      <c r="C2134" s="17">
        <v>45138</v>
      </c>
      <c r="D2134" s="16">
        <v>1422926</v>
      </c>
      <c r="E2134" s="16">
        <v>13235</v>
      </c>
      <c r="F2134" s="18" t="s">
        <v>99</v>
      </c>
      <c r="G2134" s="16" t="s">
        <v>343</v>
      </c>
      <c r="H2134" s="16" t="s">
        <v>39</v>
      </c>
      <c r="I2134" s="16" t="s">
        <v>243</v>
      </c>
    </row>
    <row r="2135" spans="2:9" x14ac:dyDescent="0.25">
      <c r="B2135" s="16" t="s">
        <v>33</v>
      </c>
      <c r="C2135" s="17">
        <v>45138</v>
      </c>
      <c r="D2135" s="16">
        <v>1205427</v>
      </c>
      <c r="E2135" s="16" t="s">
        <v>393</v>
      </c>
      <c r="F2135" s="18" t="s">
        <v>20</v>
      </c>
      <c r="G2135" s="16" t="s">
        <v>341</v>
      </c>
      <c r="H2135" s="16" t="s">
        <v>20</v>
      </c>
      <c r="I2135" s="16" t="s">
        <v>17</v>
      </c>
    </row>
    <row r="2136" spans="2:9" x14ac:dyDescent="0.25">
      <c r="B2136" s="16" t="s">
        <v>33</v>
      </c>
      <c r="C2136" s="17">
        <v>45138</v>
      </c>
      <c r="D2136" s="16">
        <v>949287</v>
      </c>
      <c r="E2136" s="16">
        <v>9421</v>
      </c>
      <c r="F2136" s="18" t="s">
        <v>94</v>
      </c>
      <c r="G2136" s="16" t="s">
        <v>341</v>
      </c>
      <c r="H2136" s="16" t="s">
        <v>228</v>
      </c>
      <c r="I2136" s="16" t="s">
        <v>17</v>
      </c>
    </row>
    <row r="2137" spans="2:9" x14ac:dyDescent="0.25">
      <c r="B2137" s="16" t="s">
        <v>33</v>
      </c>
      <c r="C2137" s="17">
        <v>45138</v>
      </c>
      <c r="D2137" s="16">
        <v>35960</v>
      </c>
      <c r="E2137" s="16">
        <v>14980</v>
      </c>
      <c r="F2137" s="18" t="s">
        <v>394</v>
      </c>
      <c r="G2137" s="16" t="s">
        <v>16</v>
      </c>
      <c r="H2137" s="16" t="s">
        <v>46</v>
      </c>
      <c r="I2137" s="16" t="s">
        <v>51</v>
      </c>
    </row>
    <row r="2138" spans="2:9" x14ac:dyDescent="0.25">
      <c r="B2138" s="16" t="s">
        <v>33</v>
      </c>
      <c r="C2138" s="17">
        <v>45138</v>
      </c>
      <c r="D2138" s="16">
        <v>14864</v>
      </c>
      <c r="E2138" s="16">
        <v>14407</v>
      </c>
      <c r="F2138" s="18" t="s">
        <v>395</v>
      </c>
      <c r="G2138" s="16"/>
      <c r="H2138" s="16" t="s">
        <v>45</v>
      </c>
      <c r="I2138" s="16" t="s">
        <v>92</v>
      </c>
    </row>
    <row r="2139" spans="2:9" x14ac:dyDescent="0.25">
      <c r="B2139" s="16" t="s">
        <v>22</v>
      </c>
      <c r="C2139" s="17">
        <v>45138</v>
      </c>
      <c r="D2139" s="16">
        <v>949257</v>
      </c>
      <c r="E2139" s="16">
        <v>9421</v>
      </c>
      <c r="F2139" s="18" t="s">
        <v>94</v>
      </c>
      <c r="G2139" s="16" t="s">
        <v>341</v>
      </c>
      <c r="H2139" s="16" t="s">
        <v>186</v>
      </c>
      <c r="I2139" s="16" t="s">
        <v>61</v>
      </c>
    </row>
    <row r="2140" spans="2:9" x14ac:dyDescent="0.25">
      <c r="B2140" s="16" t="s">
        <v>22</v>
      </c>
      <c r="C2140" s="17">
        <v>45138</v>
      </c>
      <c r="D2140" s="16">
        <v>949283</v>
      </c>
      <c r="E2140" s="16">
        <v>9421</v>
      </c>
      <c r="F2140" s="18" t="s">
        <v>94</v>
      </c>
      <c r="G2140" s="16" t="s">
        <v>341</v>
      </c>
      <c r="H2140" s="16" t="s">
        <v>186</v>
      </c>
      <c r="I2140" s="16" t="s">
        <v>61</v>
      </c>
    </row>
    <row r="2141" spans="2:9" x14ac:dyDescent="0.25">
      <c r="B2141" s="16" t="s">
        <v>22</v>
      </c>
      <c r="C2141" s="17">
        <v>45138</v>
      </c>
      <c r="D2141" s="16">
        <v>1281226</v>
      </c>
      <c r="E2141" s="16">
        <v>9388</v>
      </c>
      <c r="F2141" s="18" t="s">
        <v>165</v>
      </c>
      <c r="G2141" s="16" t="s">
        <v>5</v>
      </c>
      <c r="H2141" s="16" t="s">
        <v>36</v>
      </c>
      <c r="I2141" s="16" t="s">
        <v>61</v>
      </c>
    </row>
    <row r="2142" spans="2:9" x14ac:dyDescent="0.25">
      <c r="B2142" s="16" t="s">
        <v>26</v>
      </c>
      <c r="C2142" s="17">
        <v>45138</v>
      </c>
      <c r="D2142" s="16">
        <v>1879842</v>
      </c>
      <c r="E2142" s="16" t="s">
        <v>20</v>
      </c>
      <c r="F2142" s="18" t="s">
        <v>20</v>
      </c>
      <c r="G2142" s="16" t="s">
        <v>57</v>
      </c>
      <c r="H2142" s="16" t="s">
        <v>28</v>
      </c>
      <c r="I2142" s="16" t="s">
        <v>51</v>
      </c>
    </row>
    <row r="2143" spans="2:9" x14ac:dyDescent="0.25">
      <c r="B2143" s="16" t="s">
        <v>26</v>
      </c>
      <c r="C2143" s="17">
        <v>45138</v>
      </c>
      <c r="D2143" s="16">
        <v>1879843</v>
      </c>
      <c r="E2143" s="16" t="s">
        <v>20</v>
      </c>
      <c r="F2143" s="18" t="s">
        <v>20</v>
      </c>
      <c r="G2143" s="16" t="s">
        <v>57</v>
      </c>
      <c r="H2143" s="16" t="s">
        <v>28</v>
      </c>
      <c r="I2143" s="16" t="s">
        <v>51</v>
      </c>
    </row>
    <row r="2144" spans="2:9" x14ac:dyDescent="0.25">
      <c r="B2144" s="16" t="s">
        <v>26</v>
      </c>
      <c r="C2144" s="17">
        <v>45138</v>
      </c>
      <c r="D2144" s="16">
        <v>1079844</v>
      </c>
      <c r="E2144" s="16" t="s">
        <v>20</v>
      </c>
      <c r="F2144" s="18" t="s">
        <v>20</v>
      </c>
      <c r="G2144" s="16" t="s">
        <v>57</v>
      </c>
      <c r="H2144" s="16" t="s">
        <v>28</v>
      </c>
      <c r="I2144" s="16" t="s">
        <v>51</v>
      </c>
    </row>
    <row r="2145" spans="2:9" x14ac:dyDescent="0.25">
      <c r="B2145" s="16" t="s">
        <v>26</v>
      </c>
      <c r="C2145" s="17">
        <v>45138</v>
      </c>
      <c r="D2145" s="16">
        <v>1079845</v>
      </c>
      <c r="E2145" s="16" t="s">
        <v>20</v>
      </c>
      <c r="F2145" s="18" t="s">
        <v>20</v>
      </c>
      <c r="G2145" s="16" t="s">
        <v>57</v>
      </c>
      <c r="H2145" s="16" t="s">
        <v>28</v>
      </c>
      <c r="I2145" s="16" t="s">
        <v>51</v>
      </c>
    </row>
    <row r="2146" spans="2:9" x14ac:dyDescent="0.25">
      <c r="B2146" s="16" t="s">
        <v>26</v>
      </c>
      <c r="C2146" s="17">
        <v>45138</v>
      </c>
      <c r="D2146" s="16">
        <v>1079846</v>
      </c>
      <c r="E2146" s="16" t="s">
        <v>20</v>
      </c>
      <c r="F2146" s="18" t="s">
        <v>20</v>
      </c>
      <c r="G2146" s="16" t="s">
        <v>57</v>
      </c>
      <c r="H2146" s="16" t="s">
        <v>28</v>
      </c>
      <c r="I2146" s="16" t="s">
        <v>51</v>
      </c>
    </row>
    <row r="2147" spans="2:9" x14ac:dyDescent="0.25">
      <c r="B2147" s="16" t="s">
        <v>26</v>
      </c>
      <c r="C2147" s="17">
        <v>45138</v>
      </c>
      <c r="D2147" s="16">
        <v>1079848</v>
      </c>
      <c r="E2147" s="16" t="s">
        <v>20</v>
      </c>
      <c r="F2147" s="18" t="s">
        <v>20</v>
      </c>
      <c r="G2147" s="16" t="s">
        <v>57</v>
      </c>
      <c r="H2147" s="16" t="s">
        <v>28</v>
      </c>
      <c r="I2147" s="16" t="s">
        <v>51</v>
      </c>
    </row>
    <row r="2148" spans="2:9" x14ac:dyDescent="0.25">
      <c r="B2148" s="16" t="s">
        <v>26</v>
      </c>
      <c r="C2148" s="17">
        <v>45138</v>
      </c>
      <c r="D2148" s="16">
        <v>1079850</v>
      </c>
      <c r="E2148" s="16" t="s">
        <v>20</v>
      </c>
      <c r="F2148" s="18" t="s">
        <v>20</v>
      </c>
      <c r="G2148" s="16" t="s">
        <v>57</v>
      </c>
      <c r="H2148" s="16" t="s">
        <v>28</v>
      </c>
      <c r="I2148" s="16" t="s">
        <v>51</v>
      </c>
    </row>
    <row r="2149" spans="2:9" x14ac:dyDescent="0.25">
      <c r="B2149" s="16" t="s">
        <v>26</v>
      </c>
      <c r="C2149" s="17">
        <v>45138</v>
      </c>
      <c r="D2149" s="16">
        <v>1079852</v>
      </c>
      <c r="E2149" s="16" t="s">
        <v>20</v>
      </c>
      <c r="F2149" s="18" t="s">
        <v>20</v>
      </c>
      <c r="G2149" s="16" t="s">
        <v>57</v>
      </c>
      <c r="H2149" s="16" t="s">
        <v>28</v>
      </c>
      <c r="I2149" s="16" t="s">
        <v>51</v>
      </c>
    </row>
    <row r="2150" spans="2:9" x14ac:dyDescent="0.25">
      <c r="B2150" s="16" t="s">
        <v>26</v>
      </c>
      <c r="C2150" s="17">
        <v>45138</v>
      </c>
      <c r="D2150" s="16">
        <v>1079854</v>
      </c>
      <c r="E2150" s="16" t="s">
        <v>20</v>
      </c>
      <c r="F2150" s="18" t="s">
        <v>20</v>
      </c>
      <c r="G2150" s="16" t="s">
        <v>57</v>
      </c>
      <c r="H2150" s="16" t="s">
        <v>28</v>
      </c>
      <c r="I2150" s="16" t="s">
        <v>51</v>
      </c>
    </row>
    <row r="2151" spans="2:9" x14ac:dyDescent="0.25">
      <c r="B2151" s="16" t="s">
        <v>26</v>
      </c>
      <c r="C2151" s="17">
        <v>45138</v>
      </c>
      <c r="D2151" s="16">
        <v>1079855</v>
      </c>
      <c r="E2151" s="16" t="s">
        <v>20</v>
      </c>
      <c r="F2151" s="18" t="s">
        <v>20</v>
      </c>
      <c r="G2151" s="16" t="s">
        <v>57</v>
      </c>
      <c r="H2151" s="16" t="s">
        <v>28</v>
      </c>
      <c r="I2151" s="16" t="s">
        <v>51</v>
      </c>
    </row>
    <row r="2152" spans="2:9" x14ac:dyDescent="0.25">
      <c r="B2152" s="16" t="s">
        <v>26</v>
      </c>
      <c r="C2152" s="17">
        <v>45138</v>
      </c>
      <c r="D2152" s="16">
        <v>1079856</v>
      </c>
      <c r="E2152" s="16" t="s">
        <v>20</v>
      </c>
      <c r="F2152" s="18" t="s">
        <v>20</v>
      </c>
      <c r="G2152" s="16" t="s">
        <v>57</v>
      </c>
      <c r="H2152" s="16" t="s">
        <v>28</v>
      </c>
      <c r="I2152" s="16" t="s">
        <v>51</v>
      </c>
    </row>
    <row r="2153" spans="2:9" x14ac:dyDescent="0.25">
      <c r="B2153" s="16" t="s">
        <v>26</v>
      </c>
      <c r="C2153" s="17">
        <v>45138</v>
      </c>
      <c r="D2153" s="16">
        <v>1079858</v>
      </c>
      <c r="E2153" s="16" t="s">
        <v>20</v>
      </c>
      <c r="F2153" s="18" t="s">
        <v>20</v>
      </c>
      <c r="G2153" s="16" t="s">
        <v>57</v>
      </c>
      <c r="H2153" s="16" t="s">
        <v>28</v>
      </c>
      <c r="I2153" s="16" t="s">
        <v>51</v>
      </c>
    </row>
    <row r="2154" spans="2:9" x14ac:dyDescent="0.25">
      <c r="B2154" s="16" t="s">
        <v>26</v>
      </c>
      <c r="C2154" s="17">
        <v>45138</v>
      </c>
      <c r="D2154" s="16">
        <v>1079860</v>
      </c>
      <c r="E2154" s="16" t="s">
        <v>20</v>
      </c>
      <c r="F2154" s="18" t="s">
        <v>20</v>
      </c>
      <c r="G2154" s="16" t="s">
        <v>57</v>
      </c>
      <c r="H2154" s="16" t="s">
        <v>28</v>
      </c>
      <c r="I2154" s="16" t="s">
        <v>51</v>
      </c>
    </row>
    <row r="2155" spans="2:9" x14ac:dyDescent="0.25">
      <c r="B2155" s="16" t="s">
        <v>26</v>
      </c>
      <c r="C2155" s="17">
        <v>45138</v>
      </c>
      <c r="D2155" s="16">
        <v>1079862</v>
      </c>
      <c r="E2155" s="16" t="s">
        <v>20</v>
      </c>
      <c r="F2155" s="18" t="s">
        <v>20</v>
      </c>
      <c r="G2155" s="16" t="s">
        <v>57</v>
      </c>
      <c r="H2155" s="16" t="s">
        <v>28</v>
      </c>
      <c r="I2155" s="16" t="s">
        <v>51</v>
      </c>
    </row>
    <row r="2156" spans="2:9" x14ac:dyDescent="0.25">
      <c r="B2156" s="16" t="s">
        <v>26</v>
      </c>
      <c r="C2156" s="17">
        <v>45138</v>
      </c>
      <c r="D2156" s="16">
        <v>1079864</v>
      </c>
      <c r="E2156" s="16" t="s">
        <v>20</v>
      </c>
      <c r="F2156" s="18" t="s">
        <v>20</v>
      </c>
      <c r="G2156" s="16" t="s">
        <v>57</v>
      </c>
      <c r="H2156" s="16" t="s">
        <v>28</v>
      </c>
      <c r="I2156" s="16" t="s">
        <v>51</v>
      </c>
    </row>
    <row r="2157" spans="2:9" x14ac:dyDescent="0.25">
      <c r="B2157" s="16" t="s">
        <v>26</v>
      </c>
      <c r="C2157" s="17">
        <v>45138</v>
      </c>
      <c r="D2157" s="16">
        <v>1079867</v>
      </c>
      <c r="E2157" s="16" t="s">
        <v>20</v>
      </c>
      <c r="F2157" s="18" t="s">
        <v>20</v>
      </c>
      <c r="G2157" s="16" t="s">
        <v>57</v>
      </c>
      <c r="H2157" s="16" t="s">
        <v>28</v>
      </c>
      <c r="I2157" s="16" t="s">
        <v>51</v>
      </c>
    </row>
    <row r="2158" spans="2:9" x14ac:dyDescent="0.25">
      <c r="B2158" s="16" t="s">
        <v>26</v>
      </c>
      <c r="C2158" s="17">
        <v>45138</v>
      </c>
      <c r="D2158" s="16">
        <v>1079869</v>
      </c>
      <c r="E2158" s="16" t="s">
        <v>20</v>
      </c>
      <c r="F2158" s="18" t="s">
        <v>20</v>
      </c>
      <c r="G2158" s="16" t="s">
        <v>57</v>
      </c>
      <c r="H2158" s="16" t="s">
        <v>28</v>
      </c>
      <c r="I2158" s="16" t="s">
        <v>51</v>
      </c>
    </row>
    <row r="2159" spans="2:9" x14ac:dyDescent="0.25">
      <c r="B2159" s="16" t="s">
        <v>26</v>
      </c>
      <c r="C2159" s="17">
        <v>45138</v>
      </c>
      <c r="D2159" s="16">
        <v>1079871</v>
      </c>
      <c r="E2159" s="16" t="s">
        <v>20</v>
      </c>
      <c r="F2159" s="18" t="s">
        <v>20</v>
      </c>
      <c r="G2159" s="16" t="s">
        <v>57</v>
      </c>
      <c r="H2159" s="16" t="s">
        <v>28</v>
      </c>
      <c r="I2159" s="16" t="s">
        <v>51</v>
      </c>
    </row>
    <row r="2160" spans="2:9" x14ac:dyDescent="0.25">
      <c r="B2160" s="16" t="s">
        <v>26</v>
      </c>
      <c r="C2160" s="17">
        <v>45138</v>
      </c>
      <c r="D2160" s="16">
        <v>1079872</v>
      </c>
      <c r="E2160" s="16" t="s">
        <v>20</v>
      </c>
      <c r="F2160" s="18" t="s">
        <v>20</v>
      </c>
      <c r="G2160" s="16" t="s">
        <v>57</v>
      </c>
      <c r="H2160" s="16" t="s">
        <v>28</v>
      </c>
      <c r="I2160" s="16" t="s">
        <v>51</v>
      </c>
    </row>
    <row r="2161" spans="2:9" x14ac:dyDescent="0.25">
      <c r="B2161" s="16" t="s">
        <v>26</v>
      </c>
      <c r="C2161" s="17">
        <v>45138</v>
      </c>
      <c r="D2161" s="16">
        <v>1079874</v>
      </c>
      <c r="E2161" s="16" t="s">
        <v>20</v>
      </c>
      <c r="F2161" s="18" t="s">
        <v>20</v>
      </c>
      <c r="G2161" s="16" t="s">
        <v>57</v>
      </c>
      <c r="H2161" s="16" t="s">
        <v>28</v>
      </c>
      <c r="I2161" s="16" t="s">
        <v>51</v>
      </c>
    </row>
    <row r="2162" spans="2:9" x14ac:dyDescent="0.25">
      <c r="B2162" s="16" t="s">
        <v>26</v>
      </c>
      <c r="C2162" s="17">
        <v>45138</v>
      </c>
      <c r="D2162" s="16">
        <v>1079876</v>
      </c>
      <c r="E2162" s="16" t="s">
        <v>20</v>
      </c>
      <c r="F2162" s="18" t="s">
        <v>20</v>
      </c>
      <c r="G2162" s="16" t="s">
        <v>57</v>
      </c>
      <c r="H2162" s="16" t="s">
        <v>28</v>
      </c>
      <c r="I2162" s="16" t="s">
        <v>51</v>
      </c>
    </row>
    <row r="2163" spans="2:9" x14ac:dyDescent="0.25">
      <c r="B2163" s="16" t="s">
        <v>26</v>
      </c>
      <c r="C2163" s="17">
        <v>45138</v>
      </c>
      <c r="D2163" s="16">
        <v>1079878</v>
      </c>
      <c r="E2163" s="16" t="s">
        <v>20</v>
      </c>
      <c r="F2163" s="18" t="s">
        <v>20</v>
      </c>
      <c r="G2163" s="16" t="s">
        <v>57</v>
      </c>
      <c r="H2163" s="16" t="s">
        <v>28</v>
      </c>
      <c r="I2163" s="16" t="s">
        <v>51</v>
      </c>
    </row>
    <row r="2164" spans="2:9" x14ac:dyDescent="0.25">
      <c r="B2164" s="16" t="s">
        <v>33</v>
      </c>
      <c r="C2164" s="17">
        <v>45138</v>
      </c>
      <c r="D2164" s="16">
        <v>1281240</v>
      </c>
      <c r="E2164" s="16">
        <v>9388</v>
      </c>
      <c r="F2164" s="18" t="s">
        <v>165</v>
      </c>
      <c r="G2164" s="16" t="s">
        <v>5</v>
      </c>
      <c r="H2164" s="16" t="s">
        <v>36</v>
      </c>
      <c r="I2164" s="16" t="s">
        <v>61</v>
      </c>
    </row>
    <row r="2165" spans="2:9" x14ac:dyDescent="0.25">
      <c r="B2165" s="16" t="s">
        <v>26</v>
      </c>
      <c r="C2165" s="17">
        <v>45138</v>
      </c>
      <c r="D2165" s="16" t="s">
        <v>20</v>
      </c>
      <c r="E2165" s="16">
        <v>1019</v>
      </c>
      <c r="F2165" s="18" t="s">
        <v>158</v>
      </c>
      <c r="G2165" s="16" t="s">
        <v>341</v>
      </c>
      <c r="H2165" s="16" t="s">
        <v>28</v>
      </c>
      <c r="I2165" s="16" t="s">
        <v>51</v>
      </c>
    </row>
    <row r="2166" spans="2:9" x14ac:dyDescent="0.25">
      <c r="B2166" s="16" t="s">
        <v>26</v>
      </c>
      <c r="C2166" s="17">
        <v>45138</v>
      </c>
      <c r="D2166" s="16">
        <v>888957</v>
      </c>
      <c r="E2166" s="16">
        <v>1019</v>
      </c>
      <c r="F2166" s="18" t="s">
        <v>158</v>
      </c>
      <c r="G2166" s="16" t="s">
        <v>341</v>
      </c>
      <c r="H2166" s="16" t="s">
        <v>28</v>
      </c>
      <c r="I2166" s="16" t="s">
        <v>51</v>
      </c>
    </row>
    <row r="2167" spans="2:9" x14ac:dyDescent="0.25">
      <c r="B2167" s="16" t="s">
        <v>210</v>
      </c>
      <c r="C2167" s="17">
        <v>45138</v>
      </c>
      <c r="D2167" s="16">
        <v>130523</v>
      </c>
      <c r="E2167" s="16">
        <v>13090</v>
      </c>
      <c r="F2167" s="18" t="s">
        <v>241</v>
      </c>
      <c r="G2167" s="16" t="s">
        <v>7</v>
      </c>
      <c r="H2167" s="16" t="s">
        <v>38</v>
      </c>
      <c r="I2167" s="16" t="s">
        <v>17</v>
      </c>
    </row>
    <row r="2168" spans="2:9" x14ac:dyDescent="0.25">
      <c r="B2168" s="16" t="s">
        <v>210</v>
      </c>
      <c r="C2168" s="17">
        <v>45138</v>
      </c>
      <c r="D2168" s="16">
        <v>1816751</v>
      </c>
      <c r="E2168" s="16">
        <v>9480</v>
      </c>
      <c r="F2168" s="18" t="s">
        <v>147</v>
      </c>
      <c r="G2168" s="16" t="s">
        <v>341</v>
      </c>
      <c r="H2168" s="16" t="s">
        <v>46</v>
      </c>
      <c r="I2168" s="16" t="s">
        <v>17</v>
      </c>
    </row>
    <row r="2169" spans="2:9" x14ac:dyDescent="0.25">
      <c r="B2169" s="16" t="s">
        <v>210</v>
      </c>
      <c r="C2169" s="17">
        <v>45138</v>
      </c>
      <c r="D2169" s="16">
        <v>1816750</v>
      </c>
      <c r="E2169" s="16">
        <v>9480</v>
      </c>
      <c r="F2169" s="18" t="s">
        <v>147</v>
      </c>
      <c r="G2169" s="16" t="s">
        <v>341</v>
      </c>
      <c r="H2169" s="16" t="s">
        <v>46</v>
      </c>
      <c r="I2169" s="16" t="s">
        <v>17</v>
      </c>
    </row>
    <row r="2170" spans="2:9" x14ac:dyDescent="0.25">
      <c r="B2170" s="16" t="s">
        <v>22</v>
      </c>
      <c r="C2170" s="17">
        <v>45138</v>
      </c>
      <c r="D2170" s="16">
        <v>120614</v>
      </c>
      <c r="E2170" s="16">
        <v>11604</v>
      </c>
      <c r="F2170" s="18" t="s">
        <v>63</v>
      </c>
      <c r="G2170" s="16" t="s">
        <v>262</v>
      </c>
      <c r="H2170" s="16" t="s">
        <v>38</v>
      </c>
      <c r="I2170" s="16" t="s">
        <v>17</v>
      </c>
    </row>
    <row r="2171" spans="2:9" x14ac:dyDescent="0.25">
      <c r="B2171" s="16" t="s">
        <v>2</v>
      </c>
      <c r="C2171" s="17">
        <v>45138</v>
      </c>
      <c r="D2171" s="16">
        <v>184842</v>
      </c>
      <c r="E2171" s="16">
        <v>10440</v>
      </c>
      <c r="F2171" s="18" t="s">
        <v>37</v>
      </c>
      <c r="G2171" s="16" t="s">
        <v>342</v>
      </c>
      <c r="H2171" s="16" t="s">
        <v>38</v>
      </c>
      <c r="I2171" s="16" t="s">
        <v>61</v>
      </c>
    </row>
    <row r="2172" spans="2:9" x14ac:dyDescent="0.25">
      <c r="B2172" s="16" t="s">
        <v>2</v>
      </c>
      <c r="C2172" s="17">
        <v>45138</v>
      </c>
      <c r="D2172" s="16">
        <v>137842</v>
      </c>
      <c r="E2172" s="16">
        <v>12613</v>
      </c>
      <c r="F2172" s="18" t="s">
        <v>371</v>
      </c>
      <c r="G2172" s="16" t="s">
        <v>342</v>
      </c>
      <c r="H2172" s="16" t="s">
        <v>38</v>
      </c>
      <c r="I2172" s="16" t="s">
        <v>61</v>
      </c>
    </row>
    <row r="2173" spans="2:9" x14ac:dyDescent="0.25">
      <c r="B2173" s="16" t="s">
        <v>2</v>
      </c>
      <c r="C2173" s="17">
        <v>45138</v>
      </c>
      <c r="D2173" s="16">
        <v>1281237</v>
      </c>
      <c r="E2173" s="16">
        <v>9388</v>
      </c>
      <c r="F2173" s="18" t="s">
        <v>165</v>
      </c>
      <c r="G2173" s="16" t="s">
        <v>5</v>
      </c>
      <c r="H2173" s="16" t="s">
        <v>36</v>
      </c>
      <c r="I2173" s="16" t="s">
        <v>61</v>
      </c>
    </row>
    <row r="2174" spans="2:9" x14ac:dyDescent="0.25">
      <c r="B2174" s="16" t="s">
        <v>2</v>
      </c>
      <c r="C2174" s="17">
        <v>45138</v>
      </c>
      <c r="D2174" s="16">
        <v>991998</v>
      </c>
      <c r="E2174" s="16">
        <v>9434</v>
      </c>
      <c r="F2174" s="18" t="s">
        <v>23</v>
      </c>
      <c r="G2174" s="16" t="s">
        <v>341</v>
      </c>
      <c r="H2174" s="16" t="s">
        <v>36</v>
      </c>
      <c r="I2174" s="16" t="s">
        <v>61</v>
      </c>
    </row>
    <row r="2175" spans="2:9" x14ac:dyDescent="0.25">
      <c r="B2175" s="16" t="s">
        <v>2</v>
      </c>
      <c r="C2175" s="17">
        <v>45138</v>
      </c>
      <c r="D2175" s="16">
        <v>992004</v>
      </c>
      <c r="E2175" s="16">
        <v>9434</v>
      </c>
      <c r="F2175" s="18" t="s">
        <v>23</v>
      </c>
      <c r="G2175" s="16" t="s">
        <v>341</v>
      </c>
      <c r="H2175" s="16" t="s">
        <v>36</v>
      </c>
      <c r="I2175" s="16" t="s">
        <v>61</v>
      </c>
    </row>
    <row r="2176" spans="2:9" x14ac:dyDescent="0.25">
      <c r="B2176" s="16" t="s">
        <v>22</v>
      </c>
      <c r="C2176" s="17">
        <v>45138</v>
      </c>
      <c r="D2176" s="16">
        <v>1817916</v>
      </c>
      <c r="E2176" s="16">
        <v>9307</v>
      </c>
      <c r="F2176" s="18" t="s">
        <v>68</v>
      </c>
      <c r="G2176" s="16" t="s">
        <v>334</v>
      </c>
      <c r="H2176" s="16" t="s">
        <v>46</v>
      </c>
      <c r="I2176" s="16" t="s">
        <v>17</v>
      </c>
    </row>
    <row r="2177" spans="2:10" x14ac:dyDescent="0.25">
      <c r="B2177" s="16" t="s">
        <v>22</v>
      </c>
      <c r="C2177" s="17">
        <v>45138</v>
      </c>
      <c r="D2177" s="16">
        <v>1817917</v>
      </c>
      <c r="E2177" s="16">
        <v>9307</v>
      </c>
      <c r="F2177" s="18" t="s">
        <v>68</v>
      </c>
      <c r="G2177" s="16" t="s">
        <v>334</v>
      </c>
      <c r="H2177" s="16" t="s">
        <v>46</v>
      </c>
      <c r="I2177" s="16" t="s">
        <v>17</v>
      </c>
    </row>
    <row r="2178" spans="2:10" x14ac:dyDescent="0.25">
      <c r="B2178" s="16" t="s">
        <v>22</v>
      </c>
      <c r="C2178" s="17">
        <v>45138</v>
      </c>
      <c r="D2178" s="16">
        <v>1817915</v>
      </c>
      <c r="E2178" s="16">
        <v>9307</v>
      </c>
      <c r="F2178" s="18" t="s">
        <v>68</v>
      </c>
      <c r="G2178" s="16" t="s">
        <v>334</v>
      </c>
      <c r="H2178" s="16" t="s">
        <v>46</v>
      </c>
      <c r="I2178" s="16" t="s">
        <v>17</v>
      </c>
    </row>
    <row r="2179" spans="2:10" x14ac:dyDescent="0.25">
      <c r="B2179" s="16" t="s">
        <v>2</v>
      </c>
      <c r="C2179" s="17">
        <v>45138</v>
      </c>
      <c r="D2179" s="16">
        <v>949254</v>
      </c>
      <c r="E2179" s="16">
        <v>9421</v>
      </c>
      <c r="F2179" s="18" t="s">
        <v>94</v>
      </c>
      <c r="G2179" s="16" t="s">
        <v>341</v>
      </c>
      <c r="H2179" s="16" t="s">
        <v>184</v>
      </c>
      <c r="I2179" s="16" t="s">
        <v>17</v>
      </c>
    </row>
    <row r="2180" spans="2:10" x14ac:dyDescent="0.25">
      <c r="B2180" s="16" t="s">
        <v>2</v>
      </c>
      <c r="C2180" s="17">
        <v>45138</v>
      </c>
      <c r="D2180" s="16">
        <v>44239</v>
      </c>
      <c r="E2180" s="16">
        <v>63846</v>
      </c>
      <c r="F2180" s="18" t="s">
        <v>271</v>
      </c>
      <c r="G2180" s="16" t="s">
        <v>343</v>
      </c>
      <c r="H2180" s="16" t="s">
        <v>36</v>
      </c>
      <c r="I2180" s="16" t="s">
        <v>17</v>
      </c>
    </row>
    <row r="2181" spans="2:10" x14ac:dyDescent="0.25">
      <c r="B2181" s="16" t="s">
        <v>22</v>
      </c>
      <c r="C2181" s="17">
        <v>45138</v>
      </c>
      <c r="D2181" s="16">
        <v>185408</v>
      </c>
      <c r="E2181" s="16">
        <v>10440</v>
      </c>
      <c r="F2181" s="18" t="s">
        <v>37</v>
      </c>
      <c r="G2181" s="16" t="s">
        <v>342</v>
      </c>
      <c r="H2181" s="16" t="s">
        <v>71</v>
      </c>
      <c r="I2181" s="16" t="s">
        <v>17</v>
      </c>
    </row>
    <row r="2182" spans="2:10" x14ac:dyDescent="0.25">
      <c r="B2182" s="16" t="s">
        <v>210</v>
      </c>
      <c r="C2182" s="17">
        <v>45138</v>
      </c>
      <c r="D2182" s="16">
        <v>949644</v>
      </c>
      <c r="E2182" s="16">
        <v>9421</v>
      </c>
      <c r="F2182" s="18" t="s">
        <v>94</v>
      </c>
      <c r="G2182" s="16" t="s">
        <v>341</v>
      </c>
      <c r="H2182" s="16" t="s">
        <v>186</v>
      </c>
      <c r="I2182" s="16" t="s">
        <v>61</v>
      </c>
    </row>
    <row r="2183" spans="2:10" x14ac:dyDescent="0.25">
      <c r="B2183" s="16" t="s">
        <v>40</v>
      </c>
      <c r="C2183" s="17">
        <v>45139</v>
      </c>
      <c r="D2183" s="16">
        <v>5156899</v>
      </c>
      <c r="E2183" s="16">
        <v>15102</v>
      </c>
      <c r="F2183" s="16" t="s">
        <v>160</v>
      </c>
      <c r="G2183" s="16" t="s">
        <v>52</v>
      </c>
      <c r="H2183" s="16" t="s">
        <v>28</v>
      </c>
      <c r="I2183" s="16" t="s">
        <v>61</v>
      </c>
      <c r="J2183" s="16"/>
    </row>
    <row r="2184" spans="2:10" x14ac:dyDescent="0.25">
      <c r="B2184" s="16" t="s">
        <v>40</v>
      </c>
      <c r="C2184" s="17">
        <v>45139</v>
      </c>
      <c r="D2184" s="16">
        <v>5156898</v>
      </c>
      <c r="E2184" s="16">
        <v>15102</v>
      </c>
      <c r="F2184" s="16" t="s">
        <v>160</v>
      </c>
      <c r="G2184" s="16" t="s">
        <v>52</v>
      </c>
      <c r="H2184" s="16" t="s">
        <v>28</v>
      </c>
      <c r="I2184" s="16" t="s">
        <v>61</v>
      </c>
      <c r="J2184" s="16"/>
    </row>
    <row r="2185" spans="2:10" x14ac:dyDescent="0.25">
      <c r="B2185" s="16" t="s">
        <v>40</v>
      </c>
      <c r="C2185" s="17">
        <v>45139</v>
      </c>
      <c r="D2185" s="16">
        <v>5156897</v>
      </c>
      <c r="E2185" s="16">
        <v>15102</v>
      </c>
      <c r="F2185" s="16" t="s">
        <v>160</v>
      </c>
      <c r="G2185" s="16" t="s">
        <v>52</v>
      </c>
      <c r="H2185" s="16" t="s">
        <v>28</v>
      </c>
      <c r="I2185" s="16" t="s">
        <v>61</v>
      </c>
      <c r="J2185" s="16"/>
    </row>
    <row r="2186" spans="2:10" x14ac:dyDescent="0.25">
      <c r="B2186" s="16" t="s">
        <v>40</v>
      </c>
      <c r="C2186" s="17">
        <v>45139</v>
      </c>
      <c r="D2186" s="16">
        <v>5156896</v>
      </c>
      <c r="E2186" s="16">
        <v>15102</v>
      </c>
      <c r="F2186" s="16" t="s">
        <v>160</v>
      </c>
      <c r="G2186" s="16" t="s">
        <v>52</v>
      </c>
      <c r="H2186" s="16" t="s">
        <v>28</v>
      </c>
      <c r="I2186" s="16" t="s">
        <v>61</v>
      </c>
      <c r="J2186" s="16"/>
    </row>
    <row r="2187" spans="2:10" x14ac:dyDescent="0.25">
      <c r="B2187" s="16" t="s">
        <v>40</v>
      </c>
      <c r="C2187" s="17">
        <v>45139</v>
      </c>
      <c r="D2187" s="16">
        <v>888398</v>
      </c>
      <c r="E2187" s="16" t="s">
        <v>20</v>
      </c>
      <c r="F2187" s="16" t="s">
        <v>20</v>
      </c>
      <c r="G2187" s="16" t="s">
        <v>20</v>
      </c>
      <c r="H2187" s="16" t="s">
        <v>28</v>
      </c>
      <c r="I2187" s="16" t="s">
        <v>61</v>
      </c>
      <c r="J2187" s="16"/>
    </row>
    <row r="2188" spans="2:10" x14ac:dyDescent="0.25">
      <c r="B2188" s="16" t="s">
        <v>40</v>
      </c>
      <c r="C2188" s="17">
        <v>45139</v>
      </c>
      <c r="D2188" s="16">
        <v>167876</v>
      </c>
      <c r="E2188" s="16">
        <v>12613</v>
      </c>
      <c r="F2188" s="16" t="s">
        <v>371</v>
      </c>
      <c r="G2188" s="16" t="s">
        <v>342</v>
      </c>
      <c r="H2188" s="16" t="s">
        <v>137</v>
      </c>
      <c r="I2188" s="16" t="s">
        <v>61</v>
      </c>
      <c r="J2188" s="16"/>
    </row>
    <row r="2189" spans="2:10" x14ac:dyDescent="0.25">
      <c r="B2189" s="16" t="s">
        <v>40</v>
      </c>
      <c r="C2189" s="17">
        <v>45139</v>
      </c>
      <c r="D2189" s="16">
        <v>737864</v>
      </c>
      <c r="E2189" s="16">
        <v>9812</v>
      </c>
      <c r="F2189" s="16" t="s">
        <v>292</v>
      </c>
      <c r="G2189" s="16" t="s">
        <v>5</v>
      </c>
      <c r="H2189" s="16" t="s">
        <v>36</v>
      </c>
      <c r="I2189" s="16" t="s">
        <v>61</v>
      </c>
      <c r="J2189" s="16"/>
    </row>
    <row r="2190" spans="2:10" x14ac:dyDescent="0.25">
      <c r="B2190" s="16" t="s">
        <v>210</v>
      </c>
      <c r="C2190" s="17">
        <v>45139</v>
      </c>
      <c r="D2190" s="16">
        <v>1816750</v>
      </c>
      <c r="E2190" s="16">
        <v>9480</v>
      </c>
      <c r="F2190" s="16" t="s">
        <v>147</v>
      </c>
      <c r="G2190" s="16" t="s">
        <v>341</v>
      </c>
      <c r="H2190" s="16" t="s">
        <v>28</v>
      </c>
      <c r="I2190" s="16" t="s">
        <v>61</v>
      </c>
      <c r="J2190" s="16"/>
    </row>
    <row r="2191" spans="2:10" x14ac:dyDescent="0.25">
      <c r="B2191" s="16" t="s">
        <v>210</v>
      </c>
      <c r="C2191" s="17">
        <v>45139</v>
      </c>
      <c r="D2191" s="16">
        <v>1816751</v>
      </c>
      <c r="E2191" s="16">
        <v>9480</v>
      </c>
      <c r="F2191" s="16" t="s">
        <v>147</v>
      </c>
      <c r="G2191" s="16" t="s">
        <v>341</v>
      </c>
      <c r="H2191" s="16" t="s">
        <v>28</v>
      </c>
      <c r="I2191" s="16" t="s">
        <v>61</v>
      </c>
      <c r="J2191" s="16"/>
    </row>
    <row r="2192" spans="2:10" x14ac:dyDescent="0.25">
      <c r="B2192" s="16" t="s">
        <v>33</v>
      </c>
      <c r="C2192" s="17">
        <v>45139</v>
      </c>
      <c r="D2192" s="16">
        <v>4899483</v>
      </c>
      <c r="E2192" s="16">
        <v>9430</v>
      </c>
      <c r="F2192" s="16" t="s">
        <v>185</v>
      </c>
      <c r="G2192" s="16" t="s">
        <v>334</v>
      </c>
      <c r="H2192" s="16" t="s">
        <v>36</v>
      </c>
      <c r="I2192" s="16" t="s">
        <v>20</v>
      </c>
      <c r="J2192" s="16"/>
    </row>
    <row r="2193" spans="2:10" x14ac:dyDescent="0.25">
      <c r="B2193" s="16" t="s">
        <v>40</v>
      </c>
      <c r="C2193" s="17">
        <v>45139</v>
      </c>
      <c r="D2193" s="16">
        <v>83859</v>
      </c>
      <c r="E2193" s="16" t="s">
        <v>20</v>
      </c>
      <c r="F2193" s="16" t="s">
        <v>20</v>
      </c>
      <c r="G2193" s="16" t="s">
        <v>334</v>
      </c>
      <c r="H2193" s="16" t="s">
        <v>28</v>
      </c>
      <c r="I2193" s="16" t="s">
        <v>335</v>
      </c>
      <c r="J2193" s="16"/>
    </row>
    <row r="2194" spans="2:10" x14ac:dyDescent="0.25">
      <c r="B2194" s="16" t="s">
        <v>40</v>
      </c>
      <c r="C2194" s="17">
        <v>45139</v>
      </c>
      <c r="D2194" s="16">
        <v>64474</v>
      </c>
      <c r="E2194" s="16">
        <v>63753</v>
      </c>
      <c r="F2194" s="16" t="s">
        <v>374</v>
      </c>
      <c r="G2194" s="16" t="s">
        <v>334</v>
      </c>
      <c r="H2194" s="16" t="s">
        <v>114</v>
      </c>
      <c r="I2194" s="16" t="s">
        <v>335</v>
      </c>
      <c r="J2194" s="16"/>
    </row>
    <row r="2195" spans="2:10" x14ac:dyDescent="0.25">
      <c r="B2195" s="16" t="s">
        <v>40</v>
      </c>
      <c r="C2195" s="17">
        <v>45139</v>
      </c>
      <c r="D2195" s="16">
        <v>164688</v>
      </c>
      <c r="E2195" s="16">
        <v>7511</v>
      </c>
      <c r="F2195" s="16" t="s">
        <v>333</v>
      </c>
      <c r="G2195" s="16" t="s">
        <v>7</v>
      </c>
      <c r="H2195" s="16" t="s">
        <v>38</v>
      </c>
      <c r="I2195" s="16" t="s">
        <v>12</v>
      </c>
      <c r="J2195" s="16"/>
    </row>
    <row r="2196" spans="2:10" x14ac:dyDescent="0.25">
      <c r="B2196" s="16" t="s">
        <v>40</v>
      </c>
      <c r="C2196" s="17">
        <v>45139</v>
      </c>
      <c r="D2196" s="16">
        <v>12260</v>
      </c>
      <c r="E2196" s="16" t="s">
        <v>20</v>
      </c>
      <c r="F2196" s="16" t="s">
        <v>20</v>
      </c>
      <c r="G2196" s="16" t="s">
        <v>4</v>
      </c>
      <c r="H2196" s="16" t="s">
        <v>186</v>
      </c>
      <c r="I2196" s="16" t="s">
        <v>61</v>
      </c>
      <c r="J2196" s="16"/>
    </row>
    <row r="2197" spans="2:10" x14ac:dyDescent="0.25">
      <c r="B2197" s="16" t="s">
        <v>33</v>
      </c>
      <c r="C2197" s="17">
        <v>45139</v>
      </c>
      <c r="D2197" s="16">
        <v>165838</v>
      </c>
      <c r="E2197" s="16">
        <v>1146</v>
      </c>
      <c r="F2197" s="16" t="s">
        <v>379</v>
      </c>
      <c r="G2197" s="16" t="s">
        <v>343</v>
      </c>
      <c r="H2197" s="16" t="s">
        <v>36</v>
      </c>
      <c r="I2197" s="16" t="s">
        <v>61</v>
      </c>
      <c r="J2197" s="16"/>
    </row>
    <row r="2198" spans="2:10" x14ac:dyDescent="0.25">
      <c r="B2198" s="16" t="s">
        <v>210</v>
      </c>
      <c r="C2198" s="17">
        <v>45139</v>
      </c>
      <c r="D2198" s="16">
        <v>64473</v>
      </c>
      <c r="E2198" s="16">
        <v>63753</v>
      </c>
      <c r="F2198" s="16" t="s">
        <v>374</v>
      </c>
      <c r="G2198" s="16" t="s">
        <v>334</v>
      </c>
      <c r="H2198" s="16" t="s">
        <v>49</v>
      </c>
      <c r="I2198" s="16" t="s">
        <v>17</v>
      </c>
      <c r="J2198" s="16"/>
    </row>
    <row r="2199" spans="2:10" x14ac:dyDescent="0.25">
      <c r="B2199" s="16" t="s">
        <v>26</v>
      </c>
      <c r="C2199" s="17">
        <v>45139</v>
      </c>
      <c r="D2199" s="16">
        <v>408135</v>
      </c>
      <c r="E2199" s="16">
        <v>1263</v>
      </c>
      <c r="F2199" s="16" t="s">
        <v>167</v>
      </c>
      <c r="G2199" s="16" t="s">
        <v>20</v>
      </c>
      <c r="H2199" s="16" t="s">
        <v>39</v>
      </c>
      <c r="I2199" s="16" t="s">
        <v>20</v>
      </c>
      <c r="J2199" s="16"/>
    </row>
    <row r="2200" spans="2:10" x14ac:dyDescent="0.25">
      <c r="B2200" s="16" t="s">
        <v>22</v>
      </c>
      <c r="C2200" s="17">
        <v>45139</v>
      </c>
      <c r="D2200" s="16">
        <v>66467</v>
      </c>
      <c r="E2200" s="16">
        <v>7397</v>
      </c>
      <c r="F2200" s="16" t="s">
        <v>396</v>
      </c>
      <c r="G2200" s="16" t="s">
        <v>334</v>
      </c>
      <c r="H2200" s="16" t="s">
        <v>228</v>
      </c>
      <c r="I2200" s="16" t="s">
        <v>17</v>
      </c>
      <c r="J2200" s="16"/>
    </row>
    <row r="2201" spans="2:10" x14ac:dyDescent="0.25">
      <c r="B2201" s="16" t="s">
        <v>22</v>
      </c>
      <c r="C2201" s="17">
        <v>45139</v>
      </c>
      <c r="D2201" s="16">
        <v>4899499</v>
      </c>
      <c r="E2201" s="16">
        <v>9430</v>
      </c>
      <c r="F2201" s="16" t="s">
        <v>185</v>
      </c>
      <c r="G2201" s="16" t="s">
        <v>334</v>
      </c>
      <c r="H2201" s="16" t="s">
        <v>36</v>
      </c>
      <c r="I2201" s="16" t="s">
        <v>17</v>
      </c>
      <c r="J2201" s="16"/>
    </row>
    <row r="2202" spans="2:10" x14ac:dyDescent="0.25">
      <c r="B2202" s="16" t="s">
        <v>22</v>
      </c>
      <c r="C2202" s="17">
        <v>45139</v>
      </c>
      <c r="D2202" s="16">
        <v>120687</v>
      </c>
      <c r="E2202" s="16">
        <v>11604</v>
      </c>
      <c r="F2202" s="16" t="s">
        <v>63</v>
      </c>
      <c r="G2202" s="16" t="s">
        <v>262</v>
      </c>
      <c r="H2202" s="16" t="s">
        <v>38</v>
      </c>
      <c r="I2202" s="16" t="s">
        <v>17</v>
      </c>
      <c r="J2202" s="16"/>
    </row>
    <row r="2203" spans="2:10" x14ac:dyDescent="0.25">
      <c r="B2203" s="16" t="s">
        <v>33</v>
      </c>
      <c r="C2203" s="17">
        <v>45139</v>
      </c>
      <c r="D2203" s="16">
        <v>21087</v>
      </c>
      <c r="E2203" s="16">
        <v>14818</v>
      </c>
      <c r="F2203" s="16" t="s">
        <v>90</v>
      </c>
      <c r="G2203" s="16" t="s">
        <v>342</v>
      </c>
      <c r="H2203" s="16" t="s">
        <v>114</v>
      </c>
      <c r="I2203" s="16" t="s">
        <v>61</v>
      </c>
      <c r="J2203" s="16"/>
    </row>
    <row r="2204" spans="2:10" x14ac:dyDescent="0.25">
      <c r="B2204" s="16" t="s">
        <v>33</v>
      </c>
      <c r="C2204" s="17">
        <v>45139</v>
      </c>
      <c r="D2204" s="16">
        <v>377640</v>
      </c>
      <c r="E2204" s="16">
        <v>1114</v>
      </c>
      <c r="F2204" s="16" t="s">
        <v>397</v>
      </c>
      <c r="G2204" s="16" t="s">
        <v>343</v>
      </c>
      <c r="H2204" s="16" t="s">
        <v>228</v>
      </c>
      <c r="I2204" s="16" t="s">
        <v>17</v>
      </c>
      <c r="J2204" s="16"/>
    </row>
    <row r="2205" spans="2:10" x14ac:dyDescent="0.25">
      <c r="B2205" s="16" t="s">
        <v>33</v>
      </c>
      <c r="C2205" s="17">
        <v>45139</v>
      </c>
      <c r="D2205" s="16">
        <v>850514</v>
      </c>
      <c r="E2205" s="16">
        <v>9569</v>
      </c>
      <c r="F2205" s="16" t="s">
        <v>398</v>
      </c>
      <c r="G2205" s="16" t="s">
        <v>5</v>
      </c>
      <c r="H2205" s="16" t="s">
        <v>228</v>
      </c>
      <c r="I2205" s="16" t="s">
        <v>17</v>
      </c>
      <c r="J2205" s="16"/>
    </row>
    <row r="2206" spans="2:10" x14ac:dyDescent="0.25">
      <c r="B2206" s="16" t="s">
        <v>33</v>
      </c>
      <c r="C2206" s="17">
        <v>45139</v>
      </c>
      <c r="D2206" s="16">
        <v>850515</v>
      </c>
      <c r="E2206" s="16">
        <v>9569</v>
      </c>
      <c r="F2206" s="16" t="s">
        <v>398</v>
      </c>
      <c r="G2206" s="16" t="s">
        <v>5</v>
      </c>
      <c r="H2206" s="16" t="s">
        <v>228</v>
      </c>
      <c r="I2206" s="16" t="s">
        <v>17</v>
      </c>
      <c r="J2206" s="16"/>
    </row>
    <row r="2207" spans="2:10" x14ac:dyDescent="0.25">
      <c r="B2207" s="16" t="s">
        <v>33</v>
      </c>
      <c r="C2207" s="17">
        <v>45139</v>
      </c>
      <c r="D2207" s="16">
        <v>1079455</v>
      </c>
      <c r="E2207" s="16">
        <v>9378</v>
      </c>
      <c r="F2207" s="16" t="s">
        <v>30</v>
      </c>
      <c r="G2207" s="16" t="s">
        <v>52</v>
      </c>
      <c r="H2207" s="16" t="s">
        <v>49</v>
      </c>
      <c r="I2207" s="16" t="s">
        <v>29</v>
      </c>
      <c r="J2207" s="16"/>
    </row>
    <row r="2208" spans="2:10" x14ac:dyDescent="0.25">
      <c r="B2208" s="16" t="s">
        <v>22</v>
      </c>
      <c r="C2208" s="17">
        <v>45139</v>
      </c>
      <c r="D2208" s="16">
        <v>350127</v>
      </c>
      <c r="E2208" s="16">
        <v>9398</v>
      </c>
      <c r="F2208" s="16" t="s">
        <v>65</v>
      </c>
      <c r="G2208" s="16" t="s">
        <v>16</v>
      </c>
      <c r="H2208" s="16" t="s">
        <v>41</v>
      </c>
      <c r="I2208" s="16" t="s">
        <v>17</v>
      </c>
      <c r="J2208" s="16"/>
    </row>
    <row r="2209" spans="2:10" x14ac:dyDescent="0.25">
      <c r="B2209" s="16" t="s">
        <v>22</v>
      </c>
      <c r="C2209" s="17">
        <v>45139</v>
      </c>
      <c r="D2209" s="16">
        <v>110726</v>
      </c>
      <c r="E2209" s="16">
        <v>11604</v>
      </c>
      <c r="F2209" s="16" t="s">
        <v>63</v>
      </c>
      <c r="G2209" s="16" t="s">
        <v>262</v>
      </c>
      <c r="H2209" s="16" t="s">
        <v>38</v>
      </c>
      <c r="I2209" s="16" t="s">
        <v>17</v>
      </c>
      <c r="J2209" s="16"/>
    </row>
    <row r="2210" spans="2:10" x14ac:dyDescent="0.25">
      <c r="B2210" s="16" t="s">
        <v>22</v>
      </c>
      <c r="C2210" s="17">
        <v>45139</v>
      </c>
      <c r="D2210" s="16">
        <v>130680</v>
      </c>
      <c r="E2210" s="16">
        <v>13090</v>
      </c>
      <c r="F2210" s="16" t="s">
        <v>241</v>
      </c>
      <c r="G2210" s="16" t="s">
        <v>7</v>
      </c>
      <c r="H2210" s="16" t="s">
        <v>71</v>
      </c>
      <c r="I2210" s="16" t="s">
        <v>17</v>
      </c>
      <c r="J2210" s="16"/>
    </row>
    <row r="2211" spans="2:10" x14ac:dyDescent="0.25">
      <c r="B2211" s="16" t="s">
        <v>2</v>
      </c>
      <c r="C2211" s="17">
        <v>45139</v>
      </c>
      <c r="D2211" s="16">
        <v>2135664</v>
      </c>
      <c r="E2211" s="16">
        <v>9459</v>
      </c>
      <c r="F2211" s="16" t="s">
        <v>105</v>
      </c>
      <c r="G2211" s="16" t="s">
        <v>5</v>
      </c>
      <c r="H2211" s="16" t="s">
        <v>184</v>
      </c>
      <c r="I2211" s="16" t="s">
        <v>61</v>
      </c>
      <c r="J2211" s="16"/>
    </row>
    <row r="2212" spans="2:10" x14ac:dyDescent="0.25">
      <c r="B2212" s="16" t="s">
        <v>2</v>
      </c>
      <c r="C2212" s="17">
        <v>45139</v>
      </c>
      <c r="D2212" s="16">
        <v>164682</v>
      </c>
      <c r="E2212" s="16">
        <v>7511</v>
      </c>
      <c r="F2212" s="16" t="s">
        <v>333</v>
      </c>
      <c r="G2212" s="16" t="s">
        <v>7</v>
      </c>
      <c r="H2212" s="16" t="s">
        <v>38</v>
      </c>
      <c r="I2212" s="16" t="s">
        <v>17</v>
      </c>
      <c r="J2212" s="16"/>
    </row>
    <row r="2213" spans="2:10" x14ac:dyDescent="0.25">
      <c r="B2213" s="16" t="s">
        <v>210</v>
      </c>
      <c r="C2213" s="17">
        <v>45140</v>
      </c>
      <c r="D2213" s="16">
        <v>481390</v>
      </c>
      <c r="E2213" s="16">
        <v>9417</v>
      </c>
      <c r="F2213" s="18" t="s">
        <v>72</v>
      </c>
      <c r="G2213" s="16" t="s">
        <v>341</v>
      </c>
      <c r="H2213" s="16" t="s">
        <v>186</v>
      </c>
      <c r="I2213" s="16" t="s">
        <v>61</v>
      </c>
      <c r="J2213" s="16"/>
    </row>
    <row r="2214" spans="2:10" x14ac:dyDescent="0.25">
      <c r="B2214" s="16" t="s">
        <v>210</v>
      </c>
      <c r="C2214" s="17">
        <v>45140</v>
      </c>
      <c r="D2214" s="16">
        <v>1422923</v>
      </c>
      <c r="E2214" s="16">
        <v>13235</v>
      </c>
      <c r="F2214" s="18" t="s">
        <v>99</v>
      </c>
      <c r="G2214" s="16" t="s">
        <v>343</v>
      </c>
      <c r="H2214" s="16" t="s">
        <v>39</v>
      </c>
      <c r="I2214" s="16" t="s">
        <v>344</v>
      </c>
    </row>
    <row r="2215" spans="2:10" x14ac:dyDescent="0.25">
      <c r="B2215" s="16" t="s">
        <v>210</v>
      </c>
      <c r="C2215" s="17">
        <v>45140</v>
      </c>
      <c r="D2215" s="16">
        <v>1422922</v>
      </c>
      <c r="E2215" s="16">
        <v>13235</v>
      </c>
      <c r="F2215" s="18" t="s">
        <v>99</v>
      </c>
      <c r="G2215" s="16" t="s">
        <v>343</v>
      </c>
      <c r="H2215" s="16" t="s">
        <v>39</v>
      </c>
      <c r="I2215" s="16" t="s">
        <v>344</v>
      </c>
    </row>
    <row r="2216" spans="2:10" x14ac:dyDescent="0.25">
      <c r="B2216" s="16" t="s">
        <v>22</v>
      </c>
      <c r="C2216" s="17">
        <v>45140</v>
      </c>
      <c r="D2216" s="16">
        <v>1205425</v>
      </c>
      <c r="E2216" s="16" t="s">
        <v>399</v>
      </c>
      <c r="F2216" s="18" t="s">
        <v>20</v>
      </c>
      <c r="G2216" s="16" t="s">
        <v>341</v>
      </c>
      <c r="H2216" s="18" t="s">
        <v>20</v>
      </c>
      <c r="I2216" s="16" t="s">
        <v>243</v>
      </c>
    </row>
    <row r="2217" spans="2:10" x14ac:dyDescent="0.25">
      <c r="B2217" s="16" t="s">
        <v>26</v>
      </c>
      <c r="C2217" s="17">
        <v>45140</v>
      </c>
      <c r="D2217" s="16">
        <v>1205426</v>
      </c>
      <c r="E2217" s="16" t="s">
        <v>399</v>
      </c>
      <c r="F2217" s="18" t="s">
        <v>20</v>
      </c>
      <c r="G2217" s="16" t="s">
        <v>341</v>
      </c>
      <c r="H2217" s="18" t="s">
        <v>20</v>
      </c>
      <c r="I2217" s="16" t="s">
        <v>243</v>
      </c>
    </row>
    <row r="2218" spans="2:10" x14ac:dyDescent="0.25">
      <c r="B2218" s="16" t="s">
        <v>33</v>
      </c>
      <c r="C2218" s="17">
        <v>45140</v>
      </c>
      <c r="D2218" s="16">
        <v>2395289</v>
      </c>
      <c r="E2218" s="16">
        <v>8252</v>
      </c>
      <c r="F2218" s="18" t="s">
        <v>286</v>
      </c>
      <c r="G2218" s="16" t="s">
        <v>52</v>
      </c>
      <c r="H2218" s="16" t="s">
        <v>184</v>
      </c>
      <c r="I2218" s="16" t="s">
        <v>61</v>
      </c>
    </row>
    <row r="2219" spans="2:10" x14ac:dyDescent="0.25">
      <c r="B2219" s="16" t="s">
        <v>33</v>
      </c>
      <c r="C2219" s="17">
        <v>45140</v>
      </c>
      <c r="D2219" s="16">
        <v>2395290</v>
      </c>
      <c r="E2219" s="16">
        <v>8252</v>
      </c>
      <c r="F2219" s="18" t="s">
        <v>286</v>
      </c>
      <c r="G2219" s="16" t="s">
        <v>52</v>
      </c>
      <c r="H2219" s="16" t="s">
        <v>184</v>
      </c>
      <c r="I2219" s="16" t="s">
        <v>61</v>
      </c>
    </row>
    <row r="2220" spans="2:10" x14ac:dyDescent="0.25">
      <c r="B2220" s="16" t="s">
        <v>210</v>
      </c>
      <c r="C2220" s="17">
        <v>45140</v>
      </c>
      <c r="D2220" s="16">
        <v>341512</v>
      </c>
      <c r="E2220" s="16">
        <v>66719</v>
      </c>
      <c r="F2220" s="18" t="s">
        <v>180</v>
      </c>
      <c r="G2220" s="16" t="s">
        <v>334</v>
      </c>
      <c r="H2220" s="16" t="s">
        <v>215</v>
      </c>
      <c r="I2220" s="16" t="s">
        <v>400</v>
      </c>
    </row>
    <row r="2221" spans="2:10" x14ac:dyDescent="0.25">
      <c r="B2221" s="16" t="s">
        <v>2</v>
      </c>
      <c r="C2221" s="17">
        <v>45140</v>
      </c>
      <c r="D2221" s="16">
        <v>120734</v>
      </c>
      <c r="E2221" s="16">
        <v>11604</v>
      </c>
      <c r="F2221" s="18" t="s">
        <v>63</v>
      </c>
      <c r="G2221" s="16" t="s">
        <v>262</v>
      </c>
      <c r="H2221" s="16" t="s">
        <v>49</v>
      </c>
      <c r="I2221" s="16" t="s">
        <v>17</v>
      </c>
    </row>
    <row r="2222" spans="2:10" x14ac:dyDescent="0.25">
      <c r="B2222" s="16" t="s">
        <v>210</v>
      </c>
      <c r="C2222" s="17">
        <v>45140</v>
      </c>
      <c r="D2222" s="16">
        <v>263947</v>
      </c>
      <c r="E2222" s="16">
        <v>9382</v>
      </c>
      <c r="F2222" s="18" t="s">
        <v>401</v>
      </c>
      <c r="G2222" s="16" t="s">
        <v>5</v>
      </c>
      <c r="H2222" s="16" t="s">
        <v>220</v>
      </c>
      <c r="I2222" s="16" t="s">
        <v>402</v>
      </c>
    </row>
    <row r="2223" spans="2:10" x14ac:dyDescent="0.25">
      <c r="B2223" s="16" t="s">
        <v>210</v>
      </c>
      <c r="C2223" s="17">
        <v>45140</v>
      </c>
      <c r="D2223" s="16">
        <v>263949</v>
      </c>
      <c r="E2223" s="16">
        <v>9382</v>
      </c>
      <c r="F2223" s="18" t="s">
        <v>401</v>
      </c>
      <c r="G2223" s="16" t="s">
        <v>5</v>
      </c>
      <c r="H2223" s="16" t="s">
        <v>220</v>
      </c>
      <c r="I2223" s="16" t="s">
        <v>402</v>
      </c>
    </row>
    <row r="2224" spans="2:10" x14ac:dyDescent="0.25">
      <c r="B2224" s="16" t="s">
        <v>210</v>
      </c>
      <c r="C2224" s="17">
        <v>45140</v>
      </c>
      <c r="D2224" s="16">
        <v>263948</v>
      </c>
      <c r="E2224" s="16">
        <v>9382</v>
      </c>
      <c r="F2224" s="18" t="s">
        <v>401</v>
      </c>
      <c r="G2224" s="16" t="s">
        <v>5</v>
      </c>
      <c r="H2224" s="16" t="s">
        <v>220</v>
      </c>
      <c r="I2224" s="16" t="s">
        <v>402</v>
      </c>
    </row>
    <row r="2225" spans="2:9" x14ac:dyDescent="0.25">
      <c r="B2225" s="16" t="s">
        <v>210</v>
      </c>
      <c r="C2225" s="17">
        <v>45140</v>
      </c>
      <c r="D2225" s="16">
        <v>263950</v>
      </c>
      <c r="E2225" s="16">
        <v>9382</v>
      </c>
      <c r="F2225" s="18" t="s">
        <v>401</v>
      </c>
      <c r="G2225" s="16" t="s">
        <v>5</v>
      </c>
      <c r="H2225" s="16" t="s">
        <v>220</v>
      </c>
      <c r="I2225" s="16" t="s">
        <v>402</v>
      </c>
    </row>
    <row r="2226" spans="2:9" x14ac:dyDescent="0.25">
      <c r="B2226" s="16" t="s">
        <v>210</v>
      </c>
      <c r="C2226" s="17">
        <v>45140</v>
      </c>
      <c r="D2226" s="16">
        <v>14770</v>
      </c>
      <c r="E2226" s="16">
        <v>70826</v>
      </c>
      <c r="F2226" s="18" t="s">
        <v>20</v>
      </c>
      <c r="G2226" s="16" t="s">
        <v>16</v>
      </c>
      <c r="H2226" s="16" t="s">
        <v>75</v>
      </c>
      <c r="I2226" s="16" t="s">
        <v>61</v>
      </c>
    </row>
    <row r="2227" spans="2:9" x14ac:dyDescent="0.25">
      <c r="B2227" s="16" t="s">
        <v>2</v>
      </c>
      <c r="C2227" s="17">
        <v>45140</v>
      </c>
      <c r="D2227" s="16">
        <v>7046</v>
      </c>
      <c r="E2227" s="16">
        <v>64800</v>
      </c>
      <c r="F2227" s="18" t="s">
        <v>276</v>
      </c>
      <c r="G2227" s="16" t="s">
        <v>20</v>
      </c>
      <c r="H2227" s="16" t="s">
        <v>31</v>
      </c>
      <c r="I2227" s="16" t="s">
        <v>32</v>
      </c>
    </row>
    <row r="2228" spans="2:9" x14ac:dyDescent="0.25">
      <c r="B2228" s="16" t="s">
        <v>40</v>
      </c>
      <c r="C2228" s="17">
        <v>45140</v>
      </c>
      <c r="D2228" s="16">
        <v>1120522</v>
      </c>
      <c r="E2228" s="18" t="s">
        <v>20</v>
      </c>
      <c r="F2228" s="18" t="s">
        <v>20</v>
      </c>
      <c r="G2228" s="16" t="s">
        <v>334</v>
      </c>
      <c r="H2228" s="16" t="s">
        <v>228</v>
      </c>
      <c r="I2228" s="16" t="s">
        <v>51</v>
      </c>
    </row>
    <row r="2229" spans="2:9" x14ac:dyDescent="0.25">
      <c r="B2229" s="16" t="s">
        <v>33</v>
      </c>
      <c r="C2229" s="17">
        <v>45140</v>
      </c>
      <c r="D2229" s="16">
        <v>241873</v>
      </c>
      <c r="E2229" s="16">
        <v>1175</v>
      </c>
      <c r="F2229" s="18" t="s">
        <v>81</v>
      </c>
      <c r="G2229" s="16" t="s">
        <v>7</v>
      </c>
      <c r="H2229" s="16" t="s">
        <v>38</v>
      </c>
      <c r="I2229" s="16" t="s">
        <v>17</v>
      </c>
    </row>
    <row r="2230" spans="2:9" x14ac:dyDescent="0.25">
      <c r="B2230" s="16" t="s">
        <v>33</v>
      </c>
      <c r="C2230" s="17">
        <v>45140</v>
      </c>
      <c r="D2230" s="16">
        <v>1205427</v>
      </c>
      <c r="E2230" s="16" t="s">
        <v>399</v>
      </c>
      <c r="F2230" s="18" t="s">
        <v>20</v>
      </c>
      <c r="G2230" s="16" t="s">
        <v>341</v>
      </c>
      <c r="H2230" s="18" t="s">
        <v>20</v>
      </c>
      <c r="I2230" s="16" t="s">
        <v>17</v>
      </c>
    </row>
    <row r="2231" spans="2:9" x14ac:dyDescent="0.25">
      <c r="B2231" s="16" t="s">
        <v>33</v>
      </c>
      <c r="C2231" s="17">
        <v>45140</v>
      </c>
      <c r="D2231" s="16">
        <v>142594</v>
      </c>
      <c r="E2231" s="16">
        <v>1754</v>
      </c>
      <c r="F2231" s="18" t="s">
        <v>240</v>
      </c>
      <c r="G2231" s="16" t="s">
        <v>6</v>
      </c>
      <c r="H2231" s="16" t="s">
        <v>28</v>
      </c>
      <c r="I2231" s="16" t="s">
        <v>403</v>
      </c>
    </row>
    <row r="2232" spans="2:9" x14ac:dyDescent="0.25">
      <c r="B2232" s="16" t="s">
        <v>33</v>
      </c>
      <c r="C2232" s="17">
        <v>45140</v>
      </c>
      <c r="D2232" s="16">
        <v>44288</v>
      </c>
      <c r="E2232" s="16">
        <v>63846</v>
      </c>
      <c r="F2232" s="18" t="s">
        <v>271</v>
      </c>
      <c r="G2232" s="16" t="s">
        <v>343</v>
      </c>
      <c r="H2232" s="16" t="s">
        <v>184</v>
      </c>
      <c r="I2232" s="16" t="s">
        <v>61</v>
      </c>
    </row>
    <row r="2233" spans="2:9" x14ac:dyDescent="0.25">
      <c r="B2233" s="16" t="s">
        <v>26</v>
      </c>
      <c r="C2233" s="17">
        <v>45140</v>
      </c>
      <c r="D2233" s="16">
        <v>7045</v>
      </c>
      <c r="E2233" s="16">
        <v>64800</v>
      </c>
      <c r="F2233" s="18" t="s">
        <v>276</v>
      </c>
      <c r="G2233" s="16" t="s">
        <v>341</v>
      </c>
      <c r="H2233" s="16" t="s">
        <v>215</v>
      </c>
      <c r="I2233" s="16" t="s">
        <v>400</v>
      </c>
    </row>
    <row r="2234" spans="2:9" x14ac:dyDescent="0.25">
      <c r="B2234" s="16" t="s">
        <v>26</v>
      </c>
      <c r="C2234" s="17">
        <v>45140</v>
      </c>
      <c r="D2234" s="16">
        <v>84052</v>
      </c>
      <c r="E2234" s="16">
        <v>64460</v>
      </c>
      <c r="F2234" s="18" t="s">
        <v>139</v>
      </c>
      <c r="G2234" s="16" t="s">
        <v>6</v>
      </c>
      <c r="H2234" s="16" t="s">
        <v>41</v>
      </c>
      <c r="I2234" s="16" t="s">
        <v>17</v>
      </c>
    </row>
    <row r="2235" spans="2:9" x14ac:dyDescent="0.25">
      <c r="B2235" s="16" t="s">
        <v>26</v>
      </c>
      <c r="C2235" s="17">
        <v>45140</v>
      </c>
      <c r="D2235" s="16">
        <v>4672216</v>
      </c>
      <c r="E2235" s="16">
        <v>9460</v>
      </c>
      <c r="F2235" s="18" t="s">
        <v>183</v>
      </c>
      <c r="G2235" s="18" t="s">
        <v>20</v>
      </c>
      <c r="H2235" s="16" t="s">
        <v>71</v>
      </c>
      <c r="I2235" s="16" t="s">
        <v>17</v>
      </c>
    </row>
    <row r="2236" spans="2:9" x14ac:dyDescent="0.25">
      <c r="B2236" s="16" t="s">
        <v>40</v>
      </c>
      <c r="C2236" s="17">
        <v>45140</v>
      </c>
      <c r="D2236" s="16">
        <v>108567</v>
      </c>
      <c r="E2236" s="16">
        <v>64429</v>
      </c>
      <c r="F2236" s="18" t="s">
        <v>404</v>
      </c>
      <c r="G2236" s="16" t="s">
        <v>341</v>
      </c>
      <c r="H2236" s="16" t="s">
        <v>28</v>
      </c>
      <c r="I2236" s="16" t="s">
        <v>51</v>
      </c>
    </row>
    <row r="2237" spans="2:9" x14ac:dyDescent="0.25">
      <c r="B2237" s="16" t="s">
        <v>40</v>
      </c>
      <c r="C2237" s="17">
        <v>45140</v>
      </c>
      <c r="D2237" s="16">
        <v>108566</v>
      </c>
      <c r="E2237" s="16">
        <v>64429</v>
      </c>
      <c r="F2237" s="18" t="s">
        <v>404</v>
      </c>
      <c r="G2237" s="16" t="s">
        <v>341</v>
      </c>
      <c r="H2237" s="16" t="s">
        <v>28</v>
      </c>
      <c r="I2237" s="16" t="s">
        <v>51</v>
      </c>
    </row>
    <row r="2238" spans="2:9" x14ac:dyDescent="0.25">
      <c r="B2238" s="16" t="s">
        <v>40</v>
      </c>
      <c r="C2238" s="17">
        <v>45140</v>
      </c>
      <c r="D2238" s="16">
        <v>26461</v>
      </c>
      <c r="E2238" s="16">
        <v>64429</v>
      </c>
      <c r="F2238" s="18" t="s">
        <v>404</v>
      </c>
      <c r="G2238" s="16" t="s">
        <v>341</v>
      </c>
      <c r="H2238" s="16" t="s">
        <v>28</v>
      </c>
      <c r="I2238" s="16" t="s">
        <v>51</v>
      </c>
    </row>
    <row r="2239" spans="2:9" x14ac:dyDescent="0.25">
      <c r="B2239" s="16" t="s">
        <v>40</v>
      </c>
      <c r="C2239" s="17">
        <v>45140</v>
      </c>
      <c r="D2239" s="16">
        <v>108568</v>
      </c>
      <c r="E2239" s="16">
        <v>64429</v>
      </c>
      <c r="F2239" s="18" t="s">
        <v>404</v>
      </c>
      <c r="G2239" s="16" t="s">
        <v>341</v>
      </c>
      <c r="H2239" s="16" t="s">
        <v>28</v>
      </c>
      <c r="I2239" s="16" t="s">
        <v>51</v>
      </c>
    </row>
    <row r="2240" spans="2:9" x14ac:dyDescent="0.25">
      <c r="B2240" s="16" t="s">
        <v>33</v>
      </c>
      <c r="C2240" s="17">
        <v>45140</v>
      </c>
      <c r="D2240" s="16">
        <v>164689</v>
      </c>
      <c r="E2240" s="16">
        <v>7511</v>
      </c>
      <c r="F2240" s="18" t="s">
        <v>333</v>
      </c>
      <c r="G2240" s="16" t="s">
        <v>7</v>
      </c>
      <c r="H2240" s="16" t="s">
        <v>36</v>
      </c>
      <c r="I2240" s="16" t="s">
        <v>123</v>
      </c>
    </row>
    <row r="2241" spans="2:9" x14ac:dyDescent="0.25">
      <c r="B2241" s="16" t="s">
        <v>33</v>
      </c>
      <c r="C2241" s="17">
        <v>45141</v>
      </c>
      <c r="D2241" s="16">
        <v>653802</v>
      </c>
      <c r="E2241" s="16">
        <v>3610</v>
      </c>
      <c r="F2241" s="18" t="s">
        <v>8</v>
      </c>
      <c r="G2241" s="16" t="s">
        <v>262</v>
      </c>
      <c r="H2241" s="16" t="s">
        <v>38</v>
      </c>
      <c r="I2241" s="16" t="s">
        <v>17</v>
      </c>
    </row>
    <row r="2242" spans="2:9" x14ac:dyDescent="0.25">
      <c r="B2242" s="16" t="s">
        <v>26</v>
      </c>
      <c r="C2242" s="17">
        <v>45141</v>
      </c>
      <c r="D2242" s="16">
        <v>830048</v>
      </c>
      <c r="E2242" s="16">
        <v>9364</v>
      </c>
      <c r="F2242" s="18" t="s">
        <v>141</v>
      </c>
      <c r="G2242" s="16" t="s">
        <v>334</v>
      </c>
      <c r="H2242" s="16" t="s">
        <v>28</v>
      </c>
      <c r="I2242" s="16" t="s">
        <v>61</v>
      </c>
    </row>
    <row r="2243" spans="2:9" x14ac:dyDescent="0.25">
      <c r="B2243" s="16" t="s">
        <v>22</v>
      </c>
      <c r="C2243" s="17">
        <v>45141</v>
      </c>
      <c r="D2243" s="16">
        <v>488620</v>
      </c>
      <c r="E2243" s="16">
        <v>9417</v>
      </c>
      <c r="F2243" s="18" t="s">
        <v>72</v>
      </c>
      <c r="G2243" s="16" t="s">
        <v>341</v>
      </c>
      <c r="H2243" s="16" t="s">
        <v>186</v>
      </c>
      <c r="I2243" s="16" t="s">
        <v>61</v>
      </c>
    </row>
    <row r="2244" spans="2:9" x14ac:dyDescent="0.25">
      <c r="B2244" s="16" t="s">
        <v>33</v>
      </c>
      <c r="C2244" s="17">
        <v>45141</v>
      </c>
      <c r="D2244" s="16">
        <v>830043</v>
      </c>
      <c r="E2244" s="16">
        <v>9364</v>
      </c>
      <c r="F2244" s="18" t="s">
        <v>141</v>
      </c>
      <c r="G2244" s="16" t="s">
        <v>334</v>
      </c>
      <c r="H2244" s="16" t="s">
        <v>28</v>
      </c>
      <c r="I2244" s="16" t="s">
        <v>61</v>
      </c>
    </row>
    <row r="2245" spans="2:9" x14ac:dyDescent="0.25">
      <c r="B2245" s="16" t="s">
        <v>26</v>
      </c>
      <c r="C2245" s="17">
        <v>45141</v>
      </c>
      <c r="D2245" s="16">
        <v>1212</v>
      </c>
      <c r="E2245" s="16">
        <v>10263</v>
      </c>
      <c r="F2245" s="18" t="s">
        <v>34</v>
      </c>
      <c r="G2245" s="16" t="s">
        <v>16</v>
      </c>
      <c r="H2245" s="16" t="s">
        <v>36</v>
      </c>
      <c r="I2245" s="16" t="s">
        <v>61</v>
      </c>
    </row>
    <row r="2246" spans="2:9" x14ac:dyDescent="0.25">
      <c r="B2246" s="16" t="s">
        <v>26</v>
      </c>
      <c r="C2246" s="17">
        <v>45141</v>
      </c>
      <c r="D2246" s="16">
        <v>1216</v>
      </c>
      <c r="E2246" s="16">
        <v>10263</v>
      </c>
      <c r="F2246" s="18" t="s">
        <v>34</v>
      </c>
      <c r="G2246" s="16" t="s">
        <v>16</v>
      </c>
      <c r="H2246" s="16" t="s">
        <v>184</v>
      </c>
      <c r="I2246" s="16" t="s">
        <v>61</v>
      </c>
    </row>
    <row r="2247" spans="2:9" x14ac:dyDescent="0.25">
      <c r="B2247" s="16" t="s">
        <v>2</v>
      </c>
      <c r="C2247" s="17">
        <v>45141</v>
      </c>
      <c r="D2247" s="16">
        <v>985</v>
      </c>
      <c r="E2247" s="16">
        <v>10263</v>
      </c>
      <c r="F2247" s="18" t="s">
        <v>34</v>
      </c>
      <c r="G2247" s="16" t="s">
        <v>16</v>
      </c>
      <c r="H2247" s="16" t="s">
        <v>36</v>
      </c>
      <c r="I2247" s="16" t="s">
        <v>61</v>
      </c>
    </row>
    <row r="2248" spans="2:9" x14ac:dyDescent="0.25">
      <c r="B2248" s="16" t="s">
        <v>2</v>
      </c>
      <c r="C2248" s="17">
        <v>45141</v>
      </c>
      <c r="D2248" s="16">
        <v>986</v>
      </c>
      <c r="E2248" s="16">
        <v>10263</v>
      </c>
      <c r="F2248" s="18" t="s">
        <v>34</v>
      </c>
      <c r="G2248" s="16" t="s">
        <v>16</v>
      </c>
      <c r="H2248" s="16" t="s">
        <v>184</v>
      </c>
      <c r="I2248" s="16" t="s">
        <v>61</v>
      </c>
    </row>
    <row r="2249" spans="2:9" x14ac:dyDescent="0.25">
      <c r="B2249" s="16" t="s">
        <v>210</v>
      </c>
      <c r="C2249" s="17">
        <v>45141</v>
      </c>
      <c r="D2249" s="16">
        <v>894</v>
      </c>
      <c r="E2249" s="16">
        <v>10263</v>
      </c>
      <c r="F2249" s="18" t="s">
        <v>34</v>
      </c>
      <c r="G2249" s="16" t="s">
        <v>16</v>
      </c>
      <c r="H2249" s="16" t="s">
        <v>36</v>
      </c>
      <c r="I2249" s="16" t="s">
        <v>61</v>
      </c>
    </row>
    <row r="2250" spans="2:9" x14ac:dyDescent="0.25">
      <c r="B2250" s="16" t="s">
        <v>210</v>
      </c>
      <c r="C2250" s="17">
        <v>45141</v>
      </c>
      <c r="D2250" s="16">
        <v>881</v>
      </c>
      <c r="E2250" s="16">
        <v>10263</v>
      </c>
      <c r="F2250" s="18" t="s">
        <v>34</v>
      </c>
      <c r="G2250" s="16" t="s">
        <v>16</v>
      </c>
      <c r="H2250" s="16" t="s">
        <v>36</v>
      </c>
      <c r="I2250" s="16" t="s">
        <v>61</v>
      </c>
    </row>
    <row r="2251" spans="2:9" x14ac:dyDescent="0.25">
      <c r="B2251" s="16" t="s">
        <v>210</v>
      </c>
      <c r="C2251" s="17">
        <v>45141</v>
      </c>
      <c r="D2251" s="16">
        <v>908</v>
      </c>
      <c r="E2251" s="16">
        <v>10263</v>
      </c>
      <c r="F2251" s="18" t="s">
        <v>34</v>
      </c>
      <c r="G2251" s="16" t="s">
        <v>16</v>
      </c>
      <c r="H2251" s="16" t="s">
        <v>36</v>
      </c>
      <c r="I2251" s="16" t="s">
        <v>61</v>
      </c>
    </row>
    <row r="2252" spans="2:9" x14ac:dyDescent="0.25">
      <c r="B2252" s="16" t="s">
        <v>210</v>
      </c>
      <c r="C2252" s="17">
        <v>45141</v>
      </c>
      <c r="D2252" s="16">
        <v>886</v>
      </c>
      <c r="E2252" s="16">
        <v>10263</v>
      </c>
      <c r="F2252" s="18" t="s">
        <v>34</v>
      </c>
      <c r="G2252" s="16" t="s">
        <v>16</v>
      </c>
      <c r="H2252" s="16" t="s">
        <v>36</v>
      </c>
      <c r="I2252" s="16" t="s">
        <v>61</v>
      </c>
    </row>
    <row r="2253" spans="2:9" x14ac:dyDescent="0.25">
      <c r="B2253" s="16" t="s">
        <v>33</v>
      </c>
      <c r="C2253" s="17">
        <v>45141</v>
      </c>
      <c r="D2253" s="16">
        <v>2311</v>
      </c>
      <c r="E2253" s="16">
        <v>71780</v>
      </c>
      <c r="F2253" s="18" t="s">
        <v>20</v>
      </c>
      <c r="G2253" s="16" t="s">
        <v>52</v>
      </c>
      <c r="H2253" s="16" t="s">
        <v>36</v>
      </c>
      <c r="I2253" s="16" t="s">
        <v>20</v>
      </c>
    </row>
    <row r="2254" spans="2:9" x14ac:dyDescent="0.25">
      <c r="B2254" s="16" t="s">
        <v>33</v>
      </c>
      <c r="C2254" s="17">
        <v>45141</v>
      </c>
      <c r="D2254" s="16">
        <v>488623</v>
      </c>
      <c r="E2254" s="16">
        <v>9417</v>
      </c>
      <c r="F2254" s="18" t="s">
        <v>72</v>
      </c>
      <c r="G2254" s="16" t="s">
        <v>341</v>
      </c>
      <c r="H2254" s="16" t="s">
        <v>39</v>
      </c>
      <c r="I2254" s="16" t="s">
        <v>243</v>
      </c>
    </row>
    <row r="2255" spans="2:9" x14ac:dyDescent="0.25">
      <c r="B2255" s="16" t="s">
        <v>2</v>
      </c>
      <c r="C2255" s="17">
        <v>45141</v>
      </c>
      <c r="D2255" s="16">
        <v>996</v>
      </c>
      <c r="E2255" s="16">
        <v>10263</v>
      </c>
      <c r="F2255" s="18" t="s">
        <v>34</v>
      </c>
      <c r="G2255" s="16" t="s">
        <v>16</v>
      </c>
      <c r="H2255" s="16" t="s">
        <v>39</v>
      </c>
      <c r="I2255" s="16" t="s">
        <v>20</v>
      </c>
    </row>
    <row r="2256" spans="2:9" x14ac:dyDescent="0.25">
      <c r="B2256" s="16" t="s">
        <v>2</v>
      </c>
      <c r="C2256" s="17">
        <v>45141</v>
      </c>
      <c r="D2256" s="16">
        <v>995</v>
      </c>
      <c r="E2256" s="16">
        <v>10263</v>
      </c>
      <c r="F2256" s="18" t="s">
        <v>34</v>
      </c>
      <c r="G2256" s="16" t="s">
        <v>16</v>
      </c>
      <c r="H2256" s="16" t="s">
        <v>36</v>
      </c>
      <c r="I2256" s="16" t="s">
        <v>61</v>
      </c>
    </row>
    <row r="2257" spans="2:9" x14ac:dyDescent="0.25">
      <c r="B2257" s="16" t="s">
        <v>22</v>
      </c>
      <c r="C2257" s="17">
        <v>45141</v>
      </c>
      <c r="D2257" s="16">
        <v>726</v>
      </c>
      <c r="E2257" s="16">
        <v>10263</v>
      </c>
      <c r="F2257" s="18" t="s">
        <v>34</v>
      </c>
      <c r="G2257" s="16" t="s">
        <v>16</v>
      </c>
      <c r="H2257" s="16" t="s">
        <v>36</v>
      </c>
      <c r="I2257" s="16" t="s">
        <v>61</v>
      </c>
    </row>
    <row r="2258" spans="2:9" x14ac:dyDescent="0.25">
      <c r="B2258" s="16" t="s">
        <v>22</v>
      </c>
      <c r="C2258" s="17">
        <v>45141</v>
      </c>
      <c r="D2258" s="16">
        <v>729</v>
      </c>
      <c r="E2258" s="16">
        <v>10263</v>
      </c>
      <c r="F2258" s="18" t="s">
        <v>34</v>
      </c>
      <c r="G2258" s="16" t="s">
        <v>16</v>
      </c>
      <c r="H2258" s="16" t="s">
        <v>36</v>
      </c>
      <c r="I2258" s="16" t="s">
        <v>61</v>
      </c>
    </row>
    <row r="2259" spans="2:9" x14ac:dyDescent="0.25">
      <c r="B2259" s="16" t="s">
        <v>22</v>
      </c>
      <c r="C2259" s="17">
        <v>45141</v>
      </c>
      <c r="D2259" s="16">
        <v>730</v>
      </c>
      <c r="E2259" s="16">
        <v>10263</v>
      </c>
      <c r="F2259" s="18" t="s">
        <v>34</v>
      </c>
      <c r="G2259" s="16" t="s">
        <v>16</v>
      </c>
      <c r="H2259" s="16" t="s">
        <v>184</v>
      </c>
      <c r="I2259" s="16" t="s">
        <v>61</v>
      </c>
    </row>
    <row r="2260" spans="2:9" x14ac:dyDescent="0.25">
      <c r="B2260" s="16" t="s">
        <v>22</v>
      </c>
      <c r="C2260" s="17">
        <v>45141</v>
      </c>
      <c r="D2260" s="16">
        <v>739</v>
      </c>
      <c r="E2260" s="16">
        <v>10263</v>
      </c>
      <c r="F2260" s="18" t="s">
        <v>34</v>
      </c>
      <c r="G2260" s="16" t="s">
        <v>16</v>
      </c>
      <c r="H2260" s="16" t="s">
        <v>36</v>
      </c>
      <c r="I2260" s="16" t="s">
        <v>61</v>
      </c>
    </row>
    <row r="2261" spans="2:9" x14ac:dyDescent="0.25">
      <c r="B2261" s="16" t="s">
        <v>22</v>
      </c>
      <c r="C2261" s="17">
        <v>45141</v>
      </c>
      <c r="D2261" s="16">
        <v>755</v>
      </c>
      <c r="E2261" s="16">
        <v>10263</v>
      </c>
      <c r="F2261" s="18" t="s">
        <v>34</v>
      </c>
      <c r="G2261" s="16" t="s">
        <v>16</v>
      </c>
      <c r="H2261" s="16" t="s">
        <v>36</v>
      </c>
      <c r="I2261" s="16" t="s">
        <v>61</v>
      </c>
    </row>
    <row r="2262" spans="2:9" x14ac:dyDescent="0.25">
      <c r="B2262" s="16" t="s">
        <v>22</v>
      </c>
      <c r="C2262" s="17">
        <v>45141</v>
      </c>
      <c r="D2262" s="16">
        <v>764</v>
      </c>
      <c r="E2262" s="16">
        <v>10263</v>
      </c>
      <c r="F2262" s="18" t="s">
        <v>34</v>
      </c>
      <c r="G2262" s="16" t="s">
        <v>16</v>
      </c>
      <c r="H2262" s="16" t="s">
        <v>184</v>
      </c>
      <c r="I2262" s="16" t="s">
        <v>61</v>
      </c>
    </row>
    <row r="2263" spans="2:9" x14ac:dyDescent="0.25">
      <c r="B2263" s="16" t="s">
        <v>210</v>
      </c>
      <c r="C2263" s="17">
        <v>45141</v>
      </c>
      <c r="D2263" s="16">
        <v>830044</v>
      </c>
      <c r="E2263" s="16">
        <v>9364</v>
      </c>
      <c r="F2263" s="18" t="s">
        <v>141</v>
      </c>
      <c r="G2263" s="16" t="s">
        <v>334</v>
      </c>
      <c r="H2263" s="16" t="s">
        <v>28</v>
      </c>
      <c r="I2263" s="16" t="s">
        <v>61</v>
      </c>
    </row>
    <row r="2264" spans="2:9" x14ac:dyDescent="0.25">
      <c r="B2264" s="16" t="s">
        <v>2</v>
      </c>
      <c r="C2264" s="17">
        <v>45141</v>
      </c>
      <c r="D2264" s="16">
        <v>805</v>
      </c>
      <c r="E2264" s="16">
        <v>10263</v>
      </c>
      <c r="F2264" s="18" t="s">
        <v>34</v>
      </c>
      <c r="G2264" s="16" t="s">
        <v>16</v>
      </c>
      <c r="H2264" s="16" t="s">
        <v>36</v>
      </c>
      <c r="I2264" s="16" t="s">
        <v>20</v>
      </c>
    </row>
    <row r="2265" spans="2:9" x14ac:dyDescent="0.25">
      <c r="B2265" s="16" t="s">
        <v>26</v>
      </c>
      <c r="C2265" s="17">
        <v>45141</v>
      </c>
      <c r="D2265" s="16">
        <v>1244</v>
      </c>
      <c r="E2265" s="16">
        <v>10263</v>
      </c>
      <c r="F2265" s="18" t="s">
        <v>34</v>
      </c>
      <c r="G2265" s="16" t="s">
        <v>16</v>
      </c>
      <c r="H2265" s="16" t="s">
        <v>36</v>
      </c>
      <c r="I2265" s="16" t="s">
        <v>61</v>
      </c>
    </row>
    <row r="2266" spans="2:9" x14ac:dyDescent="0.25">
      <c r="B2266" s="16" t="s">
        <v>33</v>
      </c>
      <c r="C2266" s="17">
        <v>45141</v>
      </c>
      <c r="D2266" s="16">
        <v>22001</v>
      </c>
      <c r="E2266" s="16">
        <v>2740</v>
      </c>
      <c r="F2266" s="18" t="s">
        <v>206</v>
      </c>
      <c r="G2266" s="16" t="s">
        <v>334</v>
      </c>
      <c r="H2266" s="16" t="s">
        <v>184</v>
      </c>
      <c r="I2266" s="16" t="s">
        <v>61</v>
      </c>
    </row>
    <row r="2267" spans="2:9" x14ac:dyDescent="0.25">
      <c r="B2267" s="16" t="s">
        <v>210</v>
      </c>
      <c r="C2267" s="17">
        <v>45141</v>
      </c>
      <c r="D2267" s="16">
        <v>887</v>
      </c>
      <c r="E2267" s="16">
        <v>10263</v>
      </c>
      <c r="F2267" s="18" t="s">
        <v>34</v>
      </c>
      <c r="G2267" s="16" t="s">
        <v>16</v>
      </c>
      <c r="H2267" s="16" t="s">
        <v>75</v>
      </c>
      <c r="I2267" s="16" t="s">
        <v>17</v>
      </c>
    </row>
    <row r="2268" spans="2:9" x14ac:dyDescent="0.25">
      <c r="B2268" s="16" t="s">
        <v>22</v>
      </c>
      <c r="C2268" s="17">
        <v>45141</v>
      </c>
      <c r="D2268" s="16">
        <v>2307</v>
      </c>
      <c r="E2268" s="16">
        <v>71780</v>
      </c>
      <c r="F2268" s="18" t="s">
        <v>20</v>
      </c>
      <c r="G2268" s="16" t="s">
        <v>52</v>
      </c>
      <c r="H2268" s="16" t="s">
        <v>46</v>
      </c>
      <c r="I2268" s="16" t="s">
        <v>73</v>
      </c>
    </row>
    <row r="2269" spans="2:9" x14ac:dyDescent="0.25">
      <c r="B2269" s="16" t="s">
        <v>22</v>
      </c>
      <c r="C2269" s="17">
        <v>45141</v>
      </c>
      <c r="D2269" s="16">
        <v>5041</v>
      </c>
      <c r="E2269" s="16">
        <v>71781</v>
      </c>
      <c r="F2269" s="18" t="s">
        <v>20</v>
      </c>
      <c r="G2269" s="16" t="s">
        <v>52</v>
      </c>
      <c r="H2269" s="16" t="s">
        <v>46</v>
      </c>
      <c r="I2269" s="16" t="s">
        <v>73</v>
      </c>
    </row>
    <row r="2270" spans="2:9" x14ac:dyDescent="0.25">
      <c r="B2270" s="16" t="s">
        <v>33</v>
      </c>
      <c r="C2270" s="17">
        <v>45141</v>
      </c>
      <c r="D2270" s="16">
        <v>49763</v>
      </c>
      <c r="E2270" s="16">
        <v>4644</v>
      </c>
      <c r="F2270" s="18" t="s">
        <v>209</v>
      </c>
      <c r="G2270" s="16" t="s">
        <v>5</v>
      </c>
      <c r="H2270" s="16" t="s">
        <v>71</v>
      </c>
      <c r="I2270" s="16" t="s">
        <v>17</v>
      </c>
    </row>
    <row r="2271" spans="2:9" x14ac:dyDescent="0.25">
      <c r="B2271" s="16" t="s">
        <v>33</v>
      </c>
      <c r="C2271" s="17">
        <v>45141</v>
      </c>
      <c r="D2271" s="16">
        <v>497943</v>
      </c>
      <c r="E2271" s="16">
        <v>9453</v>
      </c>
      <c r="F2271" s="18" t="s">
        <v>249</v>
      </c>
      <c r="G2271" s="16" t="s">
        <v>341</v>
      </c>
      <c r="H2271" s="16" t="s">
        <v>71</v>
      </c>
      <c r="I2271" s="16" t="s">
        <v>17</v>
      </c>
    </row>
    <row r="2272" spans="2:9" x14ac:dyDescent="0.25">
      <c r="B2272" s="16" t="s">
        <v>33</v>
      </c>
      <c r="C2272" s="17">
        <v>45141</v>
      </c>
      <c r="D2272" s="16">
        <v>497950</v>
      </c>
      <c r="E2272" s="16">
        <v>9453</v>
      </c>
      <c r="F2272" s="18" t="s">
        <v>249</v>
      </c>
      <c r="G2272" s="16" t="s">
        <v>341</v>
      </c>
      <c r="H2272" s="16" t="s">
        <v>71</v>
      </c>
      <c r="I2272" s="16" t="s">
        <v>17</v>
      </c>
    </row>
    <row r="2273" spans="2:9" x14ac:dyDescent="0.25">
      <c r="B2273" s="16" t="s">
        <v>33</v>
      </c>
      <c r="C2273" s="17">
        <v>45141</v>
      </c>
      <c r="D2273" s="16">
        <v>341811</v>
      </c>
      <c r="E2273" s="16">
        <v>66719</v>
      </c>
      <c r="F2273" s="18" t="s">
        <v>180</v>
      </c>
      <c r="G2273" s="16" t="s">
        <v>334</v>
      </c>
      <c r="H2273" s="16" t="s">
        <v>71</v>
      </c>
      <c r="I2273" s="16" t="s">
        <v>17</v>
      </c>
    </row>
    <row r="2274" spans="2:9" x14ac:dyDescent="0.25">
      <c r="B2274" s="16" t="s">
        <v>26</v>
      </c>
      <c r="C2274" s="17">
        <v>45141</v>
      </c>
      <c r="D2274" s="16">
        <v>1212</v>
      </c>
      <c r="E2274" s="16">
        <v>10263</v>
      </c>
      <c r="F2274" s="18" t="s">
        <v>34</v>
      </c>
      <c r="G2274" s="16" t="s">
        <v>16</v>
      </c>
      <c r="H2274" s="16" t="s">
        <v>36</v>
      </c>
      <c r="I2274" s="16" t="s">
        <v>61</v>
      </c>
    </row>
    <row r="2275" spans="2:9" x14ac:dyDescent="0.25">
      <c r="B2275" s="16" t="s">
        <v>26</v>
      </c>
      <c r="C2275" s="17">
        <v>45141</v>
      </c>
      <c r="D2275" s="16">
        <v>1216</v>
      </c>
      <c r="E2275" s="16">
        <v>10263</v>
      </c>
      <c r="F2275" s="18" t="s">
        <v>34</v>
      </c>
      <c r="G2275" s="16" t="s">
        <v>16</v>
      </c>
      <c r="H2275" s="16" t="s">
        <v>36</v>
      </c>
      <c r="I2275" s="16" t="s">
        <v>61</v>
      </c>
    </row>
    <row r="2276" spans="2:9" x14ac:dyDescent="0.25">
      <c r="B2276" s="16" t="s">
        <v>26</v>
      </c>
      <c r="C2276" s="17">
        <v>45141</v>
      </c>
      <c r="D2276" s="16">
        <v>1244</v>
      </c>
      <c r="E2276" s="16">
        <v>10263</v>
      </c>
      <c r="F2276" s="18" t="s">
        <v>34</v>
      </c>
      <c r="G2276" s="16" t="s">
        <v>16</v>
      </c>
      <c r="H2276" s="16" t="s">
        <v>36</v>
      </c>
      <c r="I2276" s="16" t="s">
        <v>61</v>
      </c>
    </row>
    <row r="2277" spans="2:9" x14ac:dyDescent="0.25">
      <c r="B2277" s="16" t="s">
        <v>26</v>
      </c>
      <c r="C2277" s="17">
        <v>45141</v>
      </c>
      <c r="D2277" s="16">
        <v>1262</v>
      </c>
      <c r="E2277" s="16">
        <v>10263</v>
      </c>
      <c r="F2277" s="18" t="s">
        <v>34</v>
      </c>
      <c r="G2277" s="16" t="s">
        <v>16</v>
      </c>
      <c r="H2277" s="16" t="s">
        <v>49</v>
      </c>
      <c r="I2277" s="16" t="s">
        <v>17</v>
      </c>
    </row>
    <row r="2278" spans="2:9" x14ac:dyDescent="0.25">
      <c r="B2278" s="16" t="s">
        <v>26</v>
      </c>
      <c r="C2278" s="17">
        <v>45141</v>
      </c>
      <c r="D2278" s="16">
        <v>830048</v>
      </c>
      <c r="E2278" s="16">
        <v>9364</v>
      </c>
      <c r="F2278" s="18" t="s">
        <v>141</v>
      </c>
      <c r="G2278" s="16" t="s">
        <v>334</v>
      </c>
      <c r="H2278" s="16" t="s">
        <v>28</v>
      </c>
      <c r="I2278" s="16" t="s">
        <v>61</v>
      </c>
    </row>
    <row r="2279" spans="2:9" x14ac:dyDescent="0.25">
      <c r="B2279" s="16" t="s">
        <v>33</v>
      </c>
      <c r="C2279" s="17">
        <v>45142</v>
      </c>
      <c r="D2279" s="16">
        <v>5165134</v>
      </c>
      <c r="E2279" s="16">
        <v>15102</v>
      </c>
      <c r="F2279" s="18" t="s">
        <v>160</v>
      </c>
      <c r="G2279" s="16" t="s">
        <v>52</v>
      </c>
      <c r="H2279" s="16" t="s">
        <v>28</v>
      </c>
      <c r="I2279" s="16" t="s">
        <v>61</v>
      </c>
    </row>
    <row r="2280" spans="2:9" x14ac:dyDescent="0.25">
      <c r="B2280" s="16" t="s">
        <v>33</v>
      </c>
      <c r="C2280" s="17">
        <v>45142</v>
      </c>
      <c r="D2280" s="16">
        <v>5165135</v>
      </c>
      <c r="E2280" s="16">
        <v>15102</v>
      </c>
      <c r="F2280" s="18" t="s">
        <v>160</v>
      </c>
      <c r="G2280" s="16" t="s">
        <v>52</v>
      </c>
      <c r="H2280" s="16" t="s">
        <v>28</v>
      </c>
      <c r="I2280" s="16" t="s">
        <v>61</v>
      </c>
    </row>
    <row r="2281" spans="2:9" x14ac:dyDescent="0.25">
      <c r="B2281" s="16" t="s">
        <v>33</v>
      </c>
      <c r="C2281" s="17">
        <v>45142</v>
      </c>
      <c r="D2281" s="16">
        <v>5165136</v>
      </c>
      <c r="E2281" s="16">
        <v>15102</v>
      </c>
      <c r="F2281" s="18" t="s">
        <v>160</v>
      </c>
      <c r="G2281" s="16" t="s">
        <v>52</v>
      </c>
      <c r="H2281" s="16" t="s">
        <v>28</v>
      </c>
      <c r="I2281" s="16" t="s">
        <v>61</v>
      </c>
    </row>
    <row r="2282" spans="2:9" x14ac:dyDescent="0.25">
      <c r="B2282" s="16" t="s">
        <v>33</v>
      </c>
      <c r="C2282" s="17">
        <v>45142</v>
      </c>
      <c r="D2282" s="16">
        <v>5165137</v>
      </c>
      <c r="E2282" s="16">
        <v>15102</v>
      </c>
      <c r="F2282" s="18" t="s">
        <v>160</v>
      </c>
      <c r="G2282" s="16" t="s">
        <v>52</v>
      </c>
      <c r="H2282" s="16" t="s">
        <v>28</v>
      </c>
      <c r="I2282" s="16" t="s">
        <v>61</v>
      </c>
    </row>
    <row r="2283" spans="2:9" x14ac:dyDescent="0.25">
      <c r="B2283" s="16" t="s">
        <v>33</v>
      </c>
      <c r="C2283" s="17">
        <v>45142</v>
      </c>
      <c r="D2283" s="16">
        <v>5165138</v>
      </c>
      <c r="E2283" s="16">
        <v>15102</v>
      </c>
      <c r="F2283" s="18" t="s">
        <v>160</v>
      </c>
      <c r="G2283" s="16" t="s">
        <v>52</v>
      </c>
      <c r="H2283" s="16" t="s">
        <v>28</v>
      </c>
      <c r="I2283" s="16" t="s">
        <v>61</v>
      </c>
    </row>
    <row r="2284" spans="2:9" x14ac:dyDescent="0.25">
      <c r="B2284" s="16" t="s">
        <v>33</v>
      </c>
      <c r="C2284" s="17">
        <v>45142</v>
      </c>
      <c r="D2284" s="16">
        <v>5165139</v>
      </c>
      <c r="E2284" s="16">
        <v>15102</v>
      </c>
      <c r="F2284" s="18" t="s">
        <v>160</v>
      </c>
      <c r="G2284" s="16" t="s">
        <v>52</v>
      </c>
      <c r="H2284" s="16" t="s">
        <v>28</v>
      </c>
      <c r="I2284" s="16" t="s">
        <v>61</v>
      </c>
    </row>
    <row r="2285" spans="2:9" x14ac:dyDescent="0.25">
      <c r="B2285" s="16" t="s">
        <v>33</v>
      </c>
      <c r="C2285" s="17">
        <v>45142</v>
      </c>
      <c r="D2285" s="16">
        <v>5165140</v>
      </c>
      <c r="E2285" s="16">
        <v>15102</v>
      </c>
      <c r="F2285" s="18" t="s">
        <v>160</v>
      </c>
      <c r="G2285" s="16" t="s">
        <v>52</v>
      </c>
      <c r="H2285" s="16" t="s">
        <v>28</v>
      </c>
      <c r="I2285" s="16" t="s">
        <v>61</v>
      </c>
    </row>
    <row r="2286" spans="2:9" x14ac:dyDescent="0.25">
      <c r="B2286" s="16" t="s">
        <v>33</v>
      </c>
      <c r="C2286" s="17">
        <v>45142</v>
      </c>
      <c r="D2286" s="16">
        <v>5165141</v>
      </c>
      <c r="E2286" s="16">
        <v>15102</v>
      </c>
      <c r="F2286" s="18" t="s">
        <v>160</v>
      </c>
      <c r="G2286" s="16" t="s">
        <v>52</v>
      </c>
      <c r="H2286" s="16" t="s">
        <v>28</v>
      </c>
      <c r="I2286" s="16" t="s">
        <v>61</v>
      </c>
    </row>
    <row r="2287" spans="2:9" x14ac:dyDescent="0.25">
      <c r="B2287" s="16" t="s">
        <v>33</v>
      </c>
      <c r="C2287" s="17">
        <v>45142</v>
      </c>
      <c r="D2287" s="16">
        <v>5165142</v>
      </c>
      <c r="E2287" s="16">
        <v>15102</v>
      </c>
      <c r="F2287" s="18" t="s">
        <v>160</v>
      </c>
      <c r="G2287" s="16" t="s">
        <v>52</v>
      </c>
      <c r="H2287" s="16" t="s">
        <v>28</v>
      </c>
      <c r="I2287" s="16" t="s">
        <v>61</v>
      </c>
    </row>
    <row r="2288" spans="2:9" x14ac:dyDescent="0.25">
      <c r="B2288" s="16" t="s">
        <v>33</v>
      </c>
      <c r="C2288" s="17">
        <v>45142</v>
      </c>
      <c r="D2288" s="16">
        <v>5165143</v>
      </c>
      <c r="E2288" s="16">
        <v>15102</v>
      </c>
      <c r="F2288" s="18" t="s">
        <v>160</v>
      </c>
      <c r="G2288" s="16" t="s">
        <v>52</v>
      </c>
      <c r="H2288" s="16" t="s">
        <v>28</v>
      </c>
      <c r="I2288" s="16" t="s">
        <v>61</v>
      </c>
    </row>
    <row r="2289" spans="2:9" x14ac:dyDescent="0.25">
      <c r="B2289" s="16" t="s">
        <v>210</v>
      </c>
      <c r="C2289" s="17">
        <v>45142</v>
      </c>
      <c r="D2289" s="16">
        <v>180562</v>
      </c>
      <c r="E2289" s="16">
        <v>9599</v>
      </c>
      <c r="F2289" s="18" t="s">
        <v>43</v>
      </c>
      <c r="G2289" s="16" t="s">
        <v>334</v>
      </c>
      <c r="H2289" s="16" t="s">
        <v>28</v>
      </c>
      <c r="I2289" s="16" t="s">
        <v>335</v>
      </c>
    </row>
    <row r="2290" spans="2:9" x14ac:dyDescent="0.25">
      <c r="B2290" s="16" t="s">
        <v>22</v>
      </c>
      <c r="C2290" s="17">
        <v>45142</v>
      </c>
      <c r="D2290" s="16">
        <v>794017</v>
      </c>
      <c r="E2290" s="16">
        <v>9794</v>
      </c>
      <c r="F2290" s="18" t="s">
        <v>360</v>
      </c>
      <c r="G2290" s="16" t="s">
        <v>6</v>
      </c>
      <c r="H2290" s="16" t="s">
        <v>186</v>
      </c>
      <c r="I2290" s="16" t="s">
        <v>258</v>
      </c>
    </row>
    <row r="2291" spans="2:9" x14ac:dyDescent="0.25">
      <c r="B2291" s="16" t="s">
        <v>33</v>
      </c>
      <c r="C2291" s="17">
        <v>45142</v>
      </c>
      <c r="D2291" s="16">
        <v>120826</v>
      </c>
      <c r="E2291" s="16">
        <v>11604</v>
      </c>
      <c r="F2291" s="18" t="s">
        <v>63</v>
      </c>
      <c r="G2291" s="16" t="s">
        <v>262</v>
      </c>
      <c r="H2291" s="16" t="s">
        <v>38</v>
      </c>
      <c r="I2291" s="16" t="s">
        <v>17</v>
      </c>
    </row>
    <row r="2292" spans="2:9" x14ac:dyDescent="0.25">
      <c r="B2292" s="16" t="s">
        <v>33</v>
      </c>
      <c r="C2292" s="17">
        <v>45142</v>
      </c>
      <c r="D2292" s="16">
        <v>1643</v>
      </c>
      <c r="E2292" s="16">
        <v>10263</v>
      </c>
      <c r="F2292" s="18" t="s">
        <v>34</v>
      </c>
      <c r="G2292" s="16" t="s">
        <v>16</v>
      </c>
      <c r="H2292" s="16" t="s">
        <v>36</v>
      </c>
      <c r="I2292" s="16" t="s">
        <v>61</v>
      </c>
    </row>
    <row r="2293" spans="2:9" x14ac:dyDescent="0.25">
      <c r="B2293" s="16" t="s">
        <v>33</v>
      </c>
      <c r="C2293" s="17">
        <v>45142</v>
      </c>
      <c r="D2293" s="16">
        <v>1649</v>
      </c>
      <c r="E2293" s="16">
        <v>10263</v>
      </c>
      <c r="F2293" s="18" t="s">
        <v>34</v>
      </c>
      <c r="G2293" s="16" t="s">
        <v>16</v>
      </c>
      <c r="H2293" s="16" t="s">
        <v>184</v>
      </c>
      <c r="I2293" s="16" t="s">
        <v>61</v>
      </c>
    </row>
    <row r="2294" spans="2:9" x14ac:dyDescent="0.25">
      <c r="B2294" s="16" t="s">
        <v>210</v>
      </c>
      <c r="C2294" s="17">
        <v>45142</v>
      </c>
      <c r="D2294" s="16">
        <v>42414</v>
      </c>
      <c r="E2294" s="16">
        <v>72178</v>
      </c>
      <c r="F2294" s="18" t="s">
        <v>20</v>
      </c>
      <c r="G2294" s="16" t="s">
        <v>7</v>
      </c>
      <c r="H2294" s="16" t="s">
        <v>38</v>
      </c>
      <c r="I2294" s="16" t="s">
        <v>17</v>
      </c>
    </row>
    <row r="2295" spans="2:9" x14ac:dyDescent="0.25">
      <c r="B2295" s="16" t="s">
        <v>26</v>
      </c>
      <c r="C2295" s="17">
        <v>45142</v>
      </c>
      <c r="D2295" s="16">
        <v>5165132</v>
      </c>
      <c r="E2295" s="16">
        <v>15102</v>
      </c>
      <c r="F2295" s="18" t="s">
        <v>160</v>
      </c>
      <c r="G2295" s="16" t="s">
        <v>52</v>
      </c>
      <c r="H2295" s="16" t="s">
        <v>184</v>
      </c>
      <c r="I2295" s="16" t="s">
        <v>61</v>
      </c>
    </row>
    <row r="2296" spans="2:9" x14ac:dyDescent="0.25">
      <c r="B2296" s="16" t="s">
        <v>26</v>
      </c>
      <c r="C2296" s="17">
        <v>45142</v>
      </c>
      <c r="D2296" s="16">
        <v>992519</v>
      </c>
      <c r="E2296" s="16">
        <v>9434</v>
      </c>
      <c r="F2296" s="18" t="s">
        <v>23</v>
      </c>
      <c r="G2296" s="16" t="s">
        <v>334</v>
      </c>
      <c r="H2296" s="16" t="s">
        <v>220</v>
      </c>
      <c r="I2296" s="16" t="s">
        <v>61</v>
      </c>
    </row>
    <row r="2297" spans="2:9" x14ac:dyDescent="0.25">
      <c r="B2297" s="16" t="s">
        <v>26</v>
      </c>
      <c r="C2297" s="17">
        <v>45142</v>
      </c>
      <c r="D2297" s="16">
        <v>992518</v>
      </c>
      <c r="E2297" s="16">
        <v>9434</v>
      </c>
      <c r="F2297" s="18" t="s">
        <v>23</v>
      </c>
      <c r="G2297" s="16" t="s">
        <v>334</v>
      </c>
      <c r="H2297" s="16" t="s">
        <v>220</v>
      </c>
      <c r="I2297" s="16" t="s">
        <v>61</v>
      </c>
    </row>
    <row r="2298" spans="2:9" x14ac:dyDescent="0.25">
      <c r="B2298" s="16" t="s">
        <v>26</v>
      </c>
      <c r="C2298" s="17">
        <v>45142</v>
      </c>
      <c r="D2298" s="16">
        <v>992514</v>
      </c>
      <c r="E2298" s="16">
        <v>9434</v>
      </c>
      <c r="F2298" s="18" t="s">
        <v>23</v>
      </c>
      <c r="G2298" s="16" t="s">
        <v>334</v>
      </c>
      <c r="H2298" s="16" t="s">
        <v>220</v>
      </c>
      <c r="I2298" s="16" t="s">
        <v>61</v>
      </c>
    </row>
    <row r="2299" spans="2:9" x14ac:dyDescent="0.25">
      <c r="B2299" s="16" t="s">
        <v>26</v>
      </c>
      <c r="C2299" s="17">
        <v>45142</v>
      </c>
      <c r="D2299" s="16">
        <v>992515</v>
      </c>
      <c r="E2299" s="16">
        <v>9434</v>
      </c>
      <c r="F2299" s="18" t="s">
        <v>23</v>
      </c>
      <c r="G2299" s="16" t="s">
        <v>334</v>
      </c>
      <c r="H2299" s="16" t="s">
        <v>220</v>
      </c>
      <c r="I2299" s="16" t="s">
        <v>61</v>
      </c>
    </row>
    <row r="2300" spans="2:9" x14ac:dyDescent="0.25">
      <c r="B2300" s="16" t="s">
        <v>26</v>
      </c>
      <c r="C2300" s="17">
        <v>45142</v>
      </c>
      <c r="D2300" s="16">
        <v>992517</v>
      </c>
      <c r="E2300" s="16">
        <v>9434</v>
      </c>
      <c r="F2300" s="18" t="s">
        <v>23</v>
      </c>
      <c r="G2300" s="16" t="s">
        <v>334</v>
      </c>
      <c r="H2300" s="16" t="s">
        <v>220</v>
      </c>
      <c r="I2300" s="16" t="s">
        <v>61</v>
      </c>
    </row>
    <row r="2301" spans="2:9" x14ac:dyDescent="0.25">
      <c r="B2301" s="16" t="s">
        <v>26</v>
      </c>
      <c r="C2301" s="17">
        <v>45142</v>
      </c>
      <c r="D2301" s="16">
        <v>992516</v>
      </c>
      <c r="E2301" s="16">
        <v>9434</v>
      </c>
      <c r="F2301" s="18" t="s">
        <v>23</v>
      </c>
      <c r="G2301" s="16" t="s">
        <v>334</v>
      </c>
      <c r="H2301" s="16" t="s">
        <v>220</v>
      </c>
      <c r="I2301" s="16" t="s">
        <v>61</v>
      </c>
    </row>
    <row r="2302" spans="2:9" x14ac:dyDescent="0.25">
      <c r="B2302" s="16" t="s">
        <v>26</v>
      </c>
      <c r="C2302" s="17">
        <v>45142</v>
      </c>
      <c r="D2302" s="16">
        <v>689386</v>
      </c>
      <c r="E2302" s="16">
        <v>12373</v>
      </c>
      <c r="F2302" s="18" t="s">
        <v>405</v>
      </c>
      <c r="G2302" s="16" t="s">
        <v>341</v>
      </c>
      <c r="H2302" s="16" t="s">
        <v>220</v>
      </c>
      <c r="I2302" s="16" t="s">
        <v>61</v>
      </c>
    </row>
    <row r="2303" spans="2:9" x14ac:dyDescent="0.25">
      <c r="B2303" s="16" t="s">
        <v>22</v>
      </c>
      <c r="C2303" s="17">
        <v>45142</v>
      </c>
      <c r="D2303" s="16">
        <v>992507</v>
      </c>
      <c r="E2303" s="16" t="s">
        <v>20</v>
      </c>
      <c r="F2303" s="18" t="s">
        <v>20</v>
      </c>
      <c r="G2303" s="16" t="s">
        <v>20</v>
      </c>
      <c r="H2303" s="16" t="s">
        <v>20</v>
      </c>
      <c r="I2303" s="16" t="s">
        <v>20</v>
      </c>
    </row>
    <row r="2304" spans="2:9" x14ac:dyDescent="0.25">
      <c r="B2304" s="16" t="s">
        <v>22</v>
      </c>
      <c r="C2304" s="17">
        <v>45142</v>
      </c>
      <c r="D2304" s="16">
        <v>992508</v>
      </c>
      <c r="E2304" s="16" t="s">
        <v>20</v>
      </c>
      <c r="F2304" s="18" t="s">
        <v>20</v>
      </c>
      <c r="G2304" s="16" t="s">
        <v>20</v>
      </c>
      <c r="H2304" s="16" t="s">
        <v>20</v>
      </c>
      <c r="I2304" s="16" t="s">
        <v>20</v>
      </c>
    </row>
    <row r="2305" spans="2:9" x14ac:dyDescent="0.25">
      <c r="B2305" s="16" t="s">
        <v>22</v>
      </c>
      <c r="C2305" s="17">
        <v>45142</v>
      </c>
      <c r="D2305" s="16">
        <v>992509</v>
      </c>
      <c r="E2305" s="16" t="s">
        <v>20</v>
      </c>
      <c r="F2305" s="18" t="s">
        <v>20</v>
      </c>
      <c r="G2305" s="16" t="s">
        <v>20</v>
      </c>
      <c r="H2305" s="16" t="s">
        <v>20</v>
      </c>
      <c r="I2305" s="16" t="s">
        <v>20</v>
      </c>
    </row>
    <row r="2306" spans="2:9" x14ac:dyDescent="0.25">
      <c r="B2306" s="16" t="s">
        <v>22</v>
      </c>
      <c r="C2306" s="17">
        <v>45142</v>
      </c>
      <c r="D2306" s="16">
        <v>992510</v>
      </c>
      <c r="E2306" s="16" t="s">
        <v>20</v>
      </c>
      <c r="F2306" s="18" t="s">
        <v>20</v>
      </c>
      <c r="G2306" s="16" t="s">
        <v>20</v>
      </c>
      <c r="H2306" s="16" t="s">
        <v>20</v>
      </c>
      <c r="I2306" s="16" t="s">
        <v>20</v>
      </c>
    </row>
    <row r="2307" spans="2:9" x14ac:dyDescent="0.25">
      <c r="B2307" s="16" t="s">
        <v>22</v>
      </c>
      <c r="C2307" s="17">
        <v>45142</v>
      </c>
      <c r="D2307" s="16">
        <v>992511</v>
      </c>
      <c r="E2307" s="16" t="s">
        <v>20</v>
      </c>
      <c r="F2307" s="18" t="s">
        <v>20</v>
      </c>
      <c r="G2307" s="16" t="s">
        <v>20</v>
      </c>
      <c r="H2307" s="16" t="s">
        <v>20</v>
      </c>
      <c r="I2307" s="16" t="s">
        <v>20</v>
      </c>
    </row>
    <row r="2308" spans="2:9" x14ac:dyDescent="0.25">
      <c r="B2308" s="16" t="s">
        <v>22</v>
      </c>
      <c r="C2308" s="17">
        <v>45142</v>
      </c>
      <c r="D2308" s="16">
        <v>992512</v>
      </c>
      <c r="E2308" s="16" t="s">
        <v>20</v>
      </c>
      <c r="F2308" s="18" t="s">
        <v>20</v>
      </c>
      <c r="G2308" s="16" t="s">
        <v>20</v>
      </c>
      <c r="H2308" s="16" t="s">
        <v>20</v>
      </c>
      <c r="I2308" s="16" t="s">
        <v>20</v>
      </c>
    </row>
    <row r="2309" spans="2:9" x14ac:dyDescent="0.25">
      <c r="B2309" s="16" t="s">
        <v>22</v>
      </c>
      <c r="C2309" s="17">
        <v>45142</v>
      </c>
      <c r="D2309" s="16">
        <v>992513</v>
      </c>
      <c r="E2309" s="16" t="s">
        <v>20</v>
      </c>
      <c r="F2309" s="18" t="s">
        <v>20</v>
      </c>
      <c r="G2309" s="16" t="s">
        <v>20</v>
      </c>
      <c r="H2309" s="16" t="s">
        <v>20</v>
      </c>
      <c r="I2309" s="16" t="s">
        <v>20</v>
      </c>
    </row>
    <row r="2310" spans="2:9" x14ac:dyDescent="0.25">
      <c r="B2310" s="16" t="s">
        <v>33</v>
      </c>
      <c r="C2310" s="17">
        <v>45142</v>
      </c>
      <c r="D2310" s="16">
        <v>992525</v>
      </c>
      <c r="E2310" s="16">
        <v>9434</v>
      </c>
      <c r="F2310" s="18" t="s">
        <v>23</v>
      </c>
      <c r="G2310" s="16" t="s">
        <v>334</v>
      </c>
      <c r="H2310" s="16" t="s">
        <v>184</v>
      </c>
      <c r="I2310" s="16" t="s">
        <v>61</v>
      </c>
    </row>
    <row r="2311" spans="2:9" x14ac:dyDescent="0.25">
      <c r="B2311" s="16" t="s">
        <v>2</v>
      </c>
      <c r="C2311" s="17">
        <v>45142</v>
      </c>
      <c r="D2311" s="16">
        <v>11271246</v>
      </c>
      <c r="E2311" s="16">
        <v>9455</v>
      </c>
      <c r="F2311" s="18" t="s">
        <v>151</v>
      </c>
      <c r="G2311" s="16" t="s">
        <v>334</v>
      </c>
      <c r="H2311" s="16" t="s">
        <v>46</v>
      </c>
      <c r="I2311" s="16" t="s">
        <v>17</v>
      </c>
    </row>
    <row r="2312" spans="2:9" x14ac:dyDescent="0.25">
      <c r="B2312" s="16" t="s">
        <v>2</v>
      </c>
      <c r="C2312" s="17">
        <v>45142</v>
      </c>
      <c r="D2312" s="16">
        <v>11271242</v>
      </c>
      <c r="E2312" s="16">
        <v>9455</v>
      </c>
      <c r="F2312" s="18" t="s">
        <v>151</v>
      </c>
      <c r="G2312" s="16" t="s">
        <v>334</v>
      </c>
      <c r="H2312" s="16" t="s">
        <v>46</v>
      </c>
      <c r="I2312" s="16" t="s">
        <v>17</v>
      </c>
    </row>
    <row r="2313" spans="2:9" x14ac:dyDescent="0.25">
      <c r="B2313" s="16" t="s">
        <v>2</v>
      </c>
      <c r="C2313" s="17">
        <v>45142</v>
      </c>
      <c r="D2313" s="16">
        <v>11271243</v>
      </c>
      <c r="E2313" s="16">
        <v>9455</v>
      </c>
      <c r="F2313" s="18" t="s">
        <v>151</v>
      </c>
      <c r="G2313" s="16" t="s">
        <v>334</v>
      </c>
      <c r="H2313" s="16" t="s">
        <v>46</v>
      </c>
      <c r="I2313" s="16" t="s">
        <v>17</v>
      </c>
    </row>
    <row r="2314" spans="2:9" x14ac:dyDescent="0.25">
      <c r="B2314" s="16" t="s">
        <v>2</v>
      </c>
      <c r="C2314" s="17">
        <v>45142</v>
      </c>
      <c r="D2314" s="16">
        <v>1016475</v>
      </c>
      <c r="E2314" s="16">
        <v>9403</v>
      </c>
      <c r="F2314" s="18" t="s">
        <v>153</v>
      </c>
      <c r="G2314" s="16" t="s">
        <v>341</v>
      </c>
      <c r="H2314" s="16" t="s">
        <v>350</v>
      </c>
      <c r="I2314" s="16" t="s">
        <v>61</v>
      </c>
    </row>
    <row r="2315" spans="2:9" x14ac:dyDescent="0.25">
      <c r="B2315" s="16" t="s">
        <v>2</v>
      </c>
      <c r="C2315" s="17">
        <v>45142</v>
      </c>
      <c r="D2315" s="16">
        <v>1016474</v>
      </c>
      <c r="E2315" s="16">
        <v>9403</v>
      </c>
      <c r="F2315" s="18" t="s">
        <v>153</v>
      </c>
      <c r="G2315" s="16" t="s">
        <v>341</v>
      </c>
      <c r="H2315" s="16" t="s">
        <v>350</v>
      </c>
      <c r="I2315" s="16" t="s">
        <v>61</v>
      </c>
    </row>
    <row r="2316" spans="2:9" x14ac:dyDescent="0.25">
      <c r="B2316" s="16" t="s">
        <v>2</v>
      </c>
      <c r="C2316" s="17">
        <v>45142</v>
      </c>
      <c r="D2316" s="16">
        <v>45181</v>
      </c>
      <c r="E2316" s="16">
        <v>12092</v>
      </c>
      <c r="F2316" s="18" t="s">
        <v>339</v>
      </c>
      <c r="G2316" s="16" t="s">
        <v>334</v>
      </c>
      <c r="H2316" s="16" t="s">
        <v>41</v>
      </c>
      <c r="I2316" s="16" t="s">
        <v>17</v>
      </c>
    </row>
    <row r="2317" spans="2:9" x14ac:dyDescent="0.25">
      <c r="B2317" s="16" t="s">
        <v>22</v>
      </c>
      <c r="C2317" s="17">
        <v>45142</v>
      </c>
      <c r="D2317" s="16">
        <v>1016736</v>
      </c>
      <c r="E2317" s="16">
        <v>9403</v>
      </c>
      <c r="F2317" s="18" t="s">
        <v>153</v>
      </c>
      <c r="G2317" s="16" t="s">
        <v>341</v>
      </c>
      <c r="H2317" s="16" t="s">
        <v>350</v>
      </c>
      <c r="I2317" s="16" t="s">
        <v>17</v>
      </c>
    </row>
    <row r="2318" spans="2:9" x14ac:dyDescent="0.25">
      <c r="B2318" s="16" t="s">
        <v>22</v>
      </c>
      <c r="C2318" s="17">
        <v>45142</v>
      </c>
      <c r="D2318" s="16">
        <v>1016737</v>
      </c>
      <c r="E2318" s="16">
        <v>9403</v>
      </c>
      <c r="F2318" s="18" t="s">
        <v>153</v>
      </c>
      <c r="G2318" s="16" t="s">
        <v>341</v>
      </c>
      <c r="H2318" s="16" t="s">
        <v>350</v>
      </c>
      <c r="I2318" s="16" t="s">
        <v>17</v>
      </c>
    </row>
    <row r="2319" spans="2:9" x14ac:dyDescent="0.25">
      <c r="B2319" s="16" t="s">
        <v>210</v>
      </c>
      <c r="C2319" s="17">
        <v>45142</v>
      </c>
      <c r="D2319" s="16">
        <v>1017885</v>
      </c>
      <c r="E2319" s="16">
        <v>9403</v>
      </c>
      <c r="F2319" s="18" t="s">
        <v>153</v>
      </c>
      <c r="G2319" s="16" t="s">
        <v>341</v>
      </c>
      <c r="H2319" s="16" t="s">
        <v>350</v>
      </c>
      <c r="I2319" s="16" t="s">
        <v>373</v>
      </c>
    </row>
    <row r="2320" spans="2:9" x14ac:dyDescent="0.25">
      <c r="B2320" s="16" t="s">
        <v>210</v>
      </c>
      <c r="C2320" s="17">
        <v>45142</v>
      </c>
      <c r="D2320" s="16">
        <v>1017884</v>
      </c>
      <c r="E2320" s="16">
        <v>9403</v>
      </c>
      <c r="F2320" s="18" t="s">
        <v>153</v>
      </c>
      <c r="G2320" s="16" t="s">
        <v>341</v>
      </c>
      <c r="H2320" s="16" t="s">
        <v>350</v>
      </c>
      <c r="I2320" s="16" t="s">
        <v>373</v>
      </c>
    </row>
    <row r="2321" spans="2:9" x14ac:dyDescent="0.25">
      <c r="B2321" s="16" t="s">
        <v>40</v>
      </c>
      <c r="C2321" s="17">
        <v>45142</v>
      </c>
      <c r="D2321" s="16">
        <v>120838</v>
      </c>
      <c r="E2321" s="16">
        <v>11604</v>
      </c>
      <c r="F2321" s="18" t="s">
        <v>63</v>
      </c>
      <c r="G2321" s="16" t="s">
        <v>7</v>
      </c>
      <c r="H2321" s="16" t="s">
        <v>38</v>
      </c>
      <c r="I2321" s="16" t="s">
        <v>17</v>
      </c>
    </row>
    <row r="2322" spans="2:9" x14ac:dyDescent="0.25">
      <c r="B2322" s="16" t="s">
        <v>40</v>
      </c>
      <c r="C2322" s="17">
        <v>45142</v>
      </c>
      <c r="D2322" s="16">
        <v>1334</v>
      </c>
      <c r="E2322" s="16">
        <v>10263</v>
      </c>
      <c r="F2322" s="18" t="s">
        <v>34</v>
      </c>
      <c r="G2322" s="16" t="s">
        <v>16</v>
      </c>
      <c r="H2322" s="16" t="s">
        <v>36</v>
      </c>
      <c r="I2322" s="16" t="s">
        <v>61</v>
      </c>
    </row>
    <row r="2323" spans="2:9" x14ac:dyDescent="0.25">
      <c r="B2323" s="16" t="s">
        <v>40</v>
      </c>
      <c r="C2323" s="17">
        <v>45142</v>
      </c>
      <c r="D2323" s="16">
        <v>1340</v>
      </c>
      <c r="E2323" s="16">
        <v>10263</v>
      </c>
      <c r="F2323" s="18" t="s">
        <v>34</v>
      </c>
      <c r="G2323" s="16" t="s">
        <v>16</v>
      </c>
      <c r="H2323" s="16" t="s">
        <v>36</v>
      </c>
      <c r="I2323" s="16" t="s">
        <v>61</v>
      </c>
    </row>
    <row r="2324" spans="2:9" x14ac:dyDescent="0.25">
      <c r="B2324" s="16" t="s">
        <v>40</v>
      </c>
      <c r="C2324" s="17">
        <v>45142</v>
      </c>
      <c r="D2324" s="16">
        <v>1341</v>
      </c>
      <c r="E2324" s="16">
        <v>10263</v>
      </c>
      <c r="F2324" s="18" t="s">
        <v>34</v>
      </c>
      <c r="G2324" s="16" t="s">
        <v>16</v>
      </c>
      <c r="H2324" s="16" t="s">
        <v>36</v>
      </c>
      <c r="I2324" s="16" t="s">
        <v>61</v>
      </c>
    </row>
    <row r="2325" spans="2:9" x14ac:dyDescent="0.25">
      <c r="B2325" s="16" t="s">
        <v>40</v>
      </c>
      <c r="C2325" s="17">
        <v>45142</v>
      </c>
      <c r="D2325" s="16">
        <v>1350</v>
      </c>
      <c r="E2325" s="16">
        <v>10263</v>
      </c>
      <c r="F2325" s="18" t="s">
        <v>34</v>
      </c>
      <c r="G2325" s="16" t="s">
        <v>16</v>
      </c>
      <c r="H2325" s="16" t="s">
        <v>36</v>
      </c>
      <c r="I2325" s="16" t="s">
        <v>61</v>
      </c>
    </row>
    <row r="2326" spans="2:9" x14ac:dyDescent="0.25">
      <c r="B2326" s="16" t="s">
        <v>40</v>
      </c>
      <c r="C2326" s="17">
        <v>45142</v>
      </c>
      <c r="D2326" s="16">
        <v>1376</v>
      </c>
      <c r="E2326" s="16">
        <v>10263</v>
      </c>
      <c r="F2326" s="18" t="s">
        <v>34</v>
      </c>
      <c r="G2326" s="16" t="s">
        <v>16</v>
      </c>
      <c r="H2326" s="16" t="s">
        <v>36</v>
      </c>
      <c r="I2326" s="16" t="s">
        <v>61</v>
      </c>
    </row>
    <row r="2327" spans="2:9" x14ac:dyDescent="0.25">
      <c r="B2327" s="16" t="s">
        <v>40</v>
      </c>
      <c r="C2327" s="17">
        <v>45142</v>
      </c>
      <c r="D2327" s="16">
        <v>1387</v>
      </c>
      <c r="E2327" s="16">
        <v>10263</v>
      </c>
      <c r="F2327" s="18" t="s">
        <v>34</v>
      </c>
      <c r="G2327" s="16" t="s">
        <v>16</v>
      </c>
      <c r="H2327" s="16" t="s">
        <v>36</v>
      </c>
      <c r="I2327" s="16" t="s">
        <v>61</v>
      </c>
    </row>
    <row r="2328" spans="2:9" x14ac:dyDescent="0.25">
      <c r="B2328" s="16" t="s">
        <v>40</v>
      </c>
      <c r="C2328" s="17">
        <v>45142</v>
      </c>
      <c r="D2328" s="16">
        <v>1388</v>
      </c>
      <c r="E2328" s="16">
        <v>10263</v>
      </c>
      <c r="F2328" s="18" t="s">
        <v>34</v>
      </c>
      <c r="G2328" s="16" t="s">
        <v>16</v>
      </c>
      <c r="H2328" s="16" t="s">
        <v>36</v>
      </c>
      <c r="I2328" s="16" t="s">
        <v>61</v>
      </c>
    </row>
    <row r="2329" spans="2:9" x14ac:dyDescent="0.25">
      <c r="B2329" s="16" t="s">
        <v>40</v>
      </c>
      <c r="C2329" s="17">
        <v>45142</v>
      </c>
      <c r="D2329" s="16">
        <v>189540</v>
      </c>
      <c r="E2329" s="16" t="s">
        <v>20</v>
      </c>
      <c r="F2329" s="18" t="s">
        <v>20</v>
      </c>
      <c r="G2329" s="16" t="s">
        <v>7</v>
      </c>
      <c r="H2329" s="16" t="s">
        <v>355</v>
      </c>
      <c r="I2329" s="16" t="s">
        <v>12</v>
      </c>
    </row>
    <row r="2330" spans="2:9" x14ac:dyDescent="0.25">
      <c r="B2330" s="16" t="s">
        <v>210</v>
      </c>
      <c r="C2330" s="17">
        <v>45142</v>
      </c>
      <c r="D2330" s="16">
        <v>110843</v>
      </c>
      <c r="E2330" s="16">
        <v>9490</v>
      </c>
      <c r="F2330" s="18" t="s">
        <v>172</v>
      </c>
      <c r="G2330" s="16" t="s">
        <v>5</v>
      </c>
      <c r="H2330" s="16" t="s">
        <v>71</v>
      </c>
      <c r="I2330" s="16" t="s">
        <v>17</v>
      </c>
    </row>
    <row r="2331" spans="2:9" x14ac:dyDescent="0.25">
      <c r="B2331" s="16" t="s">
        <v>210</v>
      </c>
      <c r="C2331" s="17">
        <v>45142</v>
      </c>
      <c r="D2331" s="16">
        <v>110844</v>
      </c>
      <c r="E2331" s="16">
        <v>9490</v>
      </c>
      <c r="F2331" s="18" t="s">
        <v>172</v>
      </c>
      <c r="G2331" s="16" t="s">
        <v>5</v>
      </c>
      <c r="H2331" s="16" t="s">
        <v>71</v>
      </c>
      <c r="I2331" s="16" t="s">
        <v>17</v>
      </c>
    </row>
    <row r="2332" spans="2:9" x14ac:dyDescent="0.25">
      <c r="B2332" s="16" t="s">
        <v>40</v>
      </c>
      <c r="C2332" s="17">
        <v>45142</v>
      </c>
      <c r="D2332" s="16">
        <v>131133</v>
      </c>
      <c r="E2332" s="16">
        <v>13090</v>
      </c>
      <c r="F2332" s="18" t="s">
        <v>241</v>
      </c>
      <c r="G2332" s="16" t="s">
        <v>7</v>
      </c>
      <c r="H2332" s="16" t="s">
        <v>38</v>
      </c>
      <c r="I2332" s="16" t="s">
        <v>17</v>
      </c>
    </row>
    <row r="2333" spans="2:9" x14ac:dyDescent="0.25">
      <c r="B2333" s="16" t="s">
        <v>26</v>
      </c>
      <c r="C2333" s="17">
        <v>45142</v>
      </c>
      <c r="D2333" s="16">
        <v>42418</v>
      </c>
      <c r="E2333" s="16">
        <v>72178</v>
      </c>
      <c r="F2333" s="18" t="s">
        <v>20</v>
      </c>
      <c r="G2333" s="16" t="s">
        <v>7</v>
      </c>
      <c r="H2333" s="16" t="s">
        <v>38</v>
      </c>
      <c r="I2333" s="16" t="s">
        <v>17</v>
      </c>
    </row>
    <row r="2334" spans="2:9" x14ac:dyDescent="0.25">
      <c r="B2334" s="16" t="s">
        <v>40</v>
      </c>
      <c r="C2334" s="17">
        <v>45142</v>
      </c>
      <c r="D2334" s="16">
        <v>1338</v>
      </c>
      <c r="E2334" s="16">
        <v>10263</v>
      </c>
      <c r="F2334" s="18" t="s">
        <v>34</v>
      </c>
      <c r="G2334" s="16" t="s">
        <v>16</v>
      </c>
      <c r="H2334" s="16" t="s">
        <v>49</v>
      </c>
      <c r="I2334" s="16" t="s">
        <v>17</v>
      </c>
    </row>
    <row r="2335" spans="2:9" x14ac:dyDescent="0.25">
      <c r="B2335" s="16" t="s">
        <v>33</v>
      </c>
      <c r="C2335" s="17">
        <v>45142</v>
      </c>
      <c r="D2335" s="16">
        <v>992529</v>
      </c>
      <c r="E2335" s="16">
        <v>9434</v>
      </c>
      <c r="F2335" s="18" t="s">
        <v>23</v>
      </c>
      <c r="G2335" s="16" t="s">
        <v>334</v>
      </c>
      <c r="H2335" s="16" t="s">
        <v>49</v>
      </c>
      <c r="I2335" s="16" t="s">
        <v>406</v>
      </c>
    </row>
    <row r="2336" spans="2:9" x14ac:dyDescent="0.25">
      <c r="B2336" s="16" t="s">
        <v>33</v>
      </c>
      <c r="C2336" s="17">
        <v>45143</v>
      </c>
      <c r="D2336" s="16">
        <v>654661</v>
      </c>
      <c r="E2336" s="16">
        <v>3610</v>
      </c>
      <c r="F2336" s="18" t="s">
        <v>8</v>
      </c>
      <c r="G2336" s="16" t="s">
        <v>262</v>
      </c>
      <c r="H2336" s="16" t="s">
        <v>38</v>
      </c>
      <c r="I2336" s="16" t="s">
        <v>17</v>
      </c>
    </row>
    <row r="2337" spans="2:9" x14ac:dyDescent="0.25">
      <c r="B2337" s="16" t="s">
        <v>33</v>
      </c>
      <c r="C2337" s="17">
        <v>45143</v>
      </c>
      <c r="D2337" s="16">
        <v>654664</v>
      </c>
      <c r="E2337" s="16">
        <v>3610</v>
      </c>
      <c r="F2337" s="18" t="s">
        <v>8</v>
      </c>
      <c r="G2337" s="16" t="s">
        <v>262</v>
      </c>
      <c r="H2337" s="16" t="s">
        <v>49</v>
      </c>
      <c r="I2337" s="16" t="s">
        <v>17</v>
      </c>
    </row>
    <row r="2338" spans="2:9" x14ac:dyDescent="0.25">
      <c r="B2338" s="16" t="s">
        <v>22</v>
      </c>
      <c r="C2338" s="17">
        <v>45145</v>
      </c>
      <c r="D2338" s="16">
        <v>1820368</v>
      </c>
      <c r="E2338" s="16">
        <v>1015</v>
      </c>
      <c r="F2338" s="18" t="s">
        <v>134</v>
      </c>
      <c r="G2338" s="16" t="s">
        <v>342</v>
      </c>
      <c r="H2338" s="16" t="s">
        <v>184</v>
      </c>
      <c r="I2338" s="16" t="s">
        <v>61</v>
      </c>
    </row>
    <row r="2339" spans="2:9" x14ac:dyDescent="0.25">
      <c r="B2339" s="16" t="s">
        <v>22</v>
      </c>
      <c r="C2339" s="17">
        <v>45145</v>
      </c>
      <c r="D2339" s="16">
        <v>35015</v>
      </c>
      <c r="E2339" s="16">
        <v>1047</v>
      </c>
      <c r="F2339" s="18" t="s">
        <v>346</v>
      </c>
      <c r="G2339" s="16" t="s">
        <v>343</v>
      </c>
      <c r="H2339" s="16" t="s">
        <v>186</v>
      </c>
      <c r="I2339" s="16" t="s">
        <v>61</v>
      </c>
    </row>
    <row r="2340" spans="2:9" x14ac:dyDescent="0.25">
      <c r="B2340" s="16" t="s">
        <v>33</v>
      </c>
      <c r="C2340" s="17">
        <v>45145</v>
      </c>
      <c r="D2340" s="16">
        <v>35011</v>
      </c>
      <c r="E2340" s="16">
        <v>1047</v>
      </c>
      <c r="F2340" s="18" t="s">
        <v>346</v>
      </c>
      <c r="G2340" s="16" t="s">
        <v>343</v>
      </c>
      <c r="H2340" s="16" t="s">
        <v>184</v>
      </c>
      <c r="I2340" s="16" t="s">
        <v>61</v>
      </c>
    </row>
    <row r="2341" spans="2:9" x14ac:dyDescent="0.25">
      <c r="B2341" s="16" t="s">
        <v>33</v>
      </c>
      <c r="C2341" s="17">
        <v>45145</v>
      </c>
      <c r="D2341" s="16">
        <v>120904</v>
      </c>
      <c r="E2341" s="16" t="s">
        <v>20</v>
      </c>
      <c r="F2341" s="18" t="s">
        <v>20</v>
      </c>
      <c r="G2341" s="16" t="s">
        <v>20</v>
      </c>
      <c r="H2341" s="16" t="s">
        <v>20</v>
      </c>
      <c r="I2341" s="16" t="s">
        <v>20</v>
      </c>
    </row>
    <row r="2342" spans="2:9" x14ac:dyDescent="0.25">
      <c r="B2342" s="16" t="s">
        <v>210</v>
      </c>
      <c r="C2342" s="17">
        <v>45145</v>
      </c>
      <c r="D2342" s="16">
        <v>1120553</v>
      </c>
      <c r="E2342" s="16">
        <v>1139</v>
      </c>
      <c r="F2342" s="18" t="s">
        <v>66</v>
      </c>
      <c r="G2342" s="16" t="s">
        <v>334</v>
      </c>
      <c r="H2342" s="16" t="s">
        <v>137</v>
      </c>
      <c r="I2342" s="16" t="s">
        <v>103</v>
      </c>
    </row>
    <row r="2343" spans="2:9" x14ac:dyDescent="0.25">
      <c r="B2343" s="16" t="s">
        <v>22</v>
      </c>
      <c r="C2343" s="17">
        <v>45145</v>
      </c>
      <c r="D2343" s="16">
        <v>282265</v>
      </c>
      <c r="E2343" s="16">
        <v>37945</v>
      </c>
      <c r="F2343" s="18" t="s">
        <v>166</v>
      </c>
      <c r="G2343" s="16" t="s">
        <v>16</v>
      </c>
      <c r="H2343" s="16" t="s">
        <v>184</v>
      </c>
      <c r="I2343" s="16" t="s">
        <v>61</v>
      </c>
    </row>
    <row r="2344" spans="2:9" x14ac:dyDescent="0.25">
      <c r="B2344" s="16" t="s">
        <v>210</v>
      </c>
      <c r="C2344" s="17">
        <v>45145</v>
      </c>
      <c r="D2344" s="16">
        <v>1121360</v>
      </c>
      <c r="E2344" s="16">
        <v>1139</v>
      </c>
      <c r="F2344" s="18" t="s">
        <v>66</v>
      </c>
      <c r="G2344" s="16" t="s">
        <v>334</v>
      </c>
      <c r="H2344" s="16" t="s">
        <v>137</v>
      </c>
      <c r="I2344" s="16" t="s">
        <v>103</v>
      </c>
    </row>
    <row r="2345" spans="2:9" x14ac:dyDescent="0.25">
      <c r="B2345" s="16" t="s">
        <v>210</v>
      </c>
      <c r="C2345" s="17">
        <v>45145</v>
      </c>
      <c r="D2345" s="16">
        <v>282260</v>
      </c>
      <c r="E2345" s="16">
        <v>37945</v>
      </c>
      <c r="F2345" s="18" t="s">
        <v>166</v>
      </c>
      <c r="G2345" s="16" t="s">
        <v>16</v>
      </c>
      <c r="H2345" s="16" t="s">
        <v>186</v>
      </c>
      <c r="I2345" s="16" t="s">
        <v>61</v>
      </c>
    </row>
    <row r="2346" spans="2:9" x14ac:dyDescent="0.25">
      <c r="B2346" s="16" t="s">
        <v>210</v>
      </c>
      <c r="C2346" s="17">
        <v>45145</v>
      </c>
      <c r="D2346" s="16">
        <v>282259</v>
      </c>
      <c r="E2346" s="16">
        <v>37945</v>
      </c>
      <c r="F2346" s="18" t="s">
        <v>166</v>
      </c>
      <c r="G2346" s="16" t="s">
        <v>16</v>
      </c>
      <c r="H2346" s="16" t="s">
        <v>186</v>
      </c>
      <c r="I2346" s="16" t="s">
        <v>61</v>
      </c>
    </row>
    <row r="2347" spans="2:9" x14ac:dyDescent="0.25">
      <c r="B2347" s="16" t="s">
        <v>40</v>
      </c>
      <c r="C2347" s="17">
        <v>45145</v>
      </c>
      <c r="D2347" s="16">
        <v>1820370</v>
      </c>
      <c r="E2347" s="16">
        <v>1015</v>
      </c>
      <c r="F2347" s="18" t="s">
        <v>134</v>
      </c>
      <c r="G2347" s="16" t="s">
        <v>341</v>
      </c>
      <c r="H2347" s="16" t="s">
        <v>36</v>
      </c>
      <c r="I2347" s="16" t="s">
        <v>61</v>
      </c>
    </row>
    <row r="2348" spans="2:9" x14ac:dyDescent="0.25">
      <c r="B2348" s="16" t="s">
        <v>33</v>
      </c>
      <c r="C2348" s="17">
        <v>45145</v>
      </c>
      <c r="D2348" s="16">
        <v>35236</v>
      </c>
      <c r="E2348" s="16">
        <v>1047</v>
      </c>
      <c r="F2348" s="18" t="s">
        <v>346</v>
      </c>
      <c r="G2348" s="16" t="s">
        <v>343</v>
      </c>
      <c r="H2348" s="16" t="s">
        <v>36</v>
      </c>
      <c r="I2348" s="16" t="s">
        <v>61</v>
      </c>
    </row>
    <row r="2349" spans="2:9" x14ac:dyDescent="0.25">
      <c r="B2349" s="16" t="s">
        <v>33</v>
      </c>
      <c r="C2349" s="17">
        <v>45145</v>
      </c>
      <c r="D2349" s="16">
        <v>282253</v>
      </c>
      <c r="E2349" s="16">
        <v>37945</v>
      </c>
      <c r="F2349" s="18" t="s">
        <v>166</v>
      </c>
      <c r="G2349" s="16" t="s">
        <v>16</v>
      </c>
      <c r="H2349" s="16" t="s">
        <v>184</v>
      </c>
      <c r="I2349" s="16" t="s">
        <v>61</v>
      </c>
    </row>
    <row r="2350" spans="2:9" x14ac:dyDescent="0.25">
      <c r="B2350" s="16" t="s">
        <v>33</v>
      </c>
      <c r="C2350" s="17">
        <v>45145</v>
      </c>
      <c r="D2350" s="16">
        <v>849307</v>
      </c>
      <c r="E2350" s="16">
        <v>3040</v>
      </c>
      <c r="F2350" s="18" t="s">
        <v>250</v>
      </c>
      <c r="G2350" s="16" t="s">
        <v>343</v>
      </c>
      <c r="H2350" s="16" t="s">
        <v>102</v>
      </c>
      <c r="I2350" s="16" t="s">
        <v>35</v>
      </c>
    </row>
    <row r="2351" spans="2:9" x14ac:dyDescent="0.25">
      <c r="B2351" s="16" t="s">
        <v>40</v>
      </c>
      <c r="C2351" s="17">
        <v>45145</v>
      </c>
      <c r="D2351" s="16">
        <v>282255</v>
      </c>
      <c r="E2351" s="16">
        <v>37945</v>
      </c>
      <c r="F2351" s="18" t="s">
        <v>166</v>
      </c>
      <c r="G2351" s="16" t="s">
        <v>16</v>
      </c>
      <c r="H2351" s="16" t="s">
        <v>170</v>
      </c>
      <c r="I2351" s="16" t="s">
        <v>51</v>
      </c>
    </row>
    <row r="2352" spans="2:9" x14ac:dyDescent="0.25">
      <c r="B2352" s="16" t="s">
        <v>40</v>
      </c>
      <c r="C2352" s="17">
        <v>45145</v>
      </c>
      <c r="D2352" s="16">
        <v>282266</v>
      </c>
      <c r="E2352" s="16">
        <v>37945</v>
      </c>
      <c r="F2352" s="18" t="s">
        <v>166</v>
      </c>
      <c r="G2352" s="16" t="s">
        <v>16</v>
      </c>
      <c r="H2352" s="16" t="s">
        <v>170</v>
      </c>
      <c r="I2352" s="16" t="s">
        <v>51</v>
      </c>
    </row>
    <row r="2353" spans="2:9" x14ac:dyDescent="0.25">
      <c r="B2353" s="16" t="s">
        <v>210</v>
      </c>
      <c r="C2353" s="17">
        <v>45145</v>
      </c>
      <c r="D2353" s="16">
        <v>42471</v>
      </c>
      <c r="E2353" s="16">
        <v>72178</v>
      </c>
      <c r="F2353" s="18" t="s">
        <v>20</v>
      </c>
      <c r="G2353" s="16" t="s">
        <v>7</v>
      </c>
      <c r="H2353" s="16" t="s">
        <v>36</v>
      </c>
      <c r="I2353" s="16" t="s">
        <v>103</v>
      </c>
    </row>
    <row r="2354" spans="2:9" x14ac:dyDescent="0.25">
      <c r="B2354" s="16" t="s">
        <v>40</v>
      </c>
      <c r="C2354" s="17">
        <v>45145</v>
      </c>
      <c r="D2354" s="16">
        <v>146159</v>
      </c>
      <c r="E2354" s="16" t="s">
        <v>20</v>
      </c>
      <c r="F2354" s="18" t="s">
        <v>20</v>
      </c>
      <c r="G2354" s="16" t="s">
        <v>20</v>
      </c>
      <c r="H2354" s="16" t="s">
        <v>20</v>
      </c>
      <c r="I2354" s="16" t="s">
        <v>20</v>
      </c>
    </row>
    <row r="2355" spans="2:9" x14ac:dyDescent="0.25">
      <c r="B2355" s="16" t="s">
        <v>26</v>
      </c>
      <c r="C2355" s="17">
        <v>45145</v>
      </c>
      <c r="D2355" s="16">
        <v>1016964</v>
      </c>
      <c r="E2355" s="16">
        <v>9403</v>
      </c>
      <c r="F2355" s="18" t="s">
        <v>153</v>
      </c>
      <c r="G2355" s="16" t="s">
        <v>341</v>
      </c>
      <c r="H2355" s="16" t="s">
        <v>184</v>
      </c>
      <c r="I2355" s="16" t="s">
        <v>61</v>
      </c>
    </row>
    <row r="2356" spans="2:9" x14ac:dyDescent="0.25">
      <c r="B2356" s="16" t="s">
        <v>26</v>
      </c>
      <c r="C2356" s="17">
        <v>45145</v>
      </c>
      <c r="D2356" s="16">
        <v>1016965</v>
      </c>
      <c r="E2356" s="16">
        <v>9403</v>
      </c>
      <c r="F2356" s="18" t="s">
        <v>153</v>
      </c>
      <c r="G2356" s="16" t="s">
        <v>341</v>
      </c>
      <c r="H2356" s="16" t="s">
        <v>184</v>
      </c>
      <c r="I2356" s="16" t="s">
        <v>61</v>
      </c>
    </row>
    <row r="2357" spans="2:9" x14ac:dyDescent="0.25">
      <c r="B2357" s="16" t="s">
        <v>33</v>
      </c>
      <c r="C2357" s="17">
        <v>45145</v>
      </c>
      <c r="D2357" s="16">
        <v>1016730</v>
      </c>
      <c r="E2357" s="16">
        <v>9403</v>
      </c>
      <c r="F2357" s="18" t="s">
        <v>153</v>
      </c>
      <c r="G2357" s="16" t="s">
        <v>341</v>
      </c>
      <c r="H2357" s="16" t="s">
        <v>184</v>
      </c>
      <c r="I2357" s="16" t="s">
        <v>61</v>
      </c>
    </row>
    <row r="2358" spans="2:9" x14ac:dyDescent="0.25">
      <c r="B2358" s="16" t="s">
        <v>33</v>
      </c>
      <c r="C2358" s="17">
        <v>45145</v>
      </c>
      <c r="D2358" s="16">
        <v>1016729</v>
      </c>
      <c r="E2358" s="16">
        <v>9403</v>
      </c>
      <c r="F2358" s="18" t="s">
        <v>153</v>
      </c>
      <c r="G2358" s="16" t="s">
        <v>341</v>
      </c>
      <c r="H2358" s="16" t="s">
        <v>184</v>
      </c>
      <c r="I2358" s="16" t="s">
        <v>61</v>
      </c>
    </row>
    <row r="2359" spans="2:9" x14ac:dyDescent="0.25">
      <c r="B2359" s="16" t="s">
        <v>33</v>
      </c>
      <c r="C2359" s="17">
        <v>45145</v>
      </c>
      <c r="D2359" s="16">
        <v>42466</v>
      </c>
      <c r="E2359" s="16">
        <v>72178</v>
      </c>
      <c r="F2359" s="18" t="s">
        <v>20</v>
      </c>
      <c r="G2359" s="16" t="s">
        <v>7</v>
      </c>
      <c r="H2359" s="16" t="s">
        <v>355</v>
      </c>
      <c r="I2359" s="16" t="s">
        <v>7</v>
      </c>
    </row>
    <row r="2360" spans="2:9" x14ac:dyDescent="0.25">
      <c r="B2360" s="16" t="s">
        <v>40</v>
      </c>
      <c r="C2360" s="17">
        <v>45145</v>
      </c>
      <c r="D2360" s="16">
        <v>326624</v>
      </c>
      <c r="E2360" s="16" t="s">
        <v>20</v>
      </c>
      <c r="F2360" s="18" t="s">
        <v>20</v>
      </c>
      <c r="G2360" s="16" t="s">
        <v>20</v>
      </c>
      <c r="H2360" s="16" t="s">
        <v>20</v>
      </c>
      <c r="I2360" s="16" t="s">
        <v>20</v>
      </c>
    </row>
    <row r="2361" spans="2:9" x14ac:dyDescent="0.25">
      <c r="B2361" s="16" t="s">
        <v>33</v>
      </c>
      <c r="C2361" s="17">
        <v>45145</v>
      </c>
      <c r="D2361" s="16">
        <v>523377</v>
      </c>
      <c r="E2361" s="16">
        <v>12012</v>
      </c>
      <c r="F2361" s="18" t="s">
        <v>328</v>
      </c>
      <c r="G2361" s="16" t="s">
        <v>342</v>
      </c>
      <c r="H2361" s="16" t="s">
        <v>184</v>
      </c>
      <c r="I2361" s="16" t="s">
        <v>363</v>
      </c>
    </row>
    <row r="2362" spans="2:9" x14ac:dyDescent="0.25">
      <c r="B2362" s="16" t="s">
        <v>22</v>
      </c>
      <c r="C2362" s="17">
        <v>45145</v>
      </c>
      <c r="D2362" s="16">
        <v>853806</v>
      </c>
      <c r="E2362" s="16">
        <v>9394</v>
      </c>
      <c r="F2362" s="18" t="s">
        <v>126</v>
      </c>
      <c r="G2362" s="16" t="s">
        <v>343</v>
      </c>
      <c r="H2362" s="16" t="s">
        <v>89</v>
      </c>
      <c r="I2362" s="16" t="s">
        <v>103</v>
      </c>
    </row>
    <row r="2363" spans="2:9" x14ac:dyDescent="0.25">
      <c r="B2363" s="16" t="s">
        <v>2</v>
      </c>
      <c r="C2363" s="17">
        <v>45145</v>
      </c>
      <c r="D2363" s="16">
        <v>1820328</v>
      </c>
      <c r="E2363" s="16">
        <v>1015</v>
      </c>
      <c r="F2363" s="18" t="s">
        <v>134</v>
      </c>
      <c r="G2363" s="16" t="s">
        <v>4</v>
      </c>
      <c r="H2363" s="16" t="s">
        <v>36</v>
      </c>
      <c r="I2363" s="16" t="s">
        <v>61</v>
      </c>
    </row>
    <row r="2364" spans="2:9" x14ac:dyDescent="0.25">
      <c r="B2364" s="16" t="s">
        <v>2</v>
      </c>
      <c r="C2364" s="17">
        <v>45145</v>
      </c>
      <c r="D2364" s="16">
        <v>35016</v>
      </c>
      <c r="E2364" s="16">
        <v>1047</v>
      </c>
      <c r="F2364" s="18" t="s">
        <v>346</v>
      </c>
      <c r="G2364" s="16" t="s">
        <v>343</v>
      </c>
      <c r="H2364" s="16" t="s">
        <v>184</v>
      </c>
      <c r="I2364" s="16" t="s">
        <v>61</v>
      </c>
    </row>
    <row r="2365" spans="2:9" x14ac:dyDescent="0.25">
      <c r="B2365" s="16" t="s">
        <v>2</v>
      </c>
      <c r="C2365" s="17">
        <v>45145</v>
      </c>
      <c r="D2365" s="16">
        <v>42462</v>
      </c>
      <c r="E2365" s="16">
        <v>72178</v>
      </c>
      <c r="F2365" s="18" t="s">
        <v>20</v>
      </c>
      <c r="G2365" s="16" t="s">
        <v>7</v>
      </c>
      <c r="H2365" s="16" t="s">
        <v>36</v>
      </c>
      <c r="I2365" s="16" t="s">
        <v>103</v>
      </c>
    </row>
    <row r="2366" spans="2:9" x14ac:dyDescent="0.25">
      <c r="B2366" s="16" t="s">
        <v>2</v>
      </c>
      <c r="C2366" s="17">
        <v>45145</v>
      </c>
      <c r="D2366" s="16">
        <v>282272</v>
      </c>
      <c r="E2366" s="16">
        <v>37945</v>
      </c>
      <c r="F2366" s="18" t="s">
        <v>166</v>
      </c>
      <c r="G2366" s="16" t="s">
        <v>5</v>
      </c>
      <c r="H2366" s="16" t="s">
        <v>184</v>
      </c>
      <c r="I2366" s="16" t="s">
        <v>61</v>
      </c>
    </row>
    <row r="2367" spans="2:9" x14ac:dyDescent="0.25">
      <c r="B2367" s="16" t="s">
        <v>40</v>
      </c>
      <c r="C2367" s="17">
        <v>45145</v>
      </c>
      <c r="D2367" s="16">
        <v>42467</v>
      </c>
      <c r="E2367" s="16">
        <v>72178</v>
      </c>
      <c r="F2367" s="18" t="s">
        <v>20</v>
      </c>
      <c r="G2367" s="16" t="s">
        <v>7</v>
      </c>
      <c r="H2367" s="16" t="s">
        <v>38</v>
      </c>
      <c r="I2367" s="16" t="s">
        <v>103</v>
      </c>
    </row>
    <row r="2368" spans="2:9" x14ac:dyDescent="0.25">
      <c r="B2368" s="16" t="s">
        <v>33</v>
      </c>
      <c r="C2368" s="17">
        <v>45145</v>
      </c>
      <c r="D2368" s="16">
        <v>131240</v>
      </c>
      <c r="E2368" s="16">
        <v>13090</v>
      </c>
      <c r="F2368" s="18" t="s">
        <v>241</v>
      </c>
      <c r="G2368" s="16" t="s">
        <v>7</v>
      </c>
      <c r="H2368" s="16" t="s">
        <v>355</v>
      </c>
      <c r="I2368" s="16" t="s">
        <v>7</v>
      </c>
    </row>
    <row r="2369" spans="2:9" x14ac:dyDescent="0.25">
      <c r="B2369" s="16" t="s">
        <v>40</v>
      </c>
      <c r="C2369" s="17">
        <v>45145</v>
      </c>
      <c r="D2369" s="16">
        <v>1015555</v>
      </c>
      <c r="E2369" s="16">
        <v>9403</v>
      </c>
      <c r="F2369" s="18" t="s">
        <v>153</v>
      </c>
      <c r="G2369" s="16" t="s">
        <v>5</v>
      </c>
      <c r="H2369" s="16" t="s">
        <v>49</v>
      </c>
      <c r="I2369" s="16" t="s">
        <v>103</v>
      </c>
    </row>
    <row r="2370" spans="2:9" x14ac:dyDescent="0.25">
      <c r="B2370" s="16" t="s">
        <v>33</v>
      </c>
      <c r="C2370" s="17">
        <v>45145</v>
      </c>
      <c r="D2370" s="16">
        <v>105859</v>
      </c>
      <c r="E2370" s="16">
        <v>10489</v>
      </c>
      <c r="F2370" s="18" t="s">
        <v>278</v>
      </c>
      <c r="G2370" s="16" t="s">
        <v>343</v>
      </c>
      <c r="H2370" s="16" t="s">
        <v>71</v>
      </c>
      <c r="I2370" s="16" t="s">
        <v>103</v>
      </c>
    </row>
    <row r="2371" spans="2:9" x14ac:dyDescent="0.25">
      <c r="B2371" s="16" t="s">
        <v>33</v>
      </c>
      <c r="C2371" s="17">
        <v>45145</v>
      </c>
      <c r="D2371" s="16">
        <v>105861</v>
      </c>
      <c r="E2371" s="16">
        <v>10489</v>
      </c>
      <c r="F2371" s="18" t="s">
        <v>278</v>
      </c>
      <c r="G2371" s="16" t="s">
        <v>343</v>
      </c>
      <c r="H2371" s="16" t="s">
        <v>71</v>
      </c>
      <c r="I2371" s="16" t="s">
        <v>103</v>
      </c>
    </row>
    <row r="2372" spans="2:9" x14ac:dyDescent="0.25">
      <c r="B2372" s="16" t="s">
        <v>33</v>
      </c>
      <c r="C2372" s="17">
        <v>45145</v>
      </c>
      <c r="D2372" s="16">
        <v>105860</v>
      </c>
      <c r="E2372" s="16">
        <v>10489</v>
      </c>
      <c r="F2372" s="18" t="s">
        <v>278</v>
      </c>
      <c r="G2372" s="16" t="s">
        <v>343</v>
      </c>
      <c r="H2372" s="16" t="s">
        <v>71</v>
      </c>
      <c r="I2372" s="16" t="s">
        <v>103</v>
      </c>
    </row>
    <row r="2373" spans="2:9" x14ac:dyDescent="0.25">
      <c r="B2373" s="16" t="s">
        <v>33</v>
      </c>
      <c r="C2373" s="17">
        <v>45145</v>
      </c>
      <c r="D2373" s="16">
        <v>42031</v>
      </c>
      <c r="E2373" s="16">
        <v>10782</v>
      </c>
      <c r="F2373" s="18" t="s">
        <v>285</v>
      </c>
      <c r="G2373" s="16" t="s">
        <v>343</v>
      </c>
      <c r="H2373" s="16" t="s">
        <v>71</v>
      </c>
      <c r="I2373" s="16" t="s">
        <v>103</v>
      </c>
    </row>
    <row r="2374" spans="2:9" x14ac:dyDescent="0.25">
      <c r="B2374" s="16" t="s">
        <v>40</v>
      </c>
      <c r="C2374" s="17">
        <v>45145</v>
      </c>
      <c r="D2374" s="16">
        <v>45190</v>
      </c>
      <c r="E2374" s="16">
        <v>12092</v>
      </c>
      <c r="F2374" s="18" t="s">
        <v>339</v>
      </c>
      <c r="G2374" s="16" t="s">
        <v>262</v>
      </c>
      <c r="H2374" s="16" t="s">
        <v>41</v>
      </c>
      <c r="I2374" s="16" t="s">
        <v>103</v>
      </c>
    </row>
    <row r="2375" spans="2:9" x14ac:dyDescent="0.25">
      <c r="B2375" s="16" t="s">
        <v>26</v>
      </c>
      <c r="C2375" s="17">
        <v>45145</v>
      </c>
      <c r="D2375" s="16">
        <v>282247</v>
      </c>
      <c r="E2375" s="16">
        <v>37945</v>
      </c>
      <c r="F2375" s="18" t="s">
        <v>166</v>
      </c>
      <c r="G2375" s="16" t="s">
        <v>16</v>
      </c>
      <c r="H2375" s="16" t="s">
        <v>184</v>
      </c>
      <c r="I2375" s="16" t="s">
        <v>61</v>
      </c>
    </row>
    <row r="2376" spans="2:9" x14ac:dyDescent="0.25">
      <c r="B2376" s="16" t="s">
        <v>210</v>
      </c>
      <c r="C2376" s="17">
        <v>45145</v>
      </c>
      <c r="D2376" s="16">
        <v>42468</v>
      </c>
      <c r="E2376" s="16">
        <v>72178</v>
      </c>
      <c r="F2376" s="18" t="s">
        <v>20</v>
      </c>
      <c r="G2376" s="16" t="s">
        <v>7</v>
      </c>
      <c r="H2376" s="16" t="s">
        <v>36</v>
      </c>
      <c r="I2376" s="16" t="s">
        <v>407</v>
      </c>
    </row>
    <row r="2377" spans="2:9" x14ac:dyDescent="0.25">
      <c r="B2377" s="16" t="s">
        <v>40</v>
      </c>
      <c r="C2377" s="17">
        <v>45146</v>
      </c>
      <c r="D2377" s="16">
        <v>662250</v>
      </c>
      <c r="E2377" s="16">
        <v>1053</v>
      </c>
      <c r="F2377" s="18" t="s">
        <v>293</v>
      </c>
      <c r="G2377" s="16" t="s">
        <v>6</v>
      </c>
      <c r="H2377" s="16" t="s">
        <v>28</v>
      </c>
      <c r="I2377" s="16" t="s">
        <v>51</v>
      </c>
    </row>
    <row r="2378" spans="2:9" x14ac:dyDescent="0.25">
      <c r="B2378" s="16" t="s">
        <v>22</v>
      </c>
      <c r="C2378" s="17">
        <v>45146</v>
      </c>
      <c r="D2378" s="16">
        <v>71511</v>
      </c>
      <c r="E2378" s="16">
        <v>2518</v>
      </c>
      <c r="F2378" s="18" t="s">
        <v>408</v>
      </c>
      <c r="G2378" s="16" t="s">
        <v>334</v>
      </c>
      <c r="H2378" s="16" t="s">
        <v>114</v>
      </c>
      <c r="I2378" s="16" t="s">
        <v>17</v>
      </c>
    </row>
    <row r="2379" spans="2:9" x14ac:dyDescent="0.25">
      <c r="B2379" s="16" t="s">
        <v>33</v>
      </c>
      <c r="C2379" s="17">
        <v>45146</v>
      </c>
      <c r="D2379" s="16">
        <v>2520</v>
      </c>
      <c r="E2379" s="16">
        <v>10263</v>
      </c>
      <c r="F2379" s="18" t="s">
        <v>34</v>
      </c>
      <c r="G2379" s="16" t="s">
        <v>16</v>
      </c>
      <c r="H2379" s="16" t="s">
        <v>184</v>
      </c>
      <c r="I2379" s="16" t="s">
        <v>61</v>
      </c>
    </row>
    <row r="2380" spans="2:9" x14ac:dyDescent="0.25">
      <c r="B2380" s="16" t="s">
        <v>33</v>
      </c>
      <c r="C2380" s="17">
        <v>45146</v>
      </c>
      <c r="D2380" s="16">
        <v>326514</v>
      </c>
      <c r="E2380" s="16">
        <v>71656</v>
      </c>
      <c r="F2380" s="18" t="s">
        <v>20</v>
      </c>
      <c r="G2380" s="16" t="s">
        <v>343</v>
      </c>
      <c r="H2380" s="16" t="s">
        <v>28</v>
      </c>
      <c r="I2380" s="16" t="s">
        <v>61</v>
      </c>
    </row>
    <row r="2381" spans="2:9" x14ac:dyDescent="0.25">
      <c r="B2381" s="16" t="s">
        <v>22</v>
      </c>
      <c r="C2381" s="17">
        <v>45146</v>
      </c>
      <c r="D2381" s="16">
        <v>4906696</v>
      </c>
      <c r="E2381" s="16">
        <v>9430</v>
      </c>
      <c r="F2381" s="18" t="s">
        <v>185</v>
      </c>
      <c r="G2381" s="16" t="s">
        <v>334</v>
      </c>
      <c r="H2381" s="16" t="s">
        <v>36</v>
      </c>
      <c r="I2381" s="16" t="s">
        <v>61</v>
      </c>
    </row>
    <row r="2382" spans="2:9" x14ac:dyDescent="0.25">
      <c r="B2382" s="16" t="s">
        <v>40</v>
      </c>
      <c r="C2382" s="17">
        <v>45146</v>
      </c>
      <c r="D2382" s="16">
        <v>3468</v>
      </c>
      <c r="E2382" s="16">
        <v>10263</v>
      </c>
      <c r="F2382" s="18" t="s">
        <v>34</v>
      </c>
      <c r="G2382" s="16" t="s">
        <v>16</v>
      </c>
      <c r="H2382" s="16" t="s">
        <v>36</v>
      </c>
      <c r="I2382" s="16" t="s">
        <v>51</v>
      </c>
    </row>
    <row r="2383" spans="2:9" x14ac:dyDescent="0.25">
      <c r="B2383" s="16" t="s">
        <v>40</v>
      </c>
      <c r="C2383" s="17">
        <v>45146</v>
      </c>
      <c r="D2383" s="16">
        <v>3526</v>
      </c>
      <c r="E2383" s="16">
        <v>10263</v>
      </c>
      <c r="F2383" s="18" t="s">
        <v>34</v>
      </c>
      <c r="G2383" s="16" t="s">
        <v>16</v>
      </c>
      <c r="H2383" s="16" t="s">
        <v>36</v>
      </c>
      <c r="I2383" s="16" t="s">
        <v>409</v>
      </c>
    </row>
    <row r="2384" spans="2:9" x14ac:dyDescent="0.25">
      <c r="B2384" s="16" t="s">
        <v>40</v>
      </c>
      <c r="C2384" s="17">
        <v>45146</v>
      </c>
      <c r="D2384" s="16">
        <v>3514</v>
      </c>
      <c r="E2384" s="16">
        <v>10263</v>
      </c>
      <c r="F2384" s="18" t="s">
        <v>34</v>
      </c>
      <c r="G2384" s="16" t="s">
        <v>16</v>
      </c>
      <c r="H2384" s="16" t="s">
        <v>36</v>
      </c>
      <c r="I2384" s="16" t="s">
        <v>51</v>
      </c>
    </row>
    <row r="2385" spans="2:9" x14ac:dyDescent="0.25">
      <c r="B2385" s="16" t="s">
        <v>40</v>
      </c>
      <c r="C2385" s="17">
        <v>45146</v>
      </c>
      <c r="D2385" s="16">
        <v>3502</v>
      </c>
      <c r="E2385" s="16">
        <v>10263</v>
      </c>
      <c r="F2385" s="18" t="s">
        <v>34</v>
      </c>
      <c r="G2385" s="16" t="s">
        <v>16</v>
      </c>
      <c r="H2385" s="16" t="s">
        <v>36</v>
      </c>
      <c r="I2385" s="16" t="s">
        <v>409</v>
      </c>
    </row>
    <row r="2386" spans="2:9" x14ac:dyDescent="0.25">
      <c r="B2386" s="16" t="s">
        <v>33</v>
      </c>
      <c r="C2386" s="17">
        <v>45146</v>
      </c>
      <c r="D2386" s="16">
        <v>2512</v>
      </c>
      <c r="E2386" s="16">
        <v>10263</v>
      </c>
      <c r="F2386" s="18" t="s">
        <v>34</v>
      </c>
      <c r="G2386" s="16" t="s">
        <v>16</v>
      </c>
      <c r="H2386" s="16" t="s">
        <v>49</v>
      </c>
      <c r="I2386" s="16" t="s">
        <v>17</v>
      </c>
    </row>
    <row r="2387" spans="2:9" x14ac:dyDescent="0.25">
      <c r="B2387" s="16" t="s">
        <v>33</v>
      </c>
      <c r="C2387" s="17">
        <v>45146</v>
      </c>
      <c r="D2387" s="16">
        <v>2522</v>
      </c>
      <c r="E2387" s="16">
        <v>10263</v>
      </c>
      <c r="F2387" s="18" t="s">
        <v>34</v>
      </c>
      <c r="G2387" s="16" t="s">
        <v>16</v>
      </c>
      <c r="H2387" s="16" t="s">
        <v>49</v>
      </c>
      <c r="I2387" s="16" t="s">
        <v>17</v>
      </c>
    </row>
    <row r="2388" spans="2:9" x14ac:dyDescent="0.25">
      <c r="B2388" s="16" t="s">
        <v>40</v>
      </c>
      <c r="C2388" s="17">
        <v>45146</v>
      </c>
      <c r="D2388" s="16">
        <v>282266</v>
      </c>
      <c r="E2388" s="16">
        <v>37945</v>
      </c>
      <c r="F2388" s="18" t="s">
        <v>166</v>
      </c>
      <c r="G2388" s="16" t="s">
        <v>16</v>
      </c>
      <c r="H2388" s="16" t="s">
        <v>184</v>
      </c>
      <c r="I2388" s="16" t="s">
        <v>409</v>
      </c>
    </row>
    <row r="2389" spans="2:9" x14ac:dyDescent="0.25">
      <c r="B2389" s="16" t="s">
        <v>2</v>
      </c>
      <c r="C2389" s="17">
        <v>45146</v>
      </c>
      <c r="D2389" s="16">
        <v>158310</v>
      </c>
      <c r="E2389" s="16">
        <v>2493</v>
      </c>
      <c r="F2389" s="18" t="s">
        <v>108</v>
      </c>
      <c r="G2389" s="16" t="s">
        <v>7</v>
      </c>
      <c r="H2389" s="16" t="s">
        <v>38</v>
      </c>
      <c r="I2389" s="16" t="s">
        <v>17</v>
      </c>
    </row>
    <row r="2390" spans="2:9" x14ac:dyDescent="0.25">
      <c r="B2390" s="16" t="s">
        <v>40</v>
      </c>
      <c r="C2390" s="17">
        <v>45146</v>
      </c>
      <c r="D2390" s="16">
        <v>4906948</v>
      </c>
      <c r="E2390" s="16">
        <v>9430</v>
      </c>
      <c r="F2390" s="18" t="s">
        <v>185</v>
      </c>
      <c r="G2390" s="16" t="s">
        <v>334</v>
      </c>
      <c r="H2390" s="16" t="s">
        <v>36</v>
      </c>
      <c r="I2390" s="16" t="s">
        <v>61</v>
      </c>
    </row>
    <row r="2391" spans="2:9" x14ac:dyDescent="0.25">
      <c r="B2391" s="16" t="s">
        <v>40</v>
      </c>
      <c r="C2391" s="17">
        <v>45146</v>
      </c>
      <c r="D2391" s="16">
        <v>616812</v>
      </c>
      <c r="E2391" s="16">
        <v>6172</v>
      </c>
      <c r="F2391" s="18" t="s">
        <v>64</v>
      </c>
      <c r="G2391" s="16" t="s">
        <v>4</v>
      </c>
      <c r="H2391" s="16" t="s">
        <v>114</v>
      </c>
      <c r="I2391" s="16" t="s">
        <v>61</v>
      </c>
    </row>
    <row r="2392" spans="2:9" x14ac:dyDescent="0.25">
      <c r="B2392" s="16" t="s">
        <v>22</v>
      </c>
      <c r="C2392" s="17">
        <v>45146</v>
      </c>
      <c r="D2392" s="16">
        <v>84656</v>
      </c>
      <c r="E2392" s="16">
        <v>64460</v>
      </c>
      <c r="F2392" s="18" t="s">
        <v>139</v>
      </c>
      <c r="G2392" s="16" t="s">
        <v>341</v>
      </c>
      <c r="H2392" s="16" t="s">
        <v>46</v>
      </c>
      <c r="I2392" s="16" t="s">
        <v>73</v>
      </c>
    </row>
    <row r="2393" spans="2:9" x14ac:dyDescent="0.25">
      <c r="B2393" s="16" t="s">
        <v>2</v>
      </c>
      <c r="C2393" s="17">
        <v>45146</v>
      </c>
      <c r="D2393" s="16">
        <v>16433</v>
      </c>
      <c r="E2393" s="16">
        <v>9591</v>
      </c>
      <c r="F2393" s="18" t="s">
        <v>338</v>
      </c>
      <c r="G2393" s="16" t="s">
        <v>341</v>
      </c>
      <c r="H2393" s="16" t="s">
        <v>49</v>
      </c>
      <c r="I2393" s="16" t="s">
        <v>17</v>
      </c>
    </row>
    <row r="2394" spans="2:9" x14ac:dyDescent="0.25">
      <c r="B2394" s="16" t="s">
        <v>40</v>
      </c>
      <c r="C2394" s="17">
        <v>45146</v>
      </c>
      <c r="D2394" s="16">
        <v>3469</v>
      </c>
      <c r="E2394" s="16">
        <v>10263</v>
      </c>
      <c r="F2394" s="18" t="s">
        <v>34</v>
      </c>
      <c r="G2394" s="16" t="s">
        <v>16</v>
      </c>
      <c r="H2394" s="16" t="s">
        <v>75</v>
      </c>
      <c r="I2394" s="16" t="s">
        <v>17</v>
      </c>
    </row>
    <row r="2395" spans="2:9" x14ac:dyDescent="0.25">
      <c r="B2395" s="16" t="s">
        <v>40</v>
      </c>
      <c r="C2395" s="17">
        <v>45146</v>
      </c>
      <c r="D2395" s="16">
        <v>3490</v>
      </c>
      <c r="E2395" s="16">
        <v>10263</v>
      </c>
      <c r="F2395" s="18" t="s">
        <v>34</v>
      </c>
      <c r="G2395" s="16" t="s">
        <v>16</v>
      </c>
      <c r="H2395" s="16" t="s">
        <v>75</v>
      </c>
      <c r="I2395" s="16" t="s">
        <v>17</v>
      </c>
    </row>
    <row r="2396" spans="2:9" x14ac:dyDescent="0.25">
      <c r="B2396" s="16" t="s">
        <v>40</v>
      </c>
      <c r="C2396" s="17">
        <v>45146</v>
      </c>
      <c r="D2396" s="16">
        <v>3513</v>
      </c>
      <c r="E2396" s="16">
        <v>10263</v>
      </c>
      <c r="F2396" s="18" t="s">
        <v>34</v>
      </c>
      <c r="G2396" s="16" t="s">
        <v>16</v>
      </c>
      <c r="H2396" s="16" t="s">
        <v>75</v>
      </c>
      <c r="I2396" s="16" t="s">
        <v>17</v>
      </c>
    </row>
    <row r="2397" spans="2:9" x14ac:dyDescent="0.25">
      <c r="B2397" s="16" t="s">
        <v>40</v>
      </c>
      <c r="C2397" s="17">
        <v>45146</v>
      </c>
      <c r="D2397" s="16">
        <v>4906932</v>
      </c>
      <c r="E2397" s="16">
        <v>9430</v>
      </c>
      <c r="F2397" s="18" t="s">
        <v>185</v>
      </c>
      <c r="G2397" s="16" t="s">
        <v>334</v>
      </c>
      <c r="H2397" s="16" t="s">
        <v>49</v>
      </c>
      <c r="I2397" s="16" t="s">
        <v>17</v>
      </c>
    </row>
    <row r="2398" spans="2:9" x14ac:dyDescent="0.25">
      <c r="B2398" s="16" t="s">
        <v>2</v>
      </c>
      <c r="C2398" s="17">
        <v>45146</v>
      </c>
      <c r="D2398" s="16">
        <v>1428747</v>
      </c>
      <c r="E2398" s="16">
        <v>13235</v>
      </c>
      <c r="F2398" s="18" t="s">
        <v>99</v>
      </c>
      <c r="G2398" s="16" t="s">
        <v>341</v>
      </c>
      <c r="H2398" s="16" t="s">
        <v>184</v>
      </c>
      <c r="I2398" s="16" t="s">
        <v>61</v>
      </c>
    </row>
    <row r="2399" spans="2:9" x14ac:dyDescent="0.25">
      <c r="B2399" s="16" t="s">
        <v>2</v>
      </c>
      <c r="C2399" s="17">
        <v>45146</v>
      </c>
      <c r="D2399" s="16">
        <v>954537</v>
      </c>
      <c r="E2399" s="16">
        <v>15116</v>
      </c>
      <c r="F2399" s="18" t="s">
        <v>50</v>
      </c>
      <c r="G2399" s="16" t="s">
        <v>334</v>
      </c>
      <c r="H2399" s="16" t="s">
        <v>71</v>
      </c>
      <c r="I2399" s="16" t="s">
        <v>17</v>
      </c>
    </row>
    <row r="2400" spans="2:9" x14ac:dyDescent="0.25">
      <c r="B2400" s="16" t="s">
        <v>2</v>
      </c>
      <c r="C2400" s="17">
        <v>45146</v>
      </c>
      <c r="D2400" s="16">
        <v>954538</v>
      </c>
      <c r="E2400" s="16">
        <v>15116</v>
      </c>
      <c r="F2400" s="18" t="s">
        <v>50</v>
      </c>
      <c r="G2400" s="16" t="s">
        <v>334</v>
      </c>
      <c r="H2400" s="16" t="s">
        <v>71</v>
      </c>
      <c r="I2400" s="16" t="s">
        <v>17</v>
      </c>
    </row>
    <row r="2401" spans="2:9" x14ac:dyDescent="0.25">
      <c r="B2401" s="16" t="s">
        <v>2</v>
      </c>
      <c r="C2401" s="17">
        <v>45146</v>
      </c>
      <c r="D2401" s="16">
        <v>19172</v>
      </c>
      <c r="E2401" s="16">
        <v>14751</v>
      </c>
      <c r="F2401" s="18" t="s">
        <v>410</v>
      </c>
      <c r="G2401" s="16" t="s">
        <v>334</v>
      </c>
      <c r="H2401" s="16" t="s">
        <v>71</v>
      </c>
      <c r="I2401" s="16" t="s">
        <v>17</v>
      </c>
    </row>
    <row r="2402" spans="2:9" x14ac:dyDescent="0.25">
      <c r="B2402" s="16" t="s">
        <v>2</v>
      </c>
      <c r="C2402" s="17">
        <v>45146</v>
      </c>
      <c r="D2402" s="16">
        <v>19216</v>
      </c>
      <c r="E2402" s="16">
        <v>14751</v>
      </c>
      <c r="F2402" s="18" t="s">
        <v>410</v>
      </c>
      <c r="G2402" s="16" t="s">
        <v>334</v>
      </c>
      <c r="H2402" s="16" t="s">
        <v>71</v>
      </c>
      <c r="I2402" s="16" t="s">
        <v>17</v>
      </c>
    </row>
    <row r="2403" spans="2:9" x14ac:dyDescent="0.25">
      <c r="B2403" s="16" t="s">
        <v>26</v>
      </c>
      <c r="C2403" s="17">
        <v>45146</v>
      </c>
      <c r="D2403" s="16">
        <v>1428865</v>
      </c>
      <c r="E2403" s="16">
        <v>13235</v>
      </c>
      <c r="F2403" s="18" t="s">
        <v>99</v>
      </c>
      <c r="G2403" s="16" t="s">
        <v>341</v>
      </c>
      <c r="H2403" s="16" t="s">
        <v>75</v>
      </c>
      <c r="I2403" s="16" t="s">
        <v>370</v>
      </c>
    </row>
    <row r="2404" spans="2:9" x14ac:dyDescent="0.25">
      <c r="B2404" s="16" t="s">
        <v>26</v>
      </c>
      <c r="C2404" s="17">
        <v>45146</v>
      </c>
      <c r="D2404" s="16">
        <v>120971</v>
      </c>
      <c r="E2404" s="16">
        <v>11604</v>
      </c>
      <c r="F2404" s="18" t="s">
        <v>63</v>
      </c>
      <c r="G2404" s="16" t="s">
        <v>262</v>
      </c>
      <c r="H2404" s="16" t="s">
        <v>38</v>
      </c>
      <c r="I2404" s="16" t="s">
        <v>17</v>
      </c>
    </row>
    <row r="2405" spans="2:9" x14ac:dyDescent="0.25">
      <c r="B2405" s="16" t="s">
        <v>26</v>
      </c>
      <c r="C2405" s="17">
        <v>45146</v>
      </c>
      <c r="D2405" s="16">
        <v>282247</v>
      </c>
      <c r="E2405" s="16">
        <v>37945</v>
      </c>
      <c r="F2405" s="18" t="s">
        <v>166</v>
      </c>
      <c r="G2405" s="16" t="s">
        <v>16</v>
      </c>
      <c r="H2405" s="16" t="s">
        <v>184</v>
      </c>
      <c r="I2405" s="16" t="s">
        <v>61</v>
      </c>
    </row>
    <row r="2406" spans="2:9" x14ac:dyDescent="0.25">
      <c r="B2406" s="16" t="s">
        <v>26</v>
      </c>
      <c r="C2406" s="17">
        <v>45146</v>
      </c>
      <c r="D2406" s="16">
        <v>282248</v>
      </c>
      <c r="E2406" s="16">
        <v>37945</v>
      </c>
      <c r="F2406" s="18" t="s">
        <v>166</v>
      </c>
      <c r="G2406" s="16" t="s">
        <v>16</v>
      </c>
      <c r="H2406" s="16" t="s">
        <v>184</v>
      </c>
      <c r="I2406" s="16" t="s">
        <v>61</v>
      </c>
    </row>
    <row r="2407" spans="2:9" x14ac:dyDescent="0.25">
      <c r="B2407" s="16" t="s">
        <v>26</v>
      </c>
      <c r="C2407" s="17">
        <v>45146</v>
      </c>
      <c r="D2407" s="16">
        <v>60985</v>
      </c>
      <c r="E2407" s="16">
        <v>11787</v>
      </c>
      <c r="F2407" s="18" t="s">
        <v>244</v>
      </c>
      <c r="G2407" s="16" t="s">
        <v>334</v>
      </c>
      <c r="H2407" s="16" t="s">
        <v>28</v>
      </c>
      <c r="I2407" s="16" t="s">
        <v>335</v>
      </c>
    </row>
    <row r="2408" spans="2:9" x14ac:dyDescent="0.25">
      <c r="B2408" s="16" t="s">
        <v>33</v>
      </c>
      <c r="C2408" s="17">
        <v>45147</v>
      </c>
      <c r="D2408" s="16">
        <v>656095</v>
      </c>
      <c r="E2408" s="16">
        <v>3610</v>
      </c>
      <c r="F2408" s="18" t="s">
        <v>8</v>
      </c>
      <c r="G2408" s="16" t="s">
        <v>262</v>
      </c>
      <c r="H2408" s="16" t="s">
        <v>38</v>
      </c>
      <c r="I2408" s="16" t="s">
        <v>17</v>
      </c>
    </row>
    <row r="2409" spans="2:9" x14ac:dyDescent="0.25">
      <c r="B2409" s="16" t="s">
        <v>26</v>
      </c>
      <c r="C2409" s="17">
        <v>45147</v>
      </c>
      <c r="D2409" s="16">
        <v>4906649</v>
      </c>
      <c r="E2409" s="16">
        <v>9430</v>
      </c>
      <c r="F2409" s="18" t="s">
        <v>185</v>
      </c>
      <c r="G2409" s="16" t="s">
        <v>334</v>
      </c>
      <c r="H2409" s="16" t="s">
        <v>28</v>
      </c>
      <c r="I2409" s="16" t="s">
        <v>335</v>
      </c>
    </row>
    <row r="2410" spans="2:9" x14ac:dyDescent="0.25">
      <c r="B2410" s="16" t="s">
        <v>26</v>
      </c>
      <c r="C2410" s="17">
        <v>45147</v>
      </c>
      <c r="D2410" s="16">
        <v>4906650</v>
      </c>
      <c r="E2410" s="16">
        <v>9430</v>
      </c>
      <c r="F2410" s="18" t="s">
        <v>185</v>
      </c>
      <c r="G2410" s="16" t="s">
        <v>334</v>
      </c>
      <c r="H2410" s="16" t="s">
        <v>28</v>
      </c>
      <c r="I2410" s="16" t="s">
        <v>335</v>
      </c>
    </row>
    <row r="2411" spans="2:9" x14ac:dyDescent="0.25">
      <c r="B2411" s="16" t="s">
        <v>26</v>
      </c>
      <c r="C2411" s="17">
        <v>45147</v>
      </c>
      <c r="D2411" s="16">
        <v>4906651</v>
      </c>
      <c r="E2411" s="16">
        <v>9430</v>
      </c>
      <c r="F2411" s="18" t="s">
        <v>185</v>
      </c>
      <c r="G2411" s="16" t="s">
        <v>334</v>
      </c>
      <c r="H2411" s="16" t="s">
        <v>28</v>
      </c>
      <c r="I2411" s="16" t="s">
        <v>335</v>
      </c>
    </row>
    <row r="2412" spans="2:9" x14ac:dyDescent="0.25">
      <c r="B2412" s="16" t="s">
        <v>26</v>
      </c>
      <c r="C2412" s="17">
        <v>45147</v>
      </c>
      <c r="D2412" s="16">
        <v>4906652</v>
      </c>
      <c r="E2412" s="16">
        <v>9430</v>
      </c>
      <c r="F2412" s="18" t="s">
        <v>185</v>
      </c>
      <c r="G2412" s="16" t="s">
        <v>334</v>
      </c>
      <c r="H2412" s="16" t="s">
        <v>28</v>
      </c>
      <c r="I2412" s="16" t="s">
        <v>335</v>
      </c>
    </row>
    <row r="2413" spans="2:9" x14ac:dyDescent="0.25">
      <c r="B2413" s="16" t="s">
        <v>26</v>
      </c>
      <c r="C2413" s="17">
        <v>45147</v>
      </c>
      <c r="D2413" s="16">
        <v>4906654</v>
      </c>
      <c r="E2413" s="16">
        <v>9430</v>
      </c>
      <c r="F2413" s="18" t="s">
        <v>185</v>
      </c>
      <c r="G2413" s="16" t="s">
        <v>334</v>
      </c>
      <c r="H2413" s="16" t="s">
        <v>28</v>
      </c>
      <c r="I2413" s="16" t="s">
        <v>335</v>
      </c>
    </row>
    <row r="2414" spans="2:9" x14ac:dyDescent="0.25">
      <c r="B2414" s="16" t="s">
        <v>26</v>
      </c>
      <c r="C2414" s="17">
        <v>45147</v>
      </c>
      <c r="D2414" s="16">
        <v>4906656</v>
      </c>
      <c r="E2414" s="16">
        <v>9430</v>
      </c>
      <c r="F2414" s="18" t="s">
        <v>185</v>
      </c>
      <c r="G2414" s="16" t="s">
        <v>334</v>
      </c>
      <c r="H2414" s="16" t="s">
        <v>28</v>
      </c>
      <c r="I2414" s="16" t="s">
        <v>335</v>
      </c>
    </row>
    <row r="2415" spans="2:9" x14ac:dyDescent="0.25">
      <c r="B2415" s="16" t="s">
        <v>26</v>
      </c>
      <c r="C2415" s="17">
        <v>45147</v>
      </c>
      <c r="D2415" s="16">
        <v>4906659</v>
      </c>
      <c r="E2415" s="16">
        <v>9430</v>
      </c>
      <c r="F2415" s="18" t="s">
        <v>185</v>
      </c>
      <c r="G2415" s="16" t="s">
        <v>334</v>
      </c>
      <c r="H2415" s="16" t="s">
        <v>28</v>
      </c>
      <c r="I2415" s="16" t="s">
        <v>335</v>
      </c>
    </row>
    <row r="2416" spans="2:9" x14ac:dyDescent="0.25">
      <c r="B2416" s="16" t="s">
        <v>26</v>
      </c>
      <c r="C2416" s="17">
        <v>45147</v>
      </c>
      <c r="D2416" s="16">
        <v>4906661</v>
      </c>
      <c r="E2416" s="16">
        <v>9430</v>
      </c>
      <c r="F2416" s="18" t="s">
        <v>185</v>
      </c>
      <c r="G2416" s="16" t="s">
        <v>334</v>
      </c>
      <c r="H2416" s="16" t="s">
        <v>28</v>
      </c>
      <c r="I2416" s="16" t="s">
        <v>335</v>
      </c>
    </row>
    <row r="2417" spans="2:9" x14ac:dyDescent="0.25">
      <c r="B2417" s="16" t="s">
        <v>26</v>
      </c>
      <c r="C2417" s="17">
        <v>45147</v>
      </c>
      <c r="D2417" s="16">
        <v>4906664</v>
      </c>
      <c r="E2417" s="16">
        <v>9430</v>
      </c>
      <c r="F2417" s="18" t="s">
        <v>185</v>
      </c>
      <c r="G2417" s="16" t="s">
        <v>334</v>
      </c>
      <c r="H2417" s="16" t="s">
        <v>28</v>
      </c>
      <c r="I2417" s="16" t="s">
        <v>335</v>
      </c>
    </row>
    <row r="2418" spans="2:9" x14ac:dyDescent="0.25">
      <c r="B2418" s="16" t="s">
        <v>26</v>
      </c>
      <c r="C2418" s="17">
        <v>45147</v>
      </c>
      <c r="D2418" s="16">
        <v>4906665</v>
      </c>
      <c r="E2418" s="16">
        <v>9430</v>
      </c>
      <c r="F2418" s="18" t="s">
        <v>185</v>
      </c>
      <c r="G2418" s="16" t="s">
        <v>334</v>
      </c>
      <c r="H2418" s="16" t="s">
        <v>28</v>
      </c>
      <c r="I2418" s="16" t="s">
        <v>335</v>
      </c>
    </row>
    <row r="2419" spans="2:9" x14ac:dyDescent="0.25">
      <c r="B2419" s="16" t="s">
        <v>26</v>
      </c>
      <c r="C2419" s="17">
        <v>45147</v>
      </c>
      <c r="D2419" s="16">
        <v>4906669</v>
      </c>
      <c r="E2419" s="16">
        <v>9430</v>
      </c>
      <c r="F2419" s="18" t="s">
        <v>185</v>
      </c>
      <c r="G2419" s="16" t="s">
        <v>334</v>
      </c>
      <c r="H2419" s="16" t="s">
        <v>28</v>
      </c>
      <c r="I2419" s="16" t="s">
        <v>335</v>
      </c>
    </row>
    <row r="2420" spans="2:9" x14ac:dyDescent="0.25">
      <c r="B2420" s="16" t="s">
        <v>26</v>
      </c>
      <c r="C2420" s="17">
        <v>45147</v>
      </c>
      <c r="D2420" s="16">
        <v>4906671</v>
      </c>
      <c r="E2420" s="16">
        <v>9430</v>
      </c>
      <c r="F2420" s="18" t="s">
        <v>185</v>
      </c>
      <c r="G2420" s="16" t="s">
        <v>334</v>
      </c>
      <c r="H2420" s="16" t="s">
        <v>28</v>
      </c>
      <c r="I2420" s="16" t="s">
        <v>335</v>
      </c>
    </row>
    <row r="2421" spans="2:9" x14ac:dyDescent="0.25">
      <c r="B2421" s="16" t="s">
        <v>26</v>
      </c>
      <c r="C2421" s="17">
        <v>45147</v>
      </c>
      <c r="D2421" s="16">
        <v>4906673</v>
      </c>
      <c r="E2421" s="16">
        <v>9430</v>
      </c>
      <c r="F2421" s="18" t="s">
        <v>185</v>
      </c>
      <c r="G2421" s="16" t="s">
        <v>334</v>
      </c>
      <c r="H2421" s="16" t="s">
        <v>28</v>
      </c>
      <c r="I2421" s="16" t="s">
        <v>335</v>
      </c>
    </row>
    <row r="2422" spans="2:9" x14ac:dyDescent="0.25">
      <c r="B2422" s="16" t="s">
        <v>210</v>
      </c>
      <c r="C2422" s="17">
        <v>45147</v>
      </c>
      <c r="D2422" s="16">
        <v>1428606</v>
      </c>
      <c r="E2422" s="16">
        <v>13235</v>
      </c>
      <c r="F2422" s="18" t="s">
        <v>99</v>
      </c>
      <c r="G2422" s="16" t="s">
        <v>341</v>
      </c>
      <c r="H2422" s="16" t="s">
        <v>186</v>
      </c>
      <c r="I2422" s="16" t="s">
        <v>373</v>
      </c>
    </row>
    <row r="2423" spans="2:9" x14ac:dyDescent="0.25">
      <c r="B2423" s="16" t="s">
        <v>210</v>
      </c>
      <c r="C2423" s="17">
        <v>45147</v>
      </c>
      <c r="D2423" s="16">
        <v>2871845</v>
      </c>
      <c r="E2423" s="16">
        <v>9468</v>
      </c>
      <c r="F2423" s="18" t="s">
        <v>145</v>
      </c>
      <c r="G2423" s="16" t="s">
        <v>5</v>
      </c>
      <c r="H2423" s="16" t="s">
        <v>45</v>
      </c>
      <c r="I2423" s="16" t="s">
        <v>301</v>
      </c>
    </row>
    <row r="2424" spans="2:9" x14ac:dyDescent="0.25">
      <c r="B2424" s="16" t="s">
        <v>33</v>
      </c>
      <c r="C2424" s="17">
        <v>45147</v>
      </c>
      <c r="D2424" s="16">
        <v>4906914</v>
      </c>
      <c r="E2424" s="16">
        <v>9430</v>
      </c>
      <c r="F2424" s="18" t="s">
        <v>185</v>
      </c>
      <c r="G2424" s="16" t="s">
        <v>334</v>
      </c>
      <c r="H2424" s="16" t="s">
        <v>28</v>
      </c>
      <c r="I2424" s="16" t="s">
        <v>61</v>
      </c>
    </row>
    <row r="2425" spans="2:9" x14ac:dyDescent="0.25">
      <c r="B2425" s="16" t="s">
        <v>33</v>
      </c>
      <c r="C2425" s="17">
        <v>45147</v>
      </c>
      <c r="D2425" s="16">
        <v>4906915</v>
      </c>
      <c r="E2425" s="16">
        <v>9430</v>
      </c>
      <c r="F2425" s="18" t="s">
        <v>185</v>
      </c>
      <c r="G2425" s="16" t="s">
        <v>334</v>
      </c>
      <c r="H2425" s="16" t="s">
        <v>28</v>
      </c>
      <c r="I2425" s="16" t="s">
        <v>61</v>
      </c>
    </row>
    <row r="2426" spans="2:9" x14ac:dyDescent="0.25">
      <c r="B2426" s="16" t="s">
        <v>33</v>
      </c>
      <c r="C2426" s="17">
        <v>45147</v>
      </c>
      <c r="D2426" s="16">
        <v>4906916</v>
      </c>
      <c r="E2426" s="16">
        <v>9430</v>
      </c>
      <c r="F2426" s="18" t="s">
        <v>185</v>
      </c>
      <c r="G2426" s="16" t="s">
        <v>334</v>
      </c>
      <c r="H2426" s="16" t="s">
        <v>28</v>
      </c>
      <c r="I2426" s="16" t="s">
        <v>61</v>
      </c>
    </row>
    <row r="2427" spans="2:9" x14ac:dyDescent="0.25">
      <c r="B2427" s="16" t="s">
        <v>33</v>
      </c>
      <c r="C2427" s="17">
        <v>45147</v>
      </c>
      <c r="D2427" s="16">
        <v>4906917</v>
      </c>
      <c r="E2427" s="16">
        <v>9430</v>
      </c>
      <c r="F2427" s="18" t="s">
        <v>185</v>
      </c>
      <c r="G2427" s="16" t="s">
        <v>334</v>
      </c>
      <c r="H2427" s="16" t="s">
        <v>28</v>
      </c>
      <c r="I2427" s="16" t="s">
        <v>61</v>
      </c>
    </row>
    <row r="2428" spans="2:9" x14ac:dyDescent="0.25">
      <c r="B2428" s="16" t="s">
        <v>33</v>
      </c>
      <c r="C2428" s="17">
        <v>45147</v>
      </c>
      <c r="D2428" s="16">
        <v>4906918</v>
      </c>
      <c r="E2428" s="16">
        <v>9430</v>
      </c>
      <c r="F2428" s="18" t="s">
        <v>185</v>
      </c>
      <c r="G2428" s="16" t="s">
        <v>334</v>
      </c>
      <c r="H2428" s="16" t="s">
        <v>28</v>
      </c>
      <c r="I2428" s="16" t="s">
        <v>61</v>
      </c>
    </row>
    <row r="2429" spans="2:9" x14ac:dyDescent="0.25">
      <c r="B2429" s="16" t="s">
        <v>33</v>
      </c>
      <c r="C2429" s="17">
        <v>45147</v>
      </c>
      <c r="D2429" s="16">
        <v>4906920</v>
      </c>
      <c r="E2429" s="16">
        <v>9430</v>
      </c>
      <c r="F2429" s="18" t="s">
        <v>185</v>
      </c>
      <c r="G2429" s="16" t="s">
        <v>334</v>
      </c>
      <c r="H2429" s="16" t="s">
        <v>28</v>
      </c>
      <c r="I2429" s="16" t="s">
        <v>61</v>
      </c>
    </row>
    <row r="2430" spans="2:9" x14ac:dyDescent="0.25">
      <c r="B2430" s="16" t="s">
        <v>33</v>
      </c>
      <c r="C2430" s="17">
        <v>45147</v>
      </c>
      <c r="D2430" s="16">
        <v>4906921</v>
      </c>
      <c r="E2430" s="16">
        <v>9430</v>
      </c>
      <c r="F2430" s="18" t="s">
        <v>185</v>
      </c>
      <c r="G2430" s="16" t="s">
        <v>334</v>
      </c>
      <c r="H2430" s="16" t="s">
        <v>28</v>
      </c>
      <c r="I2430" s="16" t="s">
        <v>61</v>
      </c>
    </row>
    <row r="2431" spans="2:9" x14ac:dyDescent="0.25">
      <c r="B2431" s="16" t="s">
        <v>33</v>
      </c>
      <c r="C2431" s="17">
        <v>45147</v>
      </c>
      <c r="D2431" s="16">
        <v>4906923</v>
      </c>
      <c r="E2431" s="16">
        <v>9430</v>
      </c>
      <c r="F2431" s="18" t="s">
        <v>185</v>
      </c>
      <c r="G2431" s="16" t="s">
        <v>334</v>
      </c>
      <c r="H2431" s="16" t="s">
        <v>28</v>
      </c>
      <c r="I2431" s="16" t="s">
        <v>61</v>
      </c>
    </row>
    <row r="2432" spans="2:9" x14ac:dyDescent="0.25">
      <c r="B2432" s="16" t="s">
        <v>33</v>
      </c>
      <c r="C2432" s="17">
        <v>45147</v>
      </c>
      <c r="D2432" s="16">
        <v>4906926</v>
      </c>
      <c r="E2432" s="16">
        <v>9430</v>
      </c>
      <c r="F2432" s="18" t="s">
        <v>185</v>
      </c>
      <c r="G2432" s="16" t="s">
        <v>334</v>
      </c>
      <c r="H2432" s="16" t="s">
        <v>28</v>
      </c>
      <c r="I2432" s="16" t="s">
        <v>61</v>
      </c>
    </row>
    <row r="2433" spans="2:9" x14ac:dyDescent="0.25">
      <c r="B2433" s="16" t="s">
        <v>33</v>
      </c>
      <c r="C2433" s="17">
        <v>45147</v>
      </c>
      <c r="D2433" s="16">
        <v>4906927</v>
      </c>
      <c r="E2433" s="16">
        <v>9430</v>
      </c>
      <c r="F2433" s="18" t="s">
        <v>185</v>
      </c>
      <c r="G2433" s="16" t="s">
        <v>334</v>
      </c>
      <c r="H2433" s="16" t="s">
        <v>28</v>
      </c>
      <c r="I2433" s="16" t="s">
        <v>61</v>
      </c>
    </row>
    <row r="2434" spans="2:9" x14ac:dyDescent="0.25">
      <c r="B2434" s="16" t="s">
        <v>33</v>
      </c>
      <c r="C2434" s="17">
        <v>45147</v>
      </c>
      <c r="D2434" s="16">
        <v>4906929</v>
      </c>
      <c r="E2434" s="16">
        <v>9430</v>
      </c>
      <c r="F2434" s="18" t="s">
        <v>185</v>
      </c>
      <c r="G2434" s="16" t="s">
        <v>334</v>
      </c>
      <c r="H2434" s="16" t="s">
        <v>28</v>
      </c>
      <c r="I2434" s="16" t="s">
        <v>61</v>
      </c>
    </row>
    <row r="2435" spans="2:9" x14ac:dyDescent="0.25">
      <c r="B2435" s="16" t="s">
        <v>33</v>
      </c>
      <c r="C2435" s="17">
        <v>45147</v>
      </c>
      <c r="D2435" s="16">
        <v>4906931</v>
      </c>
      <c r="E2435" s="16">
        <v>9430</v>
      </c>
      <c r="F2435" s="18" t="s">
        <v>185</v>
      </c>
      <c r="G2435" s="16" t="s">
        <v>334</v>
      </c>
      <c r="H2435" s="16" t="s">
        <v>28</v>
      </c>
      <c r="I2435" s="16" t="s">
        <v>61</v>
      </c>
    </row>
    <row r="2436" spans="2:9" x14ac:dyDescent="0.25">
      <c r="B2436" s="16" t="s">
        <v>33</v>
      </c>
      <c r="C2436" s="17">
        <v>45147</v>
      </c>
      <c r="D2436" s="16">
        <v>4906933</v>
      </c>
      <c r="E2436" s="16">
        <v>9430</v>
      </c>
      <c r="F2436" s="18" t="s">
        <v>185</v>
      </c>
      <c r="G2436" s="16" t="s">
        <v>334</v>
      </c>
      <c r="H2436" s="16" t="s">
        <v>28</v>
      </c>
      <c r="I2436" s="16" t="s">
        <v>61</v>
      </c>
    </row>
    <row r="2437" spans="2:9" x14ac:dyDescent="0.25">
      <c r="B2437" s="16" t="s">
        <v>33</v>
      </c>
      <c r="C2437" s="17">
        <v>45147</v>
      </c>
      <c r="D2437" s="16">
        <v>4906936</v>
      </c>
      <c r="E2437" s="16">
        <v>9430</v>
      </c>
      <c r="F2437" s="18" t="s">
        <v>185</v>
      </c>
      <c r="G2437" s="16" t="s">
        <v>334</v>
      </c>
      <c r="H2437" s="16" t="s">
        <v>28</v>
      </c>
      <c r="I2437" s="16" t="s">
        <v>61</v>
      </c>
    </row>
    <row r="2438" spans="2:9" x14ac:dyDescent="0.25">
      <c r="B2438" s="16" t="s">
        <v>33</v>
      </c>
      <c r="C2438" s="17">
        <v>45147</v>
      </c>
      <c r="D2438" s="16">
        <v>4906938</v>
      </c>
      <c r="E2438" s="16">
        <v>9430</v>
      </c>
      <c r="F2438" s="18" t="s">
        <v>185</v>
      </c>
      <c r="G2438" s="16" t="s">
        <v>334</v>
      </c>
      <c r="H2438" s="16" t="s">
        <v>28</v>
      </c>
      <c r="I2438" s="16" t="s">
        <v>61</v>
      </c>
    </row>
    <row r="2439" spans="2:9" x14ac:dyDescent="0.25">
      <c r="B2439" s="16" t="s">
        <v>33</v>
      </c>
      <c r="C2439" s="17">
        <v>45147</v>
      </c>
      <c r="D2439" s="16">
        <v>4906940</v>
      </c>
      <c r="E2439" s="16">
        <v>9430</v>
      </c>
      <c r="F2439" s="18" t="s">
        <v>185</v>
      </c>
      <c r="G2439" s="16" t="s">
        <v>334</v>
      </c>
      <c r="H2439" s="16" t="s">
        <v>28</v>
      </c>
      <c r="I2439" s="16" t="s">
        <v>61</v>
      </c>
    </row>
    <row r="2440" spans="2:9" x14ac:dyDescent="0.25">
      <c r="B2440" s="16" t="s">
        <v>2</v>
      </c>
      <c r="C2440" s="17">
        <v>45147</v>
      </c>
      <c r="D2440" s="16">
        <v>3611</v>
      </c>
      <c r="E2440" s="16">
        <v>10263</v>
      </c>
      <c r="F2440" s="18" t="s">
        <v>34</v>
      </c>
      <c r="G2440" s="16" t="s">
        <v>16</v>
      </c>
      <c r="H2440" s="16" t="s">
        <v>36</v>
      </c>
      <c r="I2440" s="16" t="s">
        <v>20</v>
      </c>
    </row>
    <row r="2441" spans="2:9" x14ac:dyDescent="0.25">
      <c r="B2441" s="16" t="s">
        <v>2</v>
      </c>
      <c r="C2441" s="17">
        <v>45147</v>
      </c>
      <c r="D2441" s="16">
        <v>3629</v>
      </c>
      <c r="E2441" s="16">
        <v>10263</v>
      </c>
      <c r="F2441" s="18" t="s">
        <v>34</v>
      </c>
      <c r="G2441" s="16" t="s">
        <v>16</v>
      </c>
      <c r="H2441" s="16" t="s">
        <v>36</v>
      </c>
      <c r="I2441" s="16" t="s">
        <v>20</v>
      </c>
    </row>
    <row r="2442" spans="2:9" x14ac:dyDescent="0.25">
      <c r="B2442" s="16" t="s">
        <v>2</v>
      </c>
      <c r="C2442" s="17">
        <v>45147</v>
      </c>
      <c r="D2442" s="16">
        <v>3584</v>
      </c>
      <c r="E2442" s="16">
        <v>10263</v>
      </c>
      <c r="F2442" s="18" t="s">
        <v>34</v>
      </c>
      <c r="G2442" s="16" t="s">
        <v>16</v>
      </c>
      <c r="H2442" s="16" t="s">
        <v>36</v>
      </c>
      <c r="I2442" s="16" t="s">
        <v>20</v>
      </c>
    </row>
    <row r="2443" spans="2:9" x14ac:dyDescent="0.25">
      <c r="B2443" s="16" t="s">
        <v>40</v>
      </c>
      <c r="C2443" s="17">
        <v>45147</v>
      </c>
      <c r="D2443" s="16">
        <v>1428742</v>
      </c>
      <c r="E2443" s="16">
        <v>13235</v>
      </c>
      <c r="F2443" s="18" t="s">
        <v>99</v>
      </c>
      <c r="G2443" s="16" t="s">
        <v>341</v>
      </c>
      <c r="H2443" s="16" t="s">
        <v>39</v>
      </c>
      <c r="I2443" s="16" t="s">
        <v>61</v>
      </c>
    </row>
    <row r="2444" spans="2:9" x14ac:dyDescent="0.25">
      <c r="B2444" s="16" t="s">
        <v>210</v>
      </c>
      <c r="C2444" s="17">
        <v>45147</v>
      </c>
      <c r="D2444" s="16">
        <v>242472</v>
      </c>
      <c r="E2444" s="16">
        <v>1175</v>
      </c>
      <c r="F2444" s="18" t="s">
        <v>81</v>
      </c>
      <c r="G2444" s="16" t="s">
        <v>7</v>
      </c>
      <c r="H2444" s="16" t="s">
        <v>38</v>
      </c>
      <c r="I2444" s="16" t="s">
        <v>17</v>
      </c>
    </row>
    <row r="2445" spans="2:9" x14ac:dyDescent="0.25">
      <c r="B2445" s="16" t="s">
        <v>210</v>
      </c>
      <c r="C2445" s="17">
        <v>45147</v>
      </c>
      <c r="D2445" s="16">
        <v>42554</v>
      </c>
      <c r="E2445" s="16">
        <v>72178</v>
      </c>
      <c r="F2445" s="18" t="s">
        <v>20</v>
      </c>
      <c r="G2445" s="16" t="s">
        <v>7</v>
      </c>
      <c r="H2445" s="16" t="s">
        <v>38</v>
      </c>
      <c r="I2445" s="16" t="s">
        <v>17</v>
      </c>
    </row>
    <row r="2446" spans="2:9" x14ac:dyDescent="0.25">
      <c r="B2446" s="16" t="s">
        <v>20</v>
      </c>
      <c r="C2446" s="17">
        <v>45147</v>
      </c>
      <c r="D2446" s="16">
        <v>1428602</v>
      </c>
      <c r="E2446" s="16">
        <v>13235</v>
      </c>
      <c r="F2446" s="18" t="s">
        <v>99</v>
      </c>
      <c r="G2446" s="16" t="s">
        <v>341</v>
      </c>
      <c r="H2446" s="16" t="s">
        <v>184</v>
      </c>
      <c r="I2446" s="16" t="s">
        <v>61</v>
      </c>
    </row>
    <row r="2447" spans="2:9" x14ac:dyDescent="0.25">
      <c r="B2447" s="16" t="s">
        <v>40</v>
      </c>
      <c r="C2447" s="17">
        <v>45147</v>
      </c>
      <c r="D2447" s="16">
        <v>5525</v>
      </c>
      <c r="E2447" s="16">
        <v>71781</v>
      </c>
      <c r="F2447" s="18" t="s">
        <v>20</v>
      </c>
      <c r="G2447" s="16" t="s">
        <v>52</v>
      </c>
      <c r="H2447" s="16" t="s">
        <v>36</v>
      </c>
      <c r="I2447" s="16" t="s">
        <v>132</v>
      </c>
    </row>
    <row r="2448" spans="2:9" x14ac:dyDescent="0.25">
      <c r="B2448" s="16" t="s">
        <v>26</v>
      </c>
      <c r="C2448" s="17">
        <v>45147</v>
      </c>
      <c r="D2448" s="16">
        <v>158380</v>
      </c>
      <c r="E2448" s="16">
        <v>2493</v>
      </c>
      <c r="F2448" s="18" t="s">
        <v>108</v>
      </c>
      <c r="G2448" s="16" t="s">
        <v>7</v>
      </c>
      <c r="H2448" s="16" t="s">
        <v>355</v>
      </c>
      <c r="I2448" s="16" t="s">
        <v>17</v>
      </c>
    </row>
    <row r="2449" spans="2:9" x14ac:dyDescent="0.25">
      <c r="B2449" s="16" t="s">
        <v>26</v>
      </c>
      <c r="C2449" s="17">
        <v>45147</v>
      </c>
      <c r="D2449" s="16">
        <v>32903</v>
      </c>
      <c r="E2449" s="16">
        <v>70485</v>
      </c>
      <c r="F2449" s="18" t="s">
        <v>20</v>
      </c>
      <c r="G2449" s="16" t="s">
        <v>4</v>
      </c>
      <c r="H2449" s="16" t="s">
        <v>46</v>
      </c>
      <c r="I2449" s="16" t="s">
        <v>17</v>
      </c>
    </row>
    <row r="2450" spans="2:9" x14ac:dyDescent="0.25">
      <c r="B2450" s="16" t="s">
        <v>26</v>
      </c>
      <c r="C2450" s="17">
        <v>45147</v>
      </c>
      <c r="D2450" s="16">
        <v>32904</v>
      </c>
      <c r="E2450" s="16">
        <v>70485</v>
      </c>
      <c r="F2450" s="18" t="s">
        <v>183</v>
      </c>
      <c r="G2450" s="16" t="s">
        <v>4</v>
      </c>
      <c r="H2450" s="16" t="s">
        <v>46</v>
      </c>
      <c r="I2450" s="16" t="s">
        <v>17</v>
      </c>
    </row>
    <row r="2451" spans="2:9" x14ac:dyDescent="0.25">
      <c r="B2451" s="16" t="s">
        <v>26</v>
      </c>
      <c r="C2451" s="17">
        <v>45147</v>
      </c>
      <c r="D2451" s="16">
        <v>32901</v>
      </c>
      <c r="E2451" s="16">
        <v>70485</v>
      </c>
      <c r="F2451" s="18" t="s">
        <v>20</v>
      </c>
      <c r="G2451" s="16" t="s">
        <v>4</v>
      </c>
      <c r="H2451" s="16" t="s">
        <v>46</v>
      </c>
      <c r="I2451" s="16" t="s">
        <v>17</v>
      </c>
    </row>
    <row r="2452" spans="2:9" x14ac:dyDescent="0.25">
      <c r="B2452" s="16" t="s">
        <v>26</v>
      </c>
      <c r="C2452" s="17">
        <v>45147</v>
      </c>
      <c r="D2452" s="16">
        <v>32902</v>
      </c>
      <c r="E2452" s="16">
        <v>70485</v>
      </c>
      <c r="F2452" s="18" t="s">
        <v>20</v>
      </c>
      <c r="G2452" s="16" t="s">
        <v>4</v>
      </c>
      <c r="H2452" s="16" t="s">
        <v>46</v>
      </c>
      <c r="I2452" s="16" t="s">
        <v>17</v>
      </c>
    </row>
    <row r="2453" spans="2:9" x14ac:dyDescent="0.25">
      <c r="B2453" s="16" t="s">
        <v>2</v>
      </c>
      <c r="C2453" s="17">
        <v>45147</v>
      </c>
      <c r="D2453" s="16">
        <v>4680073</v>
      </c>
      <c r="E2453" s="16">
        <v>9460</v>
      </c>
      <c r="F2453" s="18" t="s">
        <v>20</v>
      </c>
      <c r="G2453" s="16" t="s">
        <v>52</v>
      </c>
      <c r="H2453" s="16" t="s">
        <v>71</v>
      </c>
      <c r="I2453" s="16" t="s">
        <v>17</v>
      </c>
    </row>
    <row r="2454" spans="2:9" x14ac:dyDescent="0.25">
      <c r="B2454" s="16" t="s">
        <v>2</v>
      </c>
      <c r="C2454" s="17">
        <v>45147</v>
      </c>
      <c r="D2454" s="16">
        <v>4680074</v>
      </c>
      <c r="E2454" s="16">
        <v>9460</v>
      </c>
      <c r="F2454" s="18" t="s">
        <v>183</v>
      </c>
      <c r="G2454" s="16" t="s">
        <v>52</v>
      </c>
      <c r="H2454" s="16" t="s">
        <v>71</v>
      </c>
      <c r="I2454" s="16" t="s">
        <v>17</v>
      </c>
    </row>
    <row r="2455" spans="2:9" x14ac:dyDescent="0.25">
      <c r="B2455" s="16" t="s">
        <v>2</v>
      </c>
      <c r="C2455" s="17">
        <v>45147</v>
      </c>
      <c r="D2455" s="16">
        <v>4680075</v>
      </c>
      <c r="E2455" s="16">
        <v>9460</v>
      </c>
      <c r="F2455" s="18" t="s">
        <v>183</v>
      </c>
      <c r="G2455" s="16" t="s">
        <v>52</v>
      </c>
      <c r="H2455" s="16" t="s">
        <v>71</v>
      </c>
      <c r="I2455" s="16" t="s">
        <v>17</v>
      </c>
    </row>
    <row r="2456" spans="2:9" x14ac:dyDescent="0.25">
      <c r="B2456" s="16" t="s">
        <v>2</v>
      </c>
      <c r="C2456" s="17">
        <v>45147</v>
      </c>
      <c r="D2456" s="16">
        <v>4680076</v>
      </c>
      <c r="E2456" s="16">
        <v>9460</v>
      </c>
      <c r="F2456" s="18" t="s">
        <v>183</v>
      </c>
      <c r="G2456" s="16" t="s">
        <v>52</v>
      </c>
      <c r="H2456" s="16" t="s">
        <v>71</v>
      </c>
      <c r="I2456" s="16" t="s">
        <v>17</v>
      </c>
    </row>
    <row r="2457" spans="2:9" x14ac:dyDescent="0.25">
      <c r="B2457" s="16" t="s">
        <v>2</v>
      </c>
      <c r="C2457" s="17">
        <v>45147</v>
      </c>
      <c r="D2457" s="16">
        <v>4680077</v>
      </c>
      <c r="E2457" s="16">
        <v>9460</v>
      </c>
      <c r="F2457" s="18" t="s">
        <v>183</v>
      </c>
      <c r="G2457" s="16" t="s">
        <v>52</v>
      </c>
      <c r="H2457" s="16" t="s">
        <v>71</v>
      </c>
      <c r="I2457" s="16" t="s">
        <v>17</v>
      </c>
    </row>
    <row r="2458" spans="2:9" x14ac:dyDescent="0.25">
      <c r="B2458" s="16" t="s">
        <v>2</v>
      </c>
      <c r="C2458" s="17">
        <v>45147</v>
      </c>
      <c r="D2458" s="16">
        <v>4680078</v>
      </c>
      <c r="E2458" s="16">
        <v>9460</v>
      </c>
      <c r="F2458" s="18" t="s">
        <v>183</v>
      </c>
      <c r="G2458" s="16" t="s">
        <v>52</v>
      </c>
      <c r="H2458" s="16" t="s">
        <v>71</v>
      </c>
      <c r="I2458" s="16" t="s">
        <v>17</v>
      </c>
    </row>
    <row r="2459" spans="2:9" x14ac:dyDescent="0.25">
      <c r="B2459" s="16" t="s">
        <v>2</v>
      </c>
      <c r="C2459" s="17">
        <v>45147</v>
      </c>
      <c r="D2459" s="16">
        <v>4680079</v>
      </c>
      <c r="E2459" s="16">
        <v>9460</v>
      </c>
      <c r="F2459" s="18" t="s">
        <v>183</v>
      </c>
      <c r="G2459" s="16" t="s">
        <v>20</v>
      </c>
      <c r="H2459" s="16" t="s">
        <v>20</v>
      </c>
      <c r="I2459" s="16" t="s">
        <v>20</v>
      </c>
    </row>
    <row r="2460" spans="2:9" x14ac:dyDescent="0.25">
      <c r="B2460" s="16" t="s">
        <v>210</v>
      </c>
      <c r="C2460" s="17">
        <v>45147</v>
      </c>
      <c r="D2460" s="16">
        <v>4347901</v>
      </c>
      <c r="E2460" s="16">
        <v>1174</v>
      </c>
      <c r="F2460" s="18" t="s">
        <v>100</v>
      </c>
      <c r="G2460" s="16" t="s">
        <v>52</v>
      </c>
      <c r="H2460" s="16" t="s">
        <v>75</v>
      </c>
      <c r="I2460" s="16" t="s">
        <v>17</v>
      </c>
    </row>
    <row r="2461" spans="2:9" x14ac:dyDescent="0.25">
      <c r="B2461" s="16" t="s">
        <v>26</v>
      </c>
      <c r="C2461" s="17">
        <v>45147</v>
      </c>
      <c r="D2461" s="16">
        <v>13317</v>
      </c>
      <c r="E2461" s="16">
        <v>66783</v>
      </c>
      <c r="F2461" s="18" t="s">
        <v>411</v>
      </c>
      <c r="G2461" s="16" t="s">
        <v>342</v>
      </c>
      <c r="H2461" s="16" t="s">
        <v>114</v>
      </c>
      <c r="I2461" s="16" t="s">
        <v>17</v>
      </c>
    </row>
    <row r="2462" spans="2:9" x14ac:dyDescent="0.25">
      <c r="B2462" s="16" t="s">
        <v>210</v>
      </c>
      <c r="C2462" s="17">
        <v>45148</v>
      </c>
      <c r="D2462" s="16">
        <v>2871845</v>
      </c>
      <c r="E2462" s="16">
        <v>9468</v>
      </c>
      <c r="F2462" s="18" t="s">
        <v>145</v>
      </c>
      <c r="G2462" s="16" t="s">
        <v>5</v>
      </c>
      <c r="H2462" s="16" t="s">
        <v>45</v>
      </c>
      <c r="I2462" s="16" t="s">
        <v>301</v>
      </c>
    </row>
    <row r="2463" spans="2:9" x14ac:dyDescent="0.25">
      <c r="B2463" s="16" t="s">
        <v>26</v>
      </c>
      <c r="C2463" s="17">
        <v>45148</v>
      </c>
      <c r="D2463" s="16">
        <v>4274</v>
      </c>
      <c r="E2463" s="16">
        <v>10263</v>
      </c>
      <c r="F2463" s="18" t="s">
        <v>34</v>
      </c>
      <c r="G2463" s="16" t="s">
        <v>16</v>
      </c>
      <c r="H2463" s="16" t="s">
        <v>36</v>
      </c>
      <c r="I2463" s="16" t="s">
        <v>61</v>
      </c>
    </row>
    <row r="2464" spans="2:9" x14ac:dyDescent="0.25">
      <c r="B2464" s="16" t="s">
        <v>26</v>
      </c>
      <c r="C2464" s="17">
        <v>45148</v>
      </c>
      <c r="D2464" s="16">
        <v>4277</v>
      </c>
      <c r="E2464" s="16">
        <v>10263</v>
      </c>
      <c r="F2464" s="18" t="s">
        <v>34</v>
      </c>
      <c r="G2464" s="16" t="s">
        <v>16</v>
      </c>
      <c r="H2464" s="16" t="s">
        <v>36</v>
      </c>
      <c r="I2464" s="16" t="s">
        <v>61</v>
      </c>
    </row>
    <row r="2465" spans="2:9" x14ac:dyDescent="0.25">
      <c r="B2465" s="16" t="s">
        <v>22</v>
      </c>
      <c r="C2465" s="17">
        <v>45148</v>
      </c>
      <c r="D2465" s="16">
        <v>14336</v>
      </c>
      <c r="E2465" s="16">
        <v>71017</v>
      </c>
      <c r="F2465" s="18" t="s">
        <v>20</v>
      </c>
      <c r="G2465" s="16" t="s">
        <v>343</v>
      </c>
      <c r="H2465" s="16" t="s">
        <v>45</v>
      </c>
      <c r="I2465" s="16" t="s">
        <v>378</v>
      </c>
    </row>
    <row r="2466" spans="2:9" x14ac:dyDescent="0.25">
      <c r="B2466" s="16" t="s">
        <v>22</v>
      </c>
      <c r="C2466" s="17">
        <v>45148</v>
      </c>
      <c r="D2466" s="16">
        <v>1432627</v>
      </c>
      <c r="E2466" s="16">
        <v>13235</v>
      </c>
      <c r="F2466" s="18" t="s">
        <v>99</v>
      </c>
      <c r="G2466" s="16" t="s">
        <v>4</v>
      </c>
      <c r="H2466" s="16" t="s">
        <v>190</v>
      </c>
      <c r="I2466" s="16" t="s">
        <v>378</v>
      </c>
    </row>
    <row r="2467" spans="2:9" x14ac:dyDescent="0.25">
      <c r="B2467" s="16" t="s">
        <v>210</v>
      </c>
      <c r="C2467" s="17">
        <v>45148</v>
      </c>
      <c r="D2467" s="16">
        <v>4687</v>
      </c>
      <c r="E2467" s="16">
        <v>10263</v>
      </c>
      <c r="F2467" s="18" t="s">
        <v>34</v>
      </c>
      <c r="G2467" s="16" t="s">
        <v>16</v>
      </c>
      <c r="H2467" s="16" t="s">
        <v>36</v>
      </c>
      <c r="I2467" s="16" t="s">
        <v>61</v>
      </c>
    </row>
    <row r="2468" spans="2:9" x14ac:dyDescent="0.25">
      <c r="B2468" s="16" t="s">
        <v>210</v>
      </c>
      <c r="C2468" s="17">
        <v>45148</v>
      </c>
      <c r="D2468" s="16">
        <v>4692</v>
      </c>
      <c r="E2468" s="16">
        <v>10263</v>
      </c>
      <c r="F2468" s="18" t="s">
        <v>34</v>
      </c>
      <c r="G2468" s="16" t="s">
        <v>16</v>
      </c>
      <c r="H2468" s="16" t="s">
        <v>36</v>
      </c>
      <c r="I2468" s="16" t="s">
        <v>61</v>
      </c>
    </row>
    <row r="2469" spans="2:9" x14ac:dyDescent="0.25">
      <c r="B2469" s="16" t="s">
        <v>33</v>
      </c>
      <c r="C2469" s="17">
        <v>45148</v>
      </c>
      <c r="D2469" s="16">
        <v>121068</v>
      </c>
      <c r="E2469" s="16">
        <v>11604</v>
      </c>
      <c r="F2469" s="18" t="s">
        <v>63</v>
      </c>
      <c r="G2469" s="16" t="s">
        <v>262</v>
      </c>
      <c r="H2469" s="16" t="s">
        <v>38</v>
      </c>
      <c r="I2469" s="16" t="s">
        <v>17</v>
      </c>
    </row>
    <row r="2470" spans="2:9" x14ac:dyDescent="0.25">
      <c r="B2470" s="16" t="s">
        <v>26</v>
      </c>
      <c r="C2470" s="17">
        <v>45148</v>
      </c>
      <c r="D2470" s="16">
        <v>2404359</v>
      </c>
      <c r="E2470" s="16">
        <v>8252</v>
      </c>
      <c r="F2470" s="18" t="s">
        <v>286</v>
      </c>
      <c r="G2470" s="16" t="s">
        <v>4</v>
      </c>
      <c r="H2470" s="16" t="s">
        <v>184</v>
      </c>
      <c r="I2470" s="16" t="s">
        <v>61</v>
      </c>
    </row>
    <row r="2471" spans="2:9" x14ac:dyDescent="0.25">
      <c r="B2471" s="16" t="s">
        <v>26</v>
      </c>
      <c r="C2471" s="17">
        <v>45148</v>
      </c>
      <c r="D2471" s="16">
        <v>2404360</v>
      </c>
      <c r="E2471" s="16">
        <v>8252</v>
      </c>
      <c r="F2471" s="18" t="s">
        <v>286</v>
      </c>
      <c r="G2471" s="16" t="s">
        <v>4</v>
      </c>
      <c r="H2471" s="16" t="s">
        <v>184</v>
      </c>
      <c r="I2471" s="16" t="s">
        <v>61</v>
      </c>
    </row>
    <row r="2472" spans="2:9" x14ac:dyDescent="0.25">
      <c r="B2472" s="16" t="s">
        <v>33</v>
      </c>
      <c r="C2472" s="17">
        <v>45148</v>
      </c>
      <c r="D2472" s="16">
        <v>2139484</v>
      </c>
      <c r="E2472" s="16">
        <v>9459</v>
      </c>
      <c r="F2472" s="18" t="s">
        <v>105</v>
      </c>
      <c r="G2472" s="16" t="s">
        <v>341</v>
      </c>
      <c r="H2472" s="16" t="s">
        <v>184</v>
      </c>
      <c r="I2472" s="16" t="s">
        <v>61</v>
      </c>
    </row>
    <row r="2473" spans="2:9" x14ac:dyDescent="0.25">
      <c r="B2473" s="16" t="s">
        <v>210</v>
      </c>
      <c r="C2473" s="17">
        <v>45148</v>
      </c>
      <c r="D2473" s="16">
        <v>2137544</v>
      </c>
      <c r="E2473" s="16">
        <v>9459</v>
      </c>
      <c r="F2473" s="18" t="s">
        <v>105</v>
      </c>
      <c r="G2473" s="16" t="s">
        <v>341</v>
      </c>
      <c r="H2473" s="16" t="s">
        <v>184</v>
      </c>
      <c r="I2473" s="16" t="s">
        <v>61</v>
      </c>
    </row>
    <row r="2474" spans="2:9" x14ac:dyDescent="0.25">
      <c r="B2474" s="16" t="s">
        <v>33</v>
      </c>
      <c r="C2474" s="17">
        <v>45148</v>
      </c>
      <c r="D2474" s="16">
        <v>4906914</v>
      </c>
      <c r="E2474" s="16">
        <v>9430</v>
      </c>
      <c r="F2474" s="18" t="s">
        <v>185</v>
      </c>
      <c r="G2474" s="16" t="s">
        <v>334</v>
      </c>
      <c r="H2474" s="16" t="s">
        <v>46</v>
      </c>
      <c r="I2474" s="16" t="s">
        <v>51</v>
      </c>
    </row>
    <row r="2475" spans="2:9" x14ac:dyDescent="0.25">
      <c r="B2475" s="16" t="s">
        <v>33</v>
      </c>
      <c r="C2475" s="17">
        <v>45148</v>
      </c>
      <c r="D2475" s="16">
        <v>4906915</v>
      </c>
      <c r="E2475" s="16">
        <v>9430</v>
      </c>
      <c r="F2475" s="18" t="s">
        <v>185</v>
      </c>
      <c r="G2475" s="16" t="s">
        <v>334</v>
      </c>
      <c r="H2475" s="16" t="s">
        <v>46</v>
      </c>
      <c r="I2475" s="16" t="s">
        <v>51</v>
      </c>
    </row>
    <row r="2476" spans="2:9" x14ac:dyDescent="0.25">
      <c r="B2476" s="16" t="s">
        <v>33</v>
      </c>
      <c r="C2476" s="17">
        <v>45148</v>
      </c>
      <c r="D2476" s="16">
        <v>4906916</v>
      </c>
      <c r="E2476" s="16">
        <v>9430</v>
      </c>
      <c r="F2476" s="18" t="s">
        <v>185</v>
      </c>
      <c r="G2476" s="16" t="s">
        <v>334</v>
      </c>
      <c r="H2476" s="16" t="s">
        <v>46</v>
      </c>
      <c r="I2476" s="16" t="s">
        <v>51</v>
      </c>
    </row>
    <row r="2477" spans="2:9" x14ac:dyDescent="0.25">
      <c r="B2477" s="16" t="s">
        <v>33</v>
      </c>
      <c r="C2477" s="17">
        <v>45148</v>
      </c>
      <c r="D2477" s="16">
        <v>4906917</v>
      </c>
      <c r="E2477" s="16">
        <v>9430</v>
      </c>
      <c r="F2477" s="18" t="s">
        <v>185</v>
      </c>
      <c r="G2477" s="16" t="s">
        <v>334</v>
      </c>
      <c r="H2477" s="16" t="s">
        <v>46</v>
      </c>
      <c r="I2477" s="16" t="s">
        <v>51</v>
      </c>
    </row>
    <row r="2478" spans="2:9" x14ac:dyDescent="0.25">
      <c r="B2478" s="16" t="s">
        <v>33</v>
      </c>
      <c r="C2478" s="17">
        <v>45148</v>
      </c>
      <c r="D2478" s="16">
        <v>4906918</v>
      </c>
      <c r="E2478" s="16">
        <v>9430</v>
      </c>
      <c r="F2478" s="18" t="s">
        <v>185</v>
      </c>
      <c r="G2478" s="16" t="s">
        <v>334</v>
      </c>
      <c r="H2478" s="16" t="s">
        <v>46</v>
      </c>
      <c r="I2478" s="16" t="s">
        <v>51</v>
      </c>
    </row>
    <row r="2479" spans="2:9" x14ac:dyDescent="0.25">
      <c r="B2479" s="16" t="s">
        <v>33</v>
      </c>
      <c r="C2479" s="17">
        <v>45148</v>
      </c>
      <c r="D2479" s="16">
        <v>4906920</v>
      </c>
      <c r="E2479" s="16">
        <v>9430</v>
      </c>
      <c r="F2479" s="18" t="s">
        <v>185</v>
      </c>
      <c r="G2479" s="16" t="s">
        <v>334</v>
      </c>
      <c r="H2479" s="16" t="s">
        <v>46</v>
      </c>
      <c r="I2479" s="16" t="s">
        <v>51</v>
      </c>
    </row>
    <row r="2480" spans="2:9" x14ac:dyDescent="0.25">
      <c r="B2480" s="16" t="s">
        <v>33</v>
      </c>
      <c r="C2480" s="17">
        <v>45148</v>
      </c>
      <c r="D2480" s="16">
        <v>4906921</v>
      </c>
      <c r="E2480" s="16">
        <v>9430</v>
      </c>
      <c r="F2480" s="18" t="s">
        <v>185</v>
      </c>
      <c r="G2480" s="16" t="s">
        <v>334</v>
      </c>
      <c r="H2480" s="16" t="s">
        <v>46</v>
      </c>
      <c r="I2480" s="16" t="s">
        <v>51</v>
      </c>
    </row>
    <row r="2481" spans="2:9" x14ac:dyDescent="0.25">
      <c r="B2481" s="16" t="s">
        <v>33</v>
      </c>
      <c r="C2481" s="17">
        <v>45148</v>
      </c>
      <c r="D2481" s="16">
        <v>4906923</v>
      </c>
      <c r="E2481" s="16">
        <v>9430</v>
      </c>
      <c r="F2481" s="18" t="s">
        <v>185</v>
      </c>
      <c r="G2481" s="16" t="s">
        <v>334</v>
      </c>
      <c r="H2481" s="16" t="s">
        <v>46</v>
      </c>
      <c r="I2481" s="16" t="s">
        <v>51</v>
      </c>
    </row>
    <row r="2482" spans="2:9" x14ac:dyDescent="0.25">
      <c r="B2482" s="16" t="s">
        <v>33</v>
      </c>
      <c r="C2482" s="17">
        <v>45148</v>
      </c>
      <c r="D2482" s="16">
        <v>4906926</v>
      </c>
      <c r="E2482" s="16">
        <v>9430</v>
      </c>
      <c r="F2482" s="18" t="s">
        <v>185</v>
      </c>
      <c r="G2482" s="16" t="s">
        <v>334</v>
      </c>
      <c r="H2482" s="16" t="s">
        <v>46</v>
      </c>
      <c r="I2482" s="16" t="s">
        <v>51</v>
      </c>
    </row>
    <row r="2483" spans="2:9" x14ac:dyDescent="0.25">
      <c r="B2483" s="16" t="s">
        <v>33</v>
      </c>
      <c r="C2483" s="17">
        <v>45148</v>
      </c>
      <c r="D2483" s="16">
        <v>4906927</v>
      </c>
      <c r="E2483" s="16">
        <v>9430</v>
      </c>
      <c r="F2483" s="18" t="s">
        <v>185</v>
      </c>
      <c r="G2483" s="16" t="s">
        <v>334</v>
      </c>
      <c r="H2483" s="16" t="s">
        <v>46</v>
      </c>
      <c r="I2483" s="16" t="s">
        <v>51</v>
      </c>
    </row>
    <row r="2484" spans="2:9" x14ac:dyDescent="0.25">
      <c r="B2484" s="16" t="s">
        <v>33</v>
      </c>
      <c r="C2484" s="17">
        <v>45148</v>
      </c>
      <c r="D2484" s="16">
        <v>4906929</v>
      </c>
      <c r="E2484" s="16">
        <v>9430</v>
      </c>
      <c r="F2484" s="18" t="s">
        <v>185</v>
      </c>
      <c r="G2484" s="16" t="s">
        <v>334</v>
      </c>
      <c r="H2484" s="16" t="s">
        <v>46</v>
      </c>
      <c r="I2484" s="16" t="s">
        <v>51</v>
      </c>
    </row>
    <row r="2485" spans="2:9" x14ac:dyDescent="0.25">
      <c r="B2485" s="16" t="s">
        <v>33</v>
      </c>
      <c r="C2485" s="17">
        <v>45148</v>
      </c>
      <c r="D2485" s="16">
        <v>4906931</v>
      </c>
      <c r="E2485" s="16">
        <v>9430</v>
      </c>
      <c r="F2485" s="18" t="s">
        <v>185</v>
      </c>
      <c r="G2485" s="16" t="s">
        <v>334</v>
      </c>
      <c r="H2485" s="16" t="s">
        <v>46</v>
      </c>
      <c r="I2485" s="16" t="s">
        <v>51</v>
      </c>
    </row>
    <row r="2486" spans="2:9" x14ac:dyDescent="0.25">
      <c r="B2486" s="16" t="s">
        <v>33</v>
      </c>
      <c r="C2486" s="17">
        <v>45148</v>
      </c>
      <c r="D2486" s="16">
        <v>4906933</v>
      </c>
      <c r="E2486" s="16">
        <v>9430</v>
      </c>
      <c r="F2486" s="18" t="s">
        <v>185</v>
      </c>
      <c r="G2486" s="16" t="s">
        <v>334</v>
      </c>
      <c r="H2486" s="16" t="s">
        <v>46</v>
      </c>
      <c r="I2486" s="16" t="s">
        <v>51</v>
      </c>
    </row>
    <row r="2487" spans="2:9" x14ac:dyDescent="0.25">
      <c r="B2487" s="16" t="s">
        <v>33</v>
      </c>
      <c r="C2487" s="17">
        <v>45148</v>
      </c>
      <c r="D2487" s="16">
        <v>4906936</v>
      </c>
      <c r="E2487" s="16">
        <v>9430</v>
      </c>
      <c r="F2487" s="18" t="s">
        <v>185</v>
      </c>
      <c r="G2487" s="16" t="s">
        <v>334</v>
      </c>
      <c r="H2487" s="16" t="s">
        <v>46</v>
      </c>
      <c r="I2487" s="16" t="s">
        <v>51</v>
      </c>
    </row>
    <row r="2488" spans="2:9" x14ac:dyDescent="0.25">
      <c r="B2488" s="16" t="s">
        <v>33</v>
      </c>
      <c r="C2488" s="17">
        <v>45148</v>
      </c>
      <c r="D2488" s="16">
        <v>4906938</v>
      </c>
      <c r="E2488" s="16">
        <v>9430</v>
      </c>
      <c r="F2488" s="18" t="s">
        <v>185</v>
      </c>
      <c r="G2488" s="16" t="s">
        <v>334</v>
      </c>
      <c r="H2488" s="16" t="s">
        <v>46</v>
      </c>
      <c r="I2488" s="16" t="s">
        <v>51</v>
      </c>
    </row>
    <row r="2489" spans="2:9" x14ac:dyDescent="0.25">
      <c r="B2489" s="16" t="s">
        <v>33</v>
      </c>
      <c r="C2489" s="17">
        <v>45148</v>
      </c>
      <c r="D2489" s="16">
        <v>4906940</v>
      </c>
      <c r="E2489" s="16">
        <v>9430</v>
      </c>
      <c r="F2489" s="18" t="s">
        <v>185</v>
      </c>
      <c r="G2489" s="16" t="s">
        <v>334</v>
      </c>
      <c r="H2489" s="16" t="s">
        <v>46</v>
      </c>
      <c r="I2489" s="16" t="s">
        <v>51</v>
      </c>
    </row>
    <row r="2490" spans="2:9" x14ac:dyDescent="0.25">
      <c r="B2490" s="16" t="s">
        <v>2</v>
      </c>
      <c r="C2490" s="17">
        <v>45148</v>
      </c>
      <c r="D2490" s="16">
        <v>2139489</v>
      </c>
      <c r="E2490" s="16">
        <v>9459</v>
      </c>
      <c r="F2490" s="18" t="s">
        <v>105</v>
      </c>
      <c r="G2490" s="16" t="s">
        <v>341</v>
      </c>
      <c r="H2490" s="16" t="s">
        <v>184</v>
      </c>
      <c r="I2490" s="16" t="s">
        <v>61</v>
      </c>
    </row>
    <row r="2491" spans="2:9" x14ac:dyDescent="0.25">
      <c r="B2491" s="16" t="s">
        <v>33</v>
      </c>
      <c r="C2491" s="17">
        <v>45148</v>
      </c>
      <c r="D2491" s="16">
        <v>44566</v>
      </c>
      <c r="E2491" s="16">
        <v>70827</v>
      </c>
      <c r="F2491" s="18" t="s">
        <v>20</v>
      </c>
      <c r="G2491" s="16" t="s">
        <v>343</v>
      </c>
      <c r="H2491" s="16" t="s">
        <v>46</v>
      </c>
      <c r="I2491" s="16" t="s">
        <v>17</v>
      </c>
    </row>
    <row r="2492" spans="2:9" x14ac:dyDescent="0.25">
      <c r="B2492" s="16" t="s">
        <v>33</v>
      </c>
      <c r="C2492" s="17">
        <v>45148</v>
      </c>
      <c r="D2492" s="16">
        <v>44565</v>
      </c>
      <c r="E2492" s="16">
        <v>70827</v>
      </c>
      <c r="F2492" s="18" t="s">
        <v>20</v>
      </c>
      <c r="G2492" s="16" t="s">
        <v>344</v>
      </c>
      <c r="H2492" s="16" t="s">
        <v>46</v>
      </c>
      <c r="I2492" s="16" t="s">
        <v>17</v>
      </c>
    </row>
    <row r="2493" spans="2:9" x14ac:dyDescent="0.25">
      <c r="B2493" s="16" t="s">
        <v>40</v>
      </c>
      <c r="C2493" s="17">
        <v>45148</v>
      </c>
      <c r="D2493" s="16">
        <v>13382</v>
      </c>
      <c r="E2493" s="16">
        <v>15210</v>
      </c>
      <c r="F2493" s="18" t="s">
        <v>412</v>
      </c>
      <c r="G2493" s="16" t="s">
        <v>5</v>
      </c>
      <c r="H2493" s="16" t="s">
        <v>36</v>
      </c>
      <c r="I2493" s="16" t="s">
        <v>378</v>
      </c>
    </row>
    <row r="2494" spans="2:9" x14ac:dyDescent="0.25">
      <c r="B2494" s="16" t="s">
        <v>26</v>
      </c>
      <c r="C2494" s="17">
        <v>45148</v>
      </c>
      <c r="D2494" s="16">
        <v>2139485</v>
      </c>
      <c r="E2494" s="16">
        <v>9459</v>
      </c>
      <c r="F2494" s="18" t="s">
        <v>105</v>
      </c>
      <c r="G2494" s="16" t="s">
        <v>341</v>
      </c>
      <c r="H2494" s="16" t="s">
        <v>75</v>
      </c>
      <c r="I2494" s="16" t="s">
        <v>370</v>
      </c>
    </row>
    <row r="2495" spans="2:9" x14ac:dyDescent="0.25">
      <c r="B2495" s="16" t="s">
        <v>26</v>
      </c>
      <c r="C2495" s="17">
        <v>45148</v>
      </c>
      <c r="D2495" s="16">
        <v>109756</v>
      </c>
      <c r="E2495" s="16">
        <v>9536</v>
      </c>
      <c r="F2495" s="18" t="s">
        <v>413</v>
      </c>
      <c r="G2495" s="16" t="s">
        <v>7</v>
      </c>
      <c r="H2495" s="16" t="s">
        <v>71</v>
      </c>
      <c r="I2495" s="16" t="s">
        <v>378</v>
      </c>
    </row>
    <row r="2496" spans="2:9" x14ac:dyDescent="0.25">
      <c r="B2496" s="16" t="s">
        <v>26</v>
      </c>
      <c r="C2496" s="17">
        <v>45148</v>
      </c>
      <c r="D2496" s="16">
        <v>70485</v>
      </c>
      <c r="E2496" s="16">
        <v>70485</v>
      </c>
      <c r="F2496" s="18" t="s">
        <v>20</v>
      </c>
      <c r="G2496" s="16" t="s">
        <v>4</v>
      </c>
      <c r="H2496" s="16" t="s">
        <v>71</v>
      </c>
      <c r="I2496" s="16" t="s">
        <v>378</v>
      </c>
    </row>
    <row r="2497" spans="2:9" x14ac:dyDescent="0.25">
      <c r="B2497" s="16" t="s">
        <v>26</v>
      </c>
      <c r="C2497" s="17">
        <v>45148</v>
      </c>
      <c r="D2497" s="16">
        <v>33227</v>
      </c>
      <c r="E2497" s="16">
        <v>70485</v>
      </c>
      <c r="F2497" s="18" t="s">
        <v>20</v>
      </c>
      <c r="G2497" s="16" t="s">
        <v>4</v>
      </c>
      <c r="H2497" s="16" t="s">
        <v>71</v>
      </c>
      <c r="I2497" s="16" t="s">
        <v>378</v>
      </c>
    </row>
    <row r="2498" spans="2:9" x14ac:dyDescent="0.25">
      <c r="B2498" s="16" t="s">
        <v>26</v>
      </c>
      <c r="C2498" s="17">
        <v>45148</v>
      </c>
      <c r="D2498" s="16">
        <v>33228</v>
      </c>
      <c r="E2498" s="16">
        <v>70485</v>
      </c>
      <c r="F2498" s="18" t="s">
        <v>20</v>
      </c>
      <c r="G2498" s="16" t="s">
        <v>4</v>
      </c>
      <c r="H2498" s="16" t="s">
        <v>71</v>
      </c>
      <c r="I2498" s="16" t="s">
        <v>378</v>
      </c>
    </row>
    <row r="2499" spans="2:9" x14ac:dyDescent="0.25">
      <c r="B2499" s="16" t="s">
        <v>26</v>
      </c>
      <c r="C2499" s="17">
        <v>45148</v>
      </c>
      <c r="D2499" s="16">
        <v>33229</v>
      </c>
      <c r="E2499" s="16">
        <v>70485</v>
      </c>
      <c r="F2499" s="18" t="s">
        <v>20</v>
      </c>
      <c r="G2499" s="16" t="s">
        <v>4</v>
      </c>
      <c r="H2499" s="16" t="s">
        <v>71</v>
      </c>
      <c r="I2499" s="16" t="s">
        <v>378</v>
      </c>
    </row>
    <row r="2500" spans="2:9" x14ac:dyDescent="0.25">
      <c r="B2500" s="16" t="s">
        <v>26</v>
      </c>
      <c r="C2500" s="17">
        <v>45148</v>
      </c>
      <c r="D2500" s="16">
        <v>33230</v>
      </c>
      <c r="E2500" s="16">
        <v>70485</v>
      </c>
      <c r="F2500" s="18" t="s">
        <v>20</v>
      </c>
      <c r="G2500" s="16" t="s">
        <v>4</v>
      </c>
      <c r="H2500" s="16" t="s">
        <v>71</v>
      </c>
      <c r="I2500" s="16" t="s">
        <v>378</v>
      </c>
    </row>
    <row r="2501" spans="2:9" x14ac:dyDescent="0.25">
      <c r="B2501" s="16" t="s">
        <v>26</v>
      </c>
      <c r="C2501" s="17">
        <v>45148</v>
      </c>
      <c r="D2501" s="16">
        <v>33231</v>
      </c>
      <c r="E2501" s="16">
        <v>70485</v>
      </c>
      <c r="F2501" s="18" t="s">
        <v>20</v>
      </c>
      <c r="G2501" s="16" t="s">
        <v>4</v>
      </c>
      <c r="H2501" s="16" t="s">
        <v>71</v>
      </c>
      <c r="I2501" s="16" t="s">
        <v>378</v>
      </c>
    </row>
    <row r="2502" spans="2:9" x14ac:dyDescent="0.25">
      <c r="B2502" s="16" t="s">
        <v>26</v>
      </c>
      <c r="C2502" s="17">
        <v>45148</v>
      </c>
      <c r="D2502" s="16">
        <v>33231</v>
      </c>
      <c r="E2502" s="16">
        <v>14641</v>
      </c>
      <c r="F2502" s="18" t="s">
        <v>128</v>
      </c>
      <c r="G2502" s="16" t="s">
        <v>343</v>
      </c>
      <c r="H2502" s="16" t="s">
        <v>71</v>
      </c>
      <c r="I2502" s="16" t="s">
        <v>378</v>
      </c>
    </row>
    <row r="2503" spans="2:9" x14ac:dyDescent="0.25">
      <c r="B2503" s="16" t="s">
        <v>33</v>
      </c>
      <c r="C2503" s="17">
        <v>45149</v>
      </c>
      <c r="D2503" s="16">
        <v>227254</v>
      </c>
      <c r="E2503" s="16">
        <v>9456</v>
      </c>
      <c r="F2503" s="18" t="s">
        <v>113</v>
      </c>
      <c r="G2503" s="16" t="s">
        <v>343</v>
      </c>
      <c r="H2503" s="16" t="s">
        <v>31</v>
      </c>
      <c r="I2503" s="16" t="s">
        <v>347</v>
      </c>
    </row>
    <row r="2504" spans="2:9" x14ac:dyDescent="0.25">
      <c r="B2504" s="16" t="s">
        <v>22</v>
      </c>
      <c r="C2504" s="17">
        <v>45149</v>
      </c>
      <c r="D2504" s="16">
        <v>4090385</v>
      </c>
      <c r="E2504" s="16">
        <v>10322</v>
      </c>
      <c r="F2504" s="18" t="s">
        <v>310</v>
      </c>
      <c r="G2504" s="16" t="s">
        <v>4</v>
      </c>
      <c r="H2504" s="16" t="s">
        <v>184</v>
      </c>
      <c r="I2504" s="16" t="s">
        <v>61</v>
      </c>
    </row>
    <row r="2505" spans="2:9" x14ac:dyDescent="0.25">
      <c r="B2505" s="16" t="s">
        <v>33</v>
      </c>
      <c r="C2505" s="17">
        <v>45149</v>
      </c>
      <c r="D2505" s="16">
        <v>169671</v>
      </c>
      <c r="E2505" s="16">
        <v>12613</v>
      </c>
      <c r="F2505" s="18" t="s">
        <v>371</v>
      </c>
      <c r="G2505" s="16" t="s">
        <v>342</v>
      </c>
      <c r="H2505" s="16" t="s">
        <v>186</v>
      </c>
      <c r="I2505" s="16" t="s">
        <v>61</v>
      </c>
    </row>
    <row r="2506" spans="2:9" x14ac:dyDescent="0.25">
      <c r="B2506" s="16" t="s">
        <v>22</v>
      </c>
      <c r="C2506" s="17">
        <v>45149</v>
      </c>
      <c r="D2506" s="16">
        <v>992508</v>
      </c>
      <c r="E2506" s="16">
        <v>9434</v>
      </c>
      <c r="F2506" s="18" t="s">
        <v>23</v>
      </c>
      <c r="G2506" s="16" t="s">
        <v>341</v>
      </c>
      <c r="H2506" s="16" t="s">
        <v>186</v>
      </c>
      <c r="I2506" s="16" t="s">
        <v>61</v>
      </c>
    </row>
    <row r="2507" spans="2:9" x14ac:dyDescent="0.25">
      <c r="B2507" s="16" t="s">
        <v>33</v>
      </c>
      <c r="C2507" s="17">
        <v>45149</v>
      </c>
      <c r="D2507" s="16">
        <v>21223</v>
      </c>
      <c r="E2507" s="16">
        <v>14818</v>
      </c>
      <c r="F2507" s="18" t="s">
        <v>90</v>
      </c>
      <c r="G2507" s="16" t="s">
        <v>342</v>
      </c>
      <c r="H2507" s="16" t="s">
        <v>38</v>
      </c>
      <c r="I2507" s="16" t="s">
        <v>61</v>
      </c>
    </row>
    <row r="2508" spans="2:9" x14ac:dyDescent="0.25">
      <c r="B2508" s="16" t="s">
        <v>210</v>
      </c>
      <c r="C2508" s="17">
        <v>45149</v>
      </c>
      <c r="D2508" s="16">
        <v>99340</v>
      </c>
      <c r="E2508" s="16">
        <v>12522</v>
      </c>
      <c r="F2508" s="18" t="s">
        <v>390</v>
      </c>
      <c r="G2508" s="16" t="s">
        <v>4</v>
      </c>
      <c r="H2508" s="16" t="s">
        <v>97</v>
      </c>
      <c r="I2508" s="16" t="s">
        <v>373</v>
      </c>
    </row>
    <row r="2509" spans="2:9" x14ac:dyDescent="0.25">
      <c r="B2509" s="16" t="s">
        <v>40</v>
      </c>
      <c r="C2509" s="17">
        <v>45149</v>
      </c>
      <c r="D2509" s="16">
        <v>103242</v>
      </c>
      <c r="E2509" s="16">
        <v>1233</v>
      </c>
      <c r="F2509" s="18" t="s">
        <v>69</v>
      </c>
      <c r="G2509" s="16" t="s">
        <v>6</v>
      </c>
      <c r="H2509" s="16" t="s">
        <v>186</v>
      </c>
      <c r="I2509" s="16" t="s">
        <v>258</v>
      </c>
    </row>
    <row r="2510" spans="2:9" x14ac:dyDescent="0.25">
      <c r="B2510" s="16" t="s">
        <v>40</v>
      </c>
      <c r="C2510" s="17">
        <v>45149</v>
      </c>
      <c r="D2510" s="16">
        <v>2139490</v>
      </c>
      <c r="E2510" s="16">
        <v>9459</v>
      </c>
      <c r="F2510" s="18" t="s">
        <v>105</v>
      </c>
      <c r="G2510" s="16" t="s">
        <v>341</v>
      </c>
      <c r="H2510" s="16" t="s">
        <v>184</v>
      </c>
      <c r="I2510" s="16" t="s">
        <v>61</v>
      </c>
    </row>
    <row r="2511" spans="2:9" x14ac:dyDescent="0.25">
      <c r="B2511" s="16" t="s">
        <v>210</v>
      </c>
      <c r="C2511" s="17">
        <v>45149</v>
      </c>
      <c r="D2511" s="16">
        <v>33716</v>
      </c>
      <c r="E2511" s="16">
        <v>70485</v>
      </c>
      <c r="F2511" s="18" t="s">
        <v>20</v>
      </c>
      <c r="G2511" s="16" t="s">
        <v>4</v>
      </c>
      <c r="H2511" s="16" t="s">
        <v>184</v>
      </c>
      <c r="I2511" s="16" t="s">
        <v>61</v>
      </c>
    </row>
    <row r="2512" spans="2:9" x14ac:dyDescent="0.25">
      <c r="B2512" s="16" t="s">
        <v>210</v>
      </c>
      <c r="C2512" s="17">
        <v>45149</v>
      </c>
      <c r="D2512" s="16">
        <v>33712</v>
      </c>
      <c r="E2512" s="16">
        <v>70485</v>
      </c>
      <c r="F2512" s="18" t="s">
        <v>20</v>
      </c>
      <c r="G2512" s="16" t="s">
        <v>4</v>
      </c>
      <c r="H2512" s="16" t="s">
        <v>184</v>
      </c>
      <c r="I2512" s="16" t="s">
        <v>61</v>
      </c>
    </row>
    <row r="2513" spans="2:9" x14ac:dyDescent="0.25">
      <c r="B2513" s="16" t="s">
        <v>210</v>
      </c>
      <c r="C2513" s="17">
        <v>45149</v>
      </c>
      <c r="D2513" s="16">
        <v>33715</v>
      </c>
      <c r="E2513" s="16">
        <v>70485</v>
      </c>
      <c r="F2513" s="18" t="s">
        <v>20</v>
      </c>
      <c r="G2513" s="16" t="s">
        <v>4</v>
      </c>
      <c r="H2513" s="16" t="s">
        <v>184</v>
      </c>
      <c r="I2513" s="16" t="s">
        <v>61</v>
      </c>
    </row>
    <row r="2514" spans="2:9" x14ac:dyDescent="0.25">
      <c r="B2514" s="16" t="s">
        <v>210</v>
      </c>
      <c r="C2514" s="17">
        <v>45149</v>
      </c>
      <c r="D2514" s="16">
        <v>33714</v>
      </c>
      <c r="E2514" s="16">
        <v>70485</v>
      </c>
      <c r="F2514" s="18" t="s">
        <v>20</v>
      </c>
      <c r="G2514" s="16" t="s">
        <v>4</v>
      </c>
      <c r="H2514" s="16" t="s">
        <v>184</v>
      </c>
      <c r="I2514" s="16" t="s">
        <v>61</v>
      </c>
    </row>
    <row r="2515" spans="2:9" x14ac:dyDescent="0.25">
      <c r="B2515" s="16" t="s">
        <v>210</v>
      </c>
      <c r="C2515" s="17">
        <v>45149</v>
      </c>
      <c r="D2515" s="16">
        <v>33713</v>
      </c>
      <c r="E2515" s="16">
        <v>70485</v>
      </c>
      <c r="F2515" s="18" t="s">
        <v>20</v>
      </c>
      <c r="G2515" s="16" t="s">
        <v>4</v>
      </c>
      <c r="H2515" s="16" t="s">
        <v>184</v>
      </c>
      <c r="I2515" s="16" t="s">
        <v>61</v>
      </c>
    </row>
    <row r="2516" spans="2:9" x14ac:dyDescent="0.25">
      <c r="B2516" s="16" t="s">
        <v>210</v>
      </c>
      <c r="C2516" s="17">
        <v>45149</v>
      </c>
      <c r="D2516" s="16">
        <v>411896</v>
      </c>
      <c r="E2516" s="16">
        <v>9398</v>
      </c>
      <c r="F2516" s="18" t="s">
        <v>65</v>
      </c>
      <c r="G2516" s="16" t="s">
        <v>16</v>
      </c>
      <c r="H2516" s="16" t="s">
        <v>184</v>
      </c>
      <c r="I2516" s="16" t="s">
        <v>373</v>
      </c>
    </row>
    <row r="2517" spans="2:9" x14ac:dyDescent="0.25">
      <c r="B2517" s="16" t="s">
        <v>22</v>
      </c>
      <c r="C2517" s="17">
        <v>45149</v>
      </c>
      <c r="D2517" s="16">
        <v>8562486</v>
      </c>
      <c r="E2517" s="16">
        <v>9389</v>
      </c>
      <c r="F2517" s="18" t="s">
        <v>119</v>
      </c>
      <c r="G2517" s="16" t="s">
        <v>16</v>
      </c>
      <c r="H2517" s="16" t="s">
        <v>186</v>
      </c>
      <c r="I2517" s="16" t="s">
        <v>61</v>
      </c>
    </row>
    <row r="2518" spans="2:9" x14ac:dyDescent="0.25">
      <c r="B2518" s="16" t="s">
        <v>22</v>
      </c>
      <c r="C2518" s="17">
        <v>45149</v>
      </c>
      <c r="D2518" s="16">
        <v>13318</v>
      </c>
      <c r="E2518" s="16">
        <v>66783</v>
      </c>
      <c r="F2518" s="18" t="s">
        <v>411</v>
      </c>
      <c r="G2518" s="16" t="s">
        <v>342</v>
      </c>
      <c r="H2518" s="16" t="s">
        <v>355</v>
      </c>
      <c r="I2518" s="16" t="s">
        <v>373</v>
      </c>
    </row>
    <row r="2519" spans="2:9" x14ac:dyDescent="0.25">
      <c r="B2519" s="16" t="s">
        <v>22</v>
      </c>
      <c r="C2519" s="17">
        <v>45149</v>
      </c>
      <c r="D2519" s="16">
        <v>1122046</v>
      </c>
      <c r="E2519" s="16">
        <v>1139</v>
      </c>
      <c r="F2519" s="18" t="s">
        <v>66</v>
      </c>
      <c r="G2519" s="16" t="s">
        <v>334</v>
      </c>
      <c r="H2519" s="16" t="s">
        <v>137</v>
      </c>
      <c r="I2519" s="16" t="s">
        <v>378</v>
      </c>
    </row>
    <row r="2520" spans="2:9" x14ac:dyDescent="0.25">
      <c r="B2520" s="16" t="s">
        <v>33</v>
      </c>
      <c r="C2520" s="17">
        <v>45149</v>
      </c>
      <c r="D2520" s="16">
        <v>404107</v>
      </c>
      <c r="E2520" s="16">
        <v>9398</v>
      </c>
      <c r="F2520" s="18" t="s">
        <v>65</v>
      </c>
      <c r="G2520" s="16" t="s">
        <v>16</v>
      </c>
      <c r="H2520" s="16" t="s">
        <v>184</v>
      </c>
      <c r="I2520" s="16" t="s">
        <v>61</v>
      </c>
    </row>
    <row r="2521" spans="2:9" x14ac:dyDescent="0.25">
      <c r="B2521" s="16" t="s">
        <v>33</v>
      </c>
      <c r="C2521" s="17">
        <v>45149</v>
      </c>
      <c r="D2521" s="16">
        <v>103228</v>
      </c>
      <c r="E2521" s="16">
        <v>1233</v>
      </c>
      <c r="F2521" s="18" t="s">
        <v>69</v>
      </c>
      <c r="G2521" s="16" t="s">
        <v>6</v>
      </c>
      <c r="H2521" s="16" t="s">
        <v>184</v>
      </c>
      <c r="I2521" s="16" t="s">
        <v>61</v>
      </c>
    </row>
    <row r="2522" spans="2:9" x14ac:dyDescent="0.25">
      <c r="B2522" s="16" t="s">
        <v>22</v>
      </c>
      <c r="C2522" s="17">
        <v>45149</v>
      </c>
      <c r="D2522" s="16">
        <v>103234</v>
      </c>
      <c r="E2522" s="16">
        <v>1233</v>
      </c>
      <c r="F2522" s="18" t="s">
        <v>69</v>
      </c>
      <c r="G2522" s="16" t="s">
        <v>6</v>
      </c>
      <c r="H2522" s="16" t="s">
        <v>184</v>
      </c>
      <c r="I2522" s="16" t="s">
        <v>61</v>
      </c>
    </row>
    <row r="2523" spans="2:9" x14ac:dyDescent="0.25">
      <c r="B2523" s="16" t="s">
        <v>33</v>
      </c>
      <c r="C2523" s="17">
        <v>45149</v>
      </c>
      <c r="D2523" s="16">
        <v>4906916</v>
      </c>
      <c r="E2523" s="16">
        <v>9430</v>
      </c>
      <c r="F2523" s="18" t="s">
        <v>185</v>
      </c>
      <c r="G2523" s="16" t="s">
        <v>334</v>
      </c>
      <c r="H2523" s="16" t="s">
        <v>49</v>
      </c>
      <c r="I2523" s="16" t="s">
        <v>335</v>
      </c>
    </row>
    <row r="2524" spans="2:9" x14ac:dyDescent="0.25">
      <c r="B2524" s="16" t="s">
        <v>33</v>
      </c>
      <c r="C2524" s="17">
        <v>45149</v>
      </c>
      <c r="D2524" s="16">
        <v>4906931</v>
      </c>
      <c r="E2524" s="16">
        <v>9430</v>
      </c>
      <c r="F2524" s="18" t="s">
        <v>185</v>
      </c>
      <c r="G2524" s="16" t="s">
        <v>334</v>
      </c>
      <c r="H2524" s="16" t="s">
        <v>49</v>
      </c>
      <c r="I2524" s="16" t="s">
        <v>335</v>
      </c>
    </row>
    <row r="2525" spans="2:9" x14ac:dyDescent="0.25">
      <c r="B2525" s="16" t="s">
        <v>33</v>
      </c>
      <c r="C2525" s="17">
        <v>45149</v>
      </c>
      <c r="D2525" s="16">
        <v>4906933</v>
      </c>
      <c r="E2525" s="16">
        <v>9430</v>
      </c>
      <c r="F2525" s="18" t="s">
        <v>185</v>
      </c>
      <c r="G2525" s="16" t="s">
        <v>334</v>
      </c>
      <c r="H2525" s="16" t="s">
        <v>49</v>
      </c>
      <c r="I2525" s="16" t="s">
        <v>51</v>
      </c>
    </row>
    <row r="2526" spans="2:9" x14ac:dyDescent="0.25">
      <c r="B2526" s="16" t="s">
        <v>33</v>
      </c>
      <c r="C2526" s="17">
        <v>45149</v>
      </c>
      <c r="D2526" s="16">
        <v>4906923</v>
      </c>
      <c r="E2526" s="16">
        <v>9430</v>
      </c>
      <c r="F2526" s="18" t="s">
        <v>185</v>
      </c>
      <c r="G2526" s="16" t="s">
        <v>334</v>
      </c>
      <c r="H2526" s="16" t="s">
        <v>49</v>
      </c>
      <c r="I2526" s="16" t="s">
        <v>335</v>
      </c>
    </row>
    <row r="2527" spans="2:9" x14ac:dyDescent="0.25">
      <c r="B2527" s="16" t="s">
        <v>22</v>
      </c>
      <c r="C2527" s="17">
        <v>45149</v>
      </c>
      <c r="D2527" s="16">
        <v>12296</v>
      </c>
      <c r="E2527" s="16" t="s">
        <v>20</v>
      </c>
      <c r="F2527" s="18" t="s">
        <v>20</v>
      </c>
      <c r="G2527" s="16" t="s">
        <v>4</v>
      </c>
      <c r="H2527" s="16" t="s">
        <v>228</v>
      </c>
      <c r="I2527" s="16" t="s">
        <v>378</v>
      </c>
    </row>
    <row r="2528" spans="2:9" x14ac:dyDescent="0.25">
      <c r="B2528" s="16" t="s">
        <v>210</v>
      </c>
      <c r="C2528" s="17">
        <v>45149</v>
      </c>
      <c r="D2528" s="16">
        <v>103241</v>
      </c>
      <c r="E2528" s="16">
        <v>1233</v>
      </c>
      <c r="F2528" s="18" t="s">
        <v>69</v>
      </c>
      <c r="G2528" s="16" t="s">
        <v>6</v>
      </c>
      <c r="H2528" s="16" t="s">
        <v>184</v>
      </c>
      <c r="I2528" s="16" t="s">
        <v>258</v>
      </c>
    </row>
    <row r="2529" spans="2:9" x14ac:dyDescent="0.25">
      <c r="B2529" s="16" t="s">
        <v>33</v>
      </c>
      <c r="C2529" s="17">
        <v>45149</v>
      </c>
      <c r="D2529" s="16">
        <v>241949</v>
      </c>
      <c r="E2529" s="16">
        <v>10776</v>
      </c>
      <c r="F2529" s="18" t="s">
        <v>239</v>
      </c>
      <c r="G2529" s="16" t="s">
        <v>52</v>
      </c>
      <c r="H2529" s="16" t="s">
        <v>71</v>
      </c>
      <c r="I2529" s="16" t="s">
        <v>17</v>
      </c>
    </row>
    <row r="2530" spans="2:9" x14ac:dyDescent="0.25">
      <c r="B2530" s="16" t="s">
        <v>33</v>
      </c>
      <c r="C2530" s="17">
        <v>45149</v>
      </c>
      <c r="D2530" s="16">
        <v>165869</v>
      </c>
      <c r="E2530" s="16">
        <v>63007</v>
      </c>
      <c r="F2530" s="18" t="s">
        <v>62</v>
      </c>
      <c r="G2530" s="16" t="s">
        <v>341</v>
      </c>
      <c r="H2530" s="16" t="s">
        <v>228</v>
      </c>
      <c r="I2530" s="16" t="s">
        <v>17</v>
      </c>
    </row>
    <row r="2531" spans="2:9" x14ac:dyDescent="0.25">
      <c r="B2531" s="16" t="s">
        <v>40</v>
      </c>
      <c r="C2531" s="17">
        <v>45149</v>
      </c>
      <c r="D2531" s="16">
        <v>404221</v>
      </c>
      <c r="E2531" s="16">
        <v>9398</v>
      </c>
      <c r="F2531" s="18" t="s">
        <v>65</v>
      </c>
      <c r="G2531" s="16" t="s">
        <v>16</v>
      </c>
      <c r="H2531" s="16" t="s">
        <v>184</v>
      </c>
      <c r="I2531" s="16" t="s">
        <v>20</v>
      </c>
    </row>
    <row r="2532" spans="2:9" x14ac:dyDescent="0.25">
      <c r="B2532" s="16" t="s">
        <v>33</v>
      </c>
      <c r="C2532" s="17">
        <v>45149</v>
      </c>
      <c r="D2532" s="16">
        <v>1828329</v>
      </c>
      <c r="E2532" s="16">
        <v>9307</v>
      </c>
      <c r="F2532" s="18" t="s">
        <v>68</v>
      </c>
      <c r="G2532" s="16" t="s">
        <v>334</v>
      </c>
      <c r="H2532" s="16" t="s">
        <v>71</v>
      </c>
      <c r="I2532" s="16" t="s">
        <v>17</v>
      </c>
    </row>
    <row r="2533" spans="2:9" x14ac:dyDescent="0.25">
      <c r="B2533" s="16" t="s">
        <v>33</v>
      </c>
      <c r="C2533" s="17">
        <v>45149</v>
      </c>
      <c r="D2533" s="16">
        <v>1828328</v>
      </c>
      <c r="E2533" s="16">
        <v>9307</v>
      </c>
      <c r="F2533" s="18" t="s">
        <v>68</v>
      </c>
      <c r="G2533" s="16" t="s">
        <v>334</v>
      </c>
      <c r="H2533" s="16" t="s">
        <v>71</v>
      </c>
      <c r="I2533" s="16" t="s">
        <v>17</v>
      </c>
    </row>
    <row r="2534" spans="2:9" x14ac:dyDescent="0.25">
      <c r="B2534" s="16" t="s">
        <v>40</v>
      </c>
      <c r="C2534" s="17">
        <v>45149</v>
      </c>
      <c r="D2534" s="16">
        <v>6660267</v>
      </c>
      <c r="E2534" s="16">
        <v>9844</v>
      </c>
      <c r="F2534" s="18" t="s">
        <v>279</v>
      </c>
      <c r="G2534" s="16" t="s">
        <v>5</v>
      </c>
      <c r="H2534" s="16" t="s">
        <v>49</v>
      </c>
      <c r="I2534" s="16" t="s">
        <v>378</v>
      </c>
    </row>
    <row r="2535" spans="2:9" x14ac:dyDescent="0.25">
      <c r="B2535" s="16" t="s">
        <v>210</v>
      </c>
      <c r="C2535" s="17">
        <v>45152</v>
      </c>
      <c r="D2535" s="16">
        <v>555500</v>
      </c>
      <c r="E2535" s="16" t="s">
        <v>20</v>
      </c>
      <c r="F2535" s="18" t="s">
        <v>20</v>
      </c>
      <c r="G2535" s="16" t="s">
        <v>20</v>
      </c>
      <c r="H2535" s="16" t="s">
        <v>20</v>
      </c>
      <c r="I2535" s="16" t="s">
        <v>20</v>
      </c>
    </row>
    <row r="2536" spans="2:9" x14ac:dyDescent="0.25">
      <c r="B2536" s="16" t="s">
        <v>22</v>
      </c>
      <c r="C2536" s="17">
        <v>45152</v>
      </c>
      <c r="D2536" s="16">
        <v>739763</v>
      </c>
      <c r="E2536" s="16">
        <v>9812</v>
      </c>
      <c r="F2536" s="18" t="s">
        <v>292</v>
      </c>
      <c r="G2536" s="16" t="s">
        <v>5</v>
      </c>
      <c r="H2536" s="16" t="s">
        <v>186</v>
      </c>
      <c r="I2536" s="16" t="s">
        <v>61</v>
      </c>
    </row>
    <row r="2537" spans="2:9" x14ac:dyDescent="0.25">
      <c r="B2537" s="16" t="s">
        <v>22</v>
      </c>
      <c r="C2537" s="17">
        <v>45152</v>
      </c>
      <c r="D2537" s="16">
        <v>14808</v>
      </c>
      <c r="E2537" s="16">
        <v>70826</v>
      </c>
      <c r="F2537" s="18" t="s">
        <v>20</v>
      </c>
      <c r="G2537" s="16" t="s">
        <v>16</v>
      </c>
      <c r="H2537" s="16" t="s">
        <v>39</v>
      </c>
      <c r="I2537" s="16" t="s">
        <v>61</v>
      </c>
    </row>
    <row r="2538" spans="2:9" x14ac:dyDescent="0.25">
      <c r="B2538" s="16" t="s">
        <v>22</v>
      </c>
      <c r="C2538" s="17">
        <v>45152</v>
      </c>
      <c r="D2538" s="16">
        <v>484438</v>
      </c>
      <c r="E2538" s="16">
        <v>7530</v>
      </c>
      <c r="F2538" s="18" t="s">
        <v>299</v>
      </c>
      <c r="G2538" s="16" t="s">
        <v>5</v>
      </c>
      <c r="H2538" s="16" t="s">
        <v>184</v>
      </c>
      <c r="I2538" s="16" t="s">
        <v>61</v>
      </c>
    </row>
    <row r="2539" spans="2:9" x14ac:dyDescent="0.25">
      <c r="B2539" s="16" t="s">
        <v>33</v>
      </c>
      <c r="C2539" s="17">
        <v>45152</v>
      </c>
      <c r="D2539" s="16">
        <v>739843</v>
      </c>
      <c r="E2539" s="16">
        <v>9812</v>
      </c>
      <c r="F2539" s="18" t="s">
        <v>292</v>
      </c>
      <c r="G2539" s="16" t="s">
        <v>5</v>
      </c>
      <c r="H2539" s="16" t="s">
        <v>36</v>
      </c>
      <c r="I2539" s="16" t="s">
        <v>73</v>
      </c>
    </row>
    <row r="2540" spans="2:9" x14ac:dyDescent="0.25">
      <c r="B2540" s="16" t="s">
        <v>33</v>
      </c>
      <c r="C2540" s="17">
        <v>45152</v>
      </c>
      <c r="D2540" s="16">
        <v>739842</v>
      </c>
      <c r="E2540" s="16">
        <v>9812</v>
      </c>
      <c r="F2540" s="18" t="s">
        <v>292</v>
      </c>
      <c r="G2540" s="16" t="s">
        <v>5</v>
      </c>
      <c r="H2540" s="16" t="s">
        <v>184</v>
      </c>
      <c r="I2540" s="16" t="s">
        <v>61</v>
      </c>
    </row>
    <row r="2541" spans="2:9" x14ac:dyDescent="0.25">
      <c r="B2541" s="16" t="s">
        <v>26</v>
      </c>
      <c r="C2541" s="17">
        <v>45152</v>
      </c>
      <c r="D2541" s="16">
        <v>739732</v>
      </c>
      <c r="E2541" s="16">
        <v>9812</v>
      </c>
      <c r="F2541" s="18" t="s">
        <v>292</v>
      </c>
      <c r="G2541" s="16" t="s">
        <v>334</v>
      </c>
      <c r="H2541" s="16" t="s">
        <v>36</v>
      </c>
      <c r="I2541" s="16" t="s">
        <v>61</v>
      </c>
    </row>
    <row r="2542" spans="2:9" x14ac:dyDescent="0.25">
      <c r="B2542" s="16" t="s">
        <v>2</v>
      </c>
      <c r="C2542" s="17">
        <v>45152</v>
      </c>
      <c r="D2542" s="16">
        <v>739876</v>
      </c>
      <c r="E2542" s="16">
        <v>9812</v>
      </c>
      <c r="F2542" s="18" t="s">
        <v>292</v>
      </c>
      <c r="G2542" s="16" t="s">
        <v>5</v>
      </c>
      <c r="H2542" s="16" t="s">
        <v>36</v>
      </c>
      <c r="I2542" s="16" t="s">
        <v>61</v>
      </c>
    </row>
    <row r="2543" spans="2:9" x14ac:dyDescent="0.25">
      <c r="B2543" s="16" t="s">
        <v>210</v>
      </c>
      <c r="C2543" s="17">
        <v>45152</v>
      </c>
      <c r="D2543" s="16">
        <v>739873</v>
      </c>
      <c r="E2543" s="16">
        <v>9812</v>
      </c>
      <c r="F2543" s="18" t="s">
        <v>292</v>
      </c>
      <c r="G2543" s="16" t="s">
        <v>5</v>
      </c>
      <c r="H2543" s="16" t="s">
        <v>36</v>
      </c>
      <c r="I2543" s="16" t="s">
        <v>61</v>
      </c>
    </row>
    <row r="2544" spans="2:9" x14ac:dyDescent="0.25">
      <c r="B2544" s="16" t="s">
        <v>210</v>
      </c>
      <c r="C2544" s="17">
        <v>45152</v>
      </c>
      <c r="D2544" s="16">
        <v>739874</v>
      </c>
      <c r="E2544" s="16">
        <v>9812</v>
      </c>
      <c r="F2544" s="18" t="s">
        <v>292</v>
      </c>
      <c r="G2544" s="16" t="s">
        <v>5</v>
      </c>
      <c r="H2544" s="16" t="s">
        <v>45</v>
      </c>
      <c r="I2544" s="16" t="s">
        <v>61</v>
      </c>
    </row>
    <row r="2545" spans="2:9" x14ac:dyDescent="0.25">
      <c r="B2545" s="16" t="s">
        <v>33</v>
      </c>
      <c r="C2545" s="17">
        <v>45152</v>
      </c>
      <c r="D2545" s="16">
        <v>1160445</v>
      </c>
      <c r="E2545" s="16">
        <v>9516</v>
      </c>
      <c r="F2545" s="18" t="s">
        <v>110</v>
      </c>
      <c r="G2545" s="16" t="s">
        <v>334</v>
      </c>
      <c r="H2545" s="16" t="s">
        <v>36</v>
      </c>
      <c r="I2545" s="16" t="s">
        <v>61</v>
      </c>
    </row>
    <row r="2546" spans="2:9" x14ac:dyDescent="0.25">
      <c r="B2546" s="16" t="s">
        <v>33</v>
      </c>
      <c r="C2546" s="17">
        <v>45152</v>
      </c>
      <c r="D2546" s="16">
        <v>525722</v>
      </c>
      <c r="E2546" s="16">
        <v>12012</v>
      </c>
      <c r="F2546" s="18" t="s">
        <v>328</v>
      </c>
      <c r="G2546" s="16" t="s">
        <v>342</v>
      </c>
      <c r="H2546" s="16" t="s">
        <v>38</v>
      </c>
      <c r="I2546" s="16" t="s">
        <v>61</v>
      </c>
    </row>
    <row r="2547" spans="2:9" x14ac:dyDescent="0.25">
      <c r="B2547" s="16" t="s">
        <v>33</v>
      </c>
      <c r="C2547" s="17">
        <v>45152</v>
      </c>
      <c r="D2547" s="16">
        <v>525723</v>
      </c>
      <c r="E2547" s="16">
        <v>12012</v>
      </c>
      <c r="F2547" s="18" t="s">
        <v>328</v>
      </c>
      <c r="G2547" s="16" t="s">
        <v>342</v>
      </c>
      <c r="H2547" s="16" t="s">
        <v>38</v>
      </c>
      <c r="I2547" s="16" t="s">
        <v>61</v>
      </c>
    </row>
    <row r="2548" spans="2:9" x14ac:dyDescent="0.25">
      <c r="B2548" s="16" t="s">
        <v>210</v>
      </c>
      <c r="C2548" s="17">
        <v>45152</v>
      </c>
      <c r="D2548" s="16">
        <v>276833</v>
      </c>
      <c r="E2548" s="16">
        <v>71433</v>
      </c>
      <c r="F2548" s="18" t="s">
        <v>20</v>
      </c>
      <c r="G2548" s="16" t="s">
        <v>341</v>
      </c>
      <c r="H2548" s="16" t="s">
        <v>45</v>
      </c>
      <c r="I2548" s="16" t="s">
        <v>373</v>
      </c>
    </row>
    <row r="2549" spans="2:9" x14ac:dyDescent="0.25">
      <c r="B2549" s="16" t="s">
        <v>210</v>
      </c>
      <c r="C2549" s="17">
        <v>45152</v>
      </c>
      <c r="D2549" s="16">
        <v>190293</v>
      </c>
      <c r="E2549" s="16">
        <v>8689</v>
      </c>
      <c r="F2549" s="18" t="s">
        <v>237</v>
      </c>
      <c r="G2549" s="16" t="s">
        <v>6</v>
      </c>
      <c r="H2549" s="16" t="s">
        <v>184</v>
      </c>
      <c r="I2549" s="16" t="s">
        <v>414</v>
      </c>
    </row>
    <row r="2550" spans="2:9" x14ac:dyDescent="0.25">
      <c r="B2550" s="16" t="s">
        <v>210</v>
      </c>
      <c r="C2550" s="17">
        <v>45152</v>
      </c>
      <c r="D2550" s="16">
        <v>190236</v>
      </c>
      <c r="E2550" s="16">
        <v>8689</v>
      </c>
      <c r="F2550" s="18" t="s">
        <v>237</v>
      </c>
      <c r="G2550" s="16" t="s">
        <v>6</v>
      </c>
      <c r="H2550" s="16" t="s">
        <v>184</v>
      </c>
      <c r="I2550" s="16" t="s">
        <v>414</v>
      </c>
    </row>
    <row r="2551" spans="2:9" x14ac:dyDescent="0.25">
      <c r="B2551" s="16" t="s">
        <v>26</v>
      </c>
      <c r="C2551" s="17">
        <v>45152</v>
      </c>
      <c r="D2551" s="16">
        <v>1435284</v>
      </c>
      <c r="E2551" s="16">
        <v>13235</v>
      </c>
      <c r="F2551" s="18" t="s">
        <v>99</v>
      </c>
      <c r="G2551" s="16" t="s">
        <v>4</v>
      </c>
      <c r="H2551" s="16" t="s">
        <v>36</v>
      </c>
      <c r="I2551" s="16" t="s">
        <v>61</v>
      </c>
    </row>
    <row r="2552" spans="2:9" x14ac:dyDescent="0.25">
      <c r="B2552" s="16" t="s">
        <v>210</v>
      </c>
      <c r="C2552" s="17">
        <v>45152</v>
      </c>
      <c r="D2552" s="16">
        <v>61316</v>
      </c>
      <c r="E2552" s="16">
        <v>11787</v>
      </c>
      <c r="F2552" s="18" t="s">
        <v>244</v>
      </c>
      <c r="G2552" s="16" t="s">
        <v>334</v>
      </c>
      <c r="H2552" s="16" t="s">
        <v>186</v>
      </c>
      <c r="I2552" s="16" t="s">
        <v>373</v>
      </c>
    </row>
    <row r="2553" spans="2:9" x14ac:dyDescent="0.25">
      <c r="B2553" s="16" t="s">
        <v>2</v>
      </c>
      <c r="C2553" s="17">
        <v>45152</v>
      </c>
      <c r="D2553" s="16">
        <v>132184</v>
      </c>
      <c r="E2553" s="16">
        <v>13090</v>
      </c>
      <c r="F2553" s="18" t="s">
        <v>241</v>
      </c>
      <c r="G2553" s="16" t="s">
        <v>7</v>
      </c>
      <c r="H2553" s="16" t="s">
        <v>114</v>
      </c>
      <c r="I2553" s="16" t="s">
        <v>17</v>
      </c>
    </row>
    <row r="2554" spans="2:9" x14ac:dyDescent="0.25">
      <c r="B2554" s="16" t="s">
        <v>33</v>
      </c>
      <c r="C2554" s="17">
        <v>45152</v>
      </c>
      <c r="D2554" s="16">
        <v>8869</v>
      </c>
      <c r="E2554" s="16">
        <v>63097</v>
      </c>
      <c r="F2554" s="18" t="s">
        <v>316</v>
      </c>
      <c r="G2554" s="16" t="s">
        <v>7</v>
      </c>
      <c r="H2554" s="16" t="s">
        <v>38</v>
      </c>
      <c r="I2554" s="16" t="s">
        <v>92</v>
      </c>
    </row>
    <row r="2555" spans="2:9" x14ac:dyDescent="0.25">
      <c r="B2555" s="16" t="s">
        <v>40</v>
      </c>
      <c r="C2555" s="17">
        <v>45152</v>
      </c>
      <c r="D2555" s="16">
        <v>949664</v>
      </c>
      <c r="E2555" s="16">
        <v>9675</v>
      </c>
      <c r="F2555" s="18" t="s">
        <v>60</v>
      </c>
      <c r="G2555" s="16" t="s">
        <v>334</v>
      </c>
      <c r="H2555" s="16" t="s">
        <v>49</v>
      </c>
      <c r="I2555" s="16" t="s">
        <v>17</v>
      </c>
    </row>
    <row r="2556" spans="2:9" x14ac:dyDescent="0.25">
      <c r="B2556" s="16" t="s">
        <v>2</v>
      </c>
      <c r="C2556" s="17">
        <v>45152</v>
      </c>
      <c r="D2556" s="16">
        <v>1435283</v>
      </c>
      <c r="E2556" s="16">
        <v>13235</v>
      </c>
      <c r="F2556" s="18" t="s">
        <v>99</v>
      </c>
      <c r="G2556" s="16" t="s">
        <v>343</v>
      </c>
      <c r="H2556" s="16" t="s">
        <v>39</v>
      </c>
      <c r="I2556" s="16" t="s">
        <v>61</v>
      </c>
    </row>
    <row r="2557" spans="2:9" x14ac:dyDescent="0.25">
      <c r="B2557" s="16" t="s">
        <v>2</v>
      </c>
      <c r="C2557" s="17">
        <v>45152</v>
      </c>
      <c r="D2557" s="16">
        <v>8562544</v>
      </c>
      <c r="E2557" s="16">
        <v>9389</v>
      </c>
      <c r="F2557" s="18" t="s">
        <v>119</v>
      </c>
      <c r="G2557" s="16" t="s">
        <v>4</v>
      </c>
      <c r="H2557" s="16" t="s">
        <v>49</v>
      </c>
      <c r="I2557" s="16" t="s">
        <v>17</v>
      </c>
    </row>
    <row r="2558" spans="2:9" x14ac:dyDescent="0.25">
      <c r="B2558" s="16" t="s">
        <v>2</v>
      </c>
      <c r="C2558" s="17">
        <v>45152</v>
      </c>
      <c r="D2558" s="16">
        <v>739875</v>
      </c>
      <c r="E2558" s="16">
        <v>9812</v>
      </c>
      <c r="F2558" s="18" t="s">
        <v>292</v>
      </c>
      <c r="G2558" s="16" t="s">
        <v>5</v>
      </c>
      <c r="H2558" s="16" t="s">
        <v>71</v>
      </c>
      <c r="I2558" s="16" t="s">
        <v>17</v>
      </c>
    </row>
    <row r="2559" spans="2:9" x14ac:dyDescent="0.25">
      <c r="B2559" s="16" t="s">
        <v>26</v>
      </c>
      <c r="C2559" s="17">
        <v>45152</v>
      </c>
      <c r="D2559" s="16">
        <v>1830395</v>
      </c>
      <c r="E2559" s="16">
        <v>9307</v>
      </c>
      <c r="F2559" s="18" t="s">
        <v>68</v>
      </c>
      <c r="G2559" s="16" t="s">
        <v>334</v>
      </c>
      <c r="H2559" s="16" t="s">
        <v>46</v>
      </c>
      <c r="I2559" s="16" t="s">
        <v>17</v>
      </c>
    </row>
    <row r="2560" spans="2:9" x14ac:dyDescent="0.25">
      <c r="B2560" s="16" t="s">
        <v>26</v>
      </c>
      <c r="C2560" s="17">
        <v>45152</v>
      </c>
      <c r="D2560" s="16">
        <v>1830394</v>
      </c>
      <c r="E2560" s="16">
        <v>9307</v>
      </c>
      <c r="F2560" s="18" t="s">
        <v>68</v>
      </c>
      <c r="G2560" s="16" t="s">
        <v>334</v>
      </c>
      <c r="H2560" s="16" t="s">
        <v>46</v>
      </c>
      <c r="I2560" s="16" t="s">
        <v>17</v>
      </c>
    </row>
    <row r="2561" spans="2:9" x14ac:dyDescent="0.25">
      <c r="B2561" s="16" t="s">
        <v>33</v>
      </c>
      <c r="C2561" s="17">
        <v>45153</v>
      </c>
      <c r="D2561" s="16">
        <v>658250</v>
      </c>
      <c r="E2561" s="16">
        <v>3610</v>
      </c>
      <c r="F2561" s="18" t="s">
        <v>8</v>
      </c>
      <c r="G2561" s="16" t="s">
        <v>262</v>
      </c>
      <c r="H2561" s="16" t="s">
        <v>38</v>
      </c>
      <c r="I2561" s="16" t="s">
        <v>17</v>
      </c>
    </row>
    <row r="2562" spans="2:9" x14ac:dyDescent="0.25">
      <c r="B2562" s="16" t="s">
        <v>33</v>
      </c>
      <c r="C2562" s="17">
        <v>45153</v>
      </c>
      <c r="D2562" s="16">
        <v>86458</v>
      </c>
      <c r="E2562" s="16">
        <v>5926</v>
      </c>
      <c r="F2562" s="18" t="s">
        <v>295</v>
      </c>
      <c r="G2562" s="16" t="s">
        <v>52</v>
      </c>
      <c r="H2562" s="16" t="s">
        <v>184</v>
      </c>
      <c r="I2562" s="16" t="s">
        <v>29</v>
      </c>
    </row>
    <row r="2563" spans="2:9" x14ac:dyDescent="0.25">
      <c r="B2563" s="16" t="s">
        <v>33</v>
      </c>
      <c r="C2563" s="17">
        <v>45153</v>
      </c>
      <c r="D2563" s="16">
        <v>87106</v>
      </c>
      <c r="E2563" s="16">
        <v>5926</v>
      </c>
      <c r="F2563" s="18" t="s">
        <v>295</v>
      </c>
      <c r="G2563" s="16" t="s">
        <v>52</v>
      </c>
      <c r="H2563" s="16" t="s">
        <v>184</v>
      </c>
      <c r="I2563" s="16" t="s">
        <v>29</v>
      </c>
    </row>
    <row r="2564" spans="2:9" x14ac:dyDescent="0.25">
      <c r="B2564" s="16" t="s">
        <v>40</v>
      </c>
      <c r="C2564" s="17">
        <v>45153</v>
      </c>
      <c r="D2564" s="16">
        <v>5915</v>
      </c>
      <c r="E2564" s="16">
        <v>10263</v>
      </c>
      <c r="F2564" s="18" t="s">
        <v>34</v>
      </c>
      <c r="G2564" s="16" t="s">
        <v>16</v>
      </c>
      <c r="H2564" s="16" t="s">
        <v>221</v>
      </c>
      <c r="I2564" s="16" t="s">
        <v>61</v>
      </c>
    </row>
    <row r="2565" spans="2:9" x14ac:dyDescent="0.25">
      <c r="B2565" s="16" t="s">
        <v>40</v>
      </c>
      <c r="C2565" s="17">
        <v>45153</v>
      </c>
      <c r="D2565" s="16">
        <v>5939</v>
      </c>
      <c r="E2565" s="16">
        <v>10263</v>
      </c>
      <c r="F2565" s="18" t="s">
        <v>34</v>
      </c>
      <c r="G2565" s="16" t="s">
        <v>16</v>
      </c>
      <c r="H2565" s="16" t="s">
        <v>36</v>
      </c>
      <c r="I2565" s="16" t="s">
        <v>61</v>
      </c>
    </row>
    <row r="2566" spans="2:9" x14ac:dyDescent="0.25">
      <c r="B2566" s="16" t="s">
        <v>40</v>
      </c>
      <c r="C2566" s="17">
        <v>45153</v>
      </c>
      <c r="D2566" s="16">
        <v>5956</v>
      </c>
      <c r="E2566" s="16">
        <v>10263</v>
      </c>
      <c r="F2566" s="18" t="s">
        <v>34</v>
      </c>
      <c r="G2566" s="16" t="s">
        <v>16</v>
      </c>
      <c r="H2566" s="16" t="s">
        <v>184</v>
      </c>
      <c r="I2566" s="16" t="s">
        <v>61</v>
      </c>
    </row>
    <row r="2567" spans="2:9" x14ac:dyDescent="0.25">
      <c r="B2567" s="16" t="s">
        <v>40</v>
      </c>
      <c r="C2567" s="17">
        <v>45153</v>
      </c>
      <c r="D2567" s="16">
        <v>5963</v>
      </c>
      <c r="E2567" s="16">
        <v>10263</v>
      </c>
      <c r="F2567" s="18" t="s">
        <v>34</v>
      </c>
      <c r="G2567" s="16" t="s">
        <v>16</v>
      </c>
      <c r="H2567" s="16" t="s">
        <v>36</v>
      </c>
      <c r="I2567" s="16" t="s">
        <v>61</v>
      </c>
    </row>
    <row r="2568" spans="2:9" x14ac:dyDescent="0.25">
      <c r="B2568" s="16" t="s">
        <v>40</v>
      </c>
      <c r="C2568" s="17">
        <v>45153</v>
      </c>
      <c r="D2568" s="16">
        <v>5964</v>
      </c>
      <c r="E2568" s="16">
        <v>10263</v>
      </c>
      <c r="F2568" s="18" t="s">
        <v>34</v>
      </c>
      <c r="G2568" s="16" t="s">
        <v>16</v>
      </c>
      <c r="H2568" s="16" t="s">
        <v>36</v>
      </c>
      <c r="I2568" s="16" t="s">
        <v>61</v>
      </c>
    </row>
    <row r="2569" spans="2:9" x14ac:dyDescent="0.25">
      <c r="B2569" s="16" t="s">
        <v>33</v>
      </c>
      <c r="C2569" s="17">
        <v>45153</v>
      </c>
      <c r="D2569" s="16">
        <v>6153</v>
      </c>
      <c r="E2569" s="16">
        <v>10263</v>
      </c>
      <c r="F2569" s="18" t="s">
        <v>34</v>
      </c>
      <c r="G2569" s="16" t="s">
        <v>16</v>
      </c>
      <c r="H2569" s="16" t="s">
        <v>221</v>
      </c>
      <c r="I2569" s="16" t="s">
        <v>61</v>
      </c>
    </row>
    <row r="2570" spans="2:9" x14ac:dyDescent="0.25">
      <c r="B2570" s="16" t="s">
        <v>33</v>
      </c>
      <c r="C2570" s="17">
        <v>45153</v>
      </c>
      <c r="D2570" s="16">
        <v>6177</v>
      </c>
      <c r="E2570" s="16">
        <v>10263</v>
      </c>
      <c r="F2570" s="18" t="s">
        <v>34</v>
      </c>
      <c r="G2570" s="16" t="s">
        <v>16</v>
      </c>
      <c r="H2570" s="16" t="s">
        <v>36</v>
      </c>
      <c r="I2570" s="16" t="s">
        <v>61</v>
      </c>
    </row>
    <row r="2571" spans="2:9" x14ac:dyDescent="0.25">
      <c r="B2571" s="16" t="s">
        <v>33</v>
      </c>
      <c r="C2571" s="17">
        <v>45153</v>
      </c>
      <c r="D2571" s="16">
        <v>6191</v>
      </c>
      <c r="E2571" s="16">
        <v>10263</v>
      </c>
      <c r="F2571" s="18" t="s">
        <v>34</v>
      </c>
      <c r="G2571" s="16" t="s">
        <v>16</v>
      </c>
      <c r="H2571" s="16" t="s">
        <v>39</v>
      </c>
      <c r="I2571" s="16" t="s">
        <v>61</v>
      </c>
    </row>
    <row r="2572" spans="2:9" x14ac:dyDescent="0.25">
      <c r="B2572" s="16" t="s">
        <v>33</v>
      </c>
      <c r="C2572" s="17">
        <v>45153</v>
      </c>
      <c r="D2572" s="16">
        <v>6197</v>
      </c>
      <c r="E2572" s="16">
        <v>10263</v>
      </c>
      <c r="F2572" s="18" t="s">
        <v>34</v>
      </c>
      <c r="G2572" s="16" t="s">
        <v>16</v>
      </c>
      <c r="H2572" s="16" t="s">
        <v>36</v>
      </c>
      <c r="I2572" s="16" t="s">
        <v>61</v>
      </c>
    </row>
    <row r="2573" spans="2:9" x14ac:dyDescent="0.25">
      <c r="B2573" s="16" t="s">
        <v>33</v>
      </c>
      <c r="C2573" s="17">
        <v>45153</v>
      </c>
      <c r="D2573" s="16">
        <v>6201</v>
      </c>
      <c r="E2573" s="16">
        <v>10263</v>
      </c>
      <c r="F2573" s="18" t="s">
        <v>34</v>
      </c>
      <c r="G2573" s="16" t="s">
        <v>16</v>
      </c>
      <c r="H2573" s="16" t="s">
        <v>184</v>
      </c>
      <c r="I2573" s="16" t="s">
        <v>61</v>
      </c>
    </row>
    <row r="2574" spans="2:9" x14ac:dyDescent="0.25">
      <c r="B2574" s="16" t="s">
        <v>40</v>
      </c>
      <c r="C2574" s="17">
        <v>45153</v>
      </c>
      <c r="D2574" s="16">
        <v>1085034</v>
      </c>
      <c r="E2574" s="16">
        <v>9378</v>
      </c>
      <c r="F2574" s="18" t="s">
        <v>30</v>
      </c>
      <c r="G2574" s="16" t="s">
        <v>16</v>
      </c>
      <c r="H2574" s="16" t="s">
        <v>184</v>
      </c>
      <c r="I2574" s="16" t="s">
        <v>61</v>
      </c>
    </row>
    <row r="2575" spans="2:9" x14ac:dyDescent="0.25">
      <c r="B2575" s="16" t="s">
        <v>33</v>
      </c>
      <c r="C2575" s="17">
        <v>45153</v>
      </c>
      <c r="D2575" s="16">
        <v>4914459</v>
      </c>
      <c r="E2575" s="16">
        <v>9430</v>
      </c>
      <c r="F2575" s="18" t="s">
        <v>185</v>
      </c>
      <c r="G2575" s="16" t="s">
        <v>334</v>
      </c>
      <c r="H2575" s="16" t="s">
        <v>36</v>
      </c>
      <c r="I2575" s="16" t="s">
        <v>61</v>
      </c>
    </row>
    <row r="2576" spans="2:9" x14ac:dyDescent="0.25">
      <c r="B2576" s="16" t="s">
        <v>40</v>
      </c>
      <c r="C2576" s="17">
        <v>45153</v>
      </c>
      <c r="D2576" s="16">
        <v>87107</v>
      </c>
      <c r="E2576" s="16">
        <v>5926</v>
      </c>
      <c r="F2576" s="18" t="s">
        <v>295</v>
      </c>
      <c r="G2576" s="16" t="s">
        <v>29</v>
      </c>
      <c r="H2576" s="16" t="s">
        <v>36</v>
      </c>
      <c r="I2576" s="16" t="s">
        <v>61</v>
      </c>
    </row>
    <row r="2577" spans="2:9" x14ac:dyDescent="0.25">
      <c r="B2577" s="16" t="s">
        <v>2</v>
      </c>
      <c r="C2577" s="17">
        <v>45153</v>
      </c>
      <c r="D2577" s="16">
        <v>6251</v>
      </c>
      <c r="E2577" s="16">
        <v>10263</v>
      </c>
      <c r="F2577" s="18" t="s">
        <v>34</v>
      </c>
      <c r="G2577" s="16" t="s">
        <v>16</v>
      </c>
      <c r="H2577" s="16" t="s">
        <v>184</v>
      </c>
      <c r="I2577" s="16" t="s">
        <v>61</v>
      </c>
    </row>
    <row r="2578" spans="2:9" x14ac:dyDescent="0.25">
      <c r="B2578" s="16" t="s">
        <v>2</v>
      </c>
      <c r="C2578" s="17">
        <v>45153</v>
      </c>
      <c r="D2578" s="16">
        <v>6250</v>
      </c>
      <c r="E2578" s="16">
        <v>10263</v>
      </c>
      <c r="F2578" s="18" t="s">
        <v>34</v>
      </c>
      <c r="G2578" s="16" t="s">
        <v>16</v>
      </c>
      <c r="H2578" s="16" t="s">
        <v>36</v>
      </c>
      <c r="I2578" s="16" t="s">
        <v>61</v>
      </c>
    </row>
    <row r="2579" spans="2:9" x14ac:dyDescent="0.25">
      <c r="B2579" s="16" t="s">
        <v>2</v>
      </c>
      <c r="C2579" s="17">
        <v>45153</v>
      </c>
      <c r="D2579" s="16">
        <v>6211</v>
      </c>
      <c r="E2579" s="16">
        <v>10263</v>
      </c>
      <c r="F2579" s="18" t="s">
        <v>34</v>
      </c>
      <c r="G2579" s="16" t="s">
        <v>16</v>
      </c>
      <c r="H2579" s="16" t="s">
        <v>36</v>
      </c>
      <c r="I2579" s="16" t="s">
        <v>61</v>
      </c>
    </row>
    <row r="2580" spans="2:9" x14ac:dyDescent="0.25">
      <c r="B2580" s="16" t="s">
        <v>2</v>
      </c>
      <c r="C2580" s="17">
        <v>45153</v>
      </c>
      <c r="D2580" s="16">
        <v>6232</v>
      </c>
      <c r="E2580" s="16">
        <v>10263</v>
      </c>
      <c r="F2580" s="18" t="s">
        <v>34</v>
      </c>
      <c r="G2580" s="16" t="s">
        <v>16</v>
      </c>
      <c r="H2580" s="16" t="s">
        <v>36</v>
      </c>
      <c r="I2580" s="16" t="s">
        <v>61</v>
      </c>
    </row>
    <row r="2581" spans="2:9" x14ac:dyDescent="0.25">
      <c r="B2581" s="16" t="s">
        <v>2</v>
      </c>
      <c r="C2581" s="17">
        <v>45153</v>
      </c>
      <c r="D2581" s="16">
        <v>241945</v>
      </c>
      <c r="E2581" s="16">
        <v>10776</v>
      </c>
      <c r="F2581" s="18" t="s">
        <v>239</v>
      </c>
      <c r="G2581" s="16" t="s">
        <v>52</v>
      </c>
      <c r="H2581" s="16" t="s">
        <v>31</v>
      </c>
      <c r="I2581" s="16" t="s">
        <v>415</v>
      </c>
    </row>
    <row r="2582" spans="2:9" x14ac:dyDescent="0.25">
      <c r="B2582" s="16" t="s">
        <v>33</v>
      </c>
      <c r="C2582" s="17">
        <v>45153</v>
      </c>
      <c r="D2582" s="16">
        <v>6164</v>
      </c>
      <c r="E2582" s="16">
        <v>10263</v>
      </c>
      <c r="F2582" s="18" t="s">
        <v>34</v>
      </c>
      <c r="G2582" s="16" t="s">
        <v>16</v>
      </c>
      <c r="H2582" s="16" t="s">
        <v>75</v>
      </c>
      <c r="I2582" s="16" t="s">
        <v>17</v>
      </c>
    </row>
    <row r="2583" spans="2:9" x14ac:dyDescent="0.25">
      <c r="B2583" s="16" t="s">
        <v>33</v>
      </c>
      <c r="C2583" s="17">
        <v>45153</v>
      </c>
      <c r="D2583" s="16">
        <v>4914454</v>
      </c>
      <c r="E2583" s="16">
        <v>9430</v>
      </c>
      <c r="F2583" s="18" t="s">
        <v>185</v>
      </c>
      <c r="G2583" s="16" t="s">
        <v>334</v>
      </c>
      <c r="H2583" s="16" t="s">
        <v>36</v>
      </c>
      <c r="I2583" s="16" t="s">
        <v>61</v>
      </c>
    </row>
    <row r="2584" spans="2:9" x14ac:dyDescent="0.25">
      <c r="B2584" s="16" t="s">
        <v>33</v>
      </c>
      <c r="C2584" s="17">
        <v>45153</v>
      </c>
      <c r="D2584" s="16">
        <v>21263</v>
      </c>
      <c r="E2584" s="16">
        <v>14818</v>
      </c>
      <c r="F2584" s="18" t="s">
        <v>90</v>
      </c>
      <c r="G2584" s="16" t="s">
        <v>20</v>
      </c>
      <c r="H2584" s="16" t="s">
        <v>184</v>
      </c>
      <c r="I2584" s="16" t="s">
        <v>61</v>
      </c>
    </row>
    <row r="2585" spans="2:9" x14ac:dyDescent="0.25">
      <c r="B2585" s="16" t="s">
        <v>33</v>
      </c>
      <c r="C2585" s="17">
        <v>45153</v>
      </c>
      <c r="D2585" s="16">
        <v>242980</v>
      </c>
      <c r="E2585" s="16">
        <v>1175</v>
      </c>
      <c r="F2585" s="18" t="s">
        <v>81</v>
      </c>
      <c r="G2585" s="16" t="s">
        <v>7</v>
      </c>
      <c r="H2585" s="16" t="s">
        <v>38</v>
      </c>
      <c r="I2585" s="16" t="s">
        <v>17</v>
      </c>
    </row>
    <row r="2586" spans="2:9" x14ac:dyDescent="0.25">
      <c r="B2586" s="16" t="s">
        <v>33</v>
      </c>
      <c r="C2586" s="17">
        <v>45153</v>
      </c>
      <c r="D2586" s="16">
        <v>4914438</v>
      </c>
      <c r="E2586" s="16">
        <v>9430</v>
      </c>
      <c r="F2586" s="18" t="s">
        <v>185</v>
      </c>
      <c r="G2586" s="16" t="s">
        <v>334</v>
      </c>
      <c r="H2586" s="16" t="s">
        <v>49</v>
      </c>
      <c r="I2586" s="16" t="s">
        <v>61</v>
      </c>
    </row>
    <row r="2587" spans="2:9" x14ac:dyDescent="0.25">
      <c r="B2587" s="16" t="s">
        <v>33</v>
      </c>
      <c r="C2587" s="17">
        <v>45153</v>
      </c>
      <c r="D2587" s="16">
        <v>4914421</v>
      </c>
      <c r="E2587" s="16">
        <v>9430</v>
      </c>
      <c r="F2587" s="18" t="s">
        <v>185</v>
      </c>
      <c r="G2587" s="16" t="s">
        <v>334</v>
      </c>
      <c r="H2587" s="16" t="s">
        <v>184</v>
      </c>
      <c r="I2587" s="16" t="s">
        <v>61</v>
      </c>
    </row>
    <row r="2588" spans="2:9" x14ac:dyDescent="0.25">
      <c r="B2588" s="16" t="s">
        <v>26</v>
      </c>
      <c r="C2588" s="17">
        <v>45153</v>
      </c>
      <c r="D2588" s="16">
        <v>109884</v>
      </c>
      <c r="E2588" s="16">
        <v>9536</v>
      </c>
      <c r="F2588" s="18" t="s">
        <v>413</v>
      </c>
      <c r="G2588" s="16" t="s">
        <v>7</v>
      </c>
      <c r="H2588" s="16" t="s">
        <v>71</v>
      </c>
      <c r="I2588" s="16" t="s">
        <v>17</v>
      </c>
    </row>
    <row r="2589" spans="2:9" x14ac:dyDescent="0.25">
      <c r="B2589" s="16" t="s">
        <v>26</v>
      </c>
      <c r="C2589" s="17">
        <v>45153</v>
      </c>
      <c r="D2589" s="16" t="s">
        <v>20</v>
      </c>
      <c r="E2589" s="16">
        <v>72008</v>
      </c>
      <c r="F2589" s="18" t="s">
        <v>20</v>
      </c>
      <c r="G2589" s="16" t="s">
        <v>20</v>
      </c>
      <c r="H2589" s="16" t="s">
        <v>20</v>
      </c>
      <c r="I2589" s="16" t="s">
        <v>20</v>
      </c>
    </row>
    <row r="2590" spans="2:9" x14ac:dyDescent="0.25">
      <c r="B2590" s="16" t="s">
        <v>33</v>
      </c>
      <c r="C2590" s="17">
        <v>45153</v>
      </c>
      <c r="D2590" s="16">
        <v>27304</v>
      </c>
      <c r="E2590" s="16">
        <v>12840</v>
      </c>
      <c r="F2590" s="18" t="s">
        <v>416</v>
      </c>
      <c r="G2590" s="16" t="s">
        <v>343</v>
      </c>
      <c r="H2590" s="16" t="s">
        <v>71</v>
      </c>
      <c r="I2590" s="16" t="s">
        <v>17</v>
      </c>
    </row>
    <row r="2591" spans="2:9" x14ac:dyDescent="0.25">
      <c r="B2591" s="16" t="s">
        <v>33</v>
      </c>
      <c r="C2591" s="17">
        <v>45153</v>
      </c>
      <c r="D2591" s="16">
        <v>27296</v>
      </c>
      <c r="E2591" s="16">
        <v>12840</v>
      </c>
      <c r="F2591" s="18" t="s">
        <v>416</v>
      </c>
      <c r="G2591" s="16" t="s">
        <v>343</v>
      </c>
      <c r="H2591" s="16" t="s">
        <v>71</v>
      </c>
      <c r="I2591" s="16" t="s">
        <v>17</v>
      </c>
    </row>
    <row r="2592" spans="2:9" x14ac:dyDescent="0.25">
      <c r="B2592" s="16" t="s">
        <v>33</v>
      </c>
      <c r="C2592" s="17">
        <v>45154</v>
      </c>
      <c r="D2592" s="16">
        <v>1201579</v>
      </c>
      <c r="E2592" s="16">
        <v>2294</v>
      </c>
      <c r="F2592" s="18" t="s">
        <v>202</v>
      </c>
      <c r="G2592" s="16" t="s">
        <v>334</v>
      </c>
      <c r="H2592" s="16" t="s">
        <v>41</v>
      </c>
      <c r="I2592" s="16" t="s">
        <v>17</v>
      </c>
    </row>
    <row r="2593" spans="2:9" x14ac:dyDescent="0.25">
      <c r="B2593" s="16" t="s">
        <v>210</v>
      </c>
      <c r="C2593" s="17">
        <v>45154</v>
      </c>
      <c r="D2593" s="16">
        <v>243072</v>
      </c>
      <c r="E2593" s="16">
        <v>1175</v>
      </c>
      <c r="F2593" s="18" t="s">
        <v>81</v>
      </c>
      <c r="G2593" s="16" t="s">
        <v>7</v>
      </c>
      <c r="H2593" s="16" t="s">
        <v>49</v>
      </c>
      <c r="I2593" s="16" t="s">
        <v>17</v>
      </c>
    </row>
    <row r="2594" spans="2:9" x14ac:dyDescent="0.25">
      <c r="B2594" s="16" t="s">
        <v>26</v>
      </c>
      <c r="C2594" s="17">
        <v>45154</v>
      </c>
      <c r="D2594" s="16">
        <v>1435284</v>
      </c>
      <c r="E2594" s="16">
        <v>13235</v>
      </c>
      <c r="F2594" s="18" t="s">
        <v>99</v>
      </c>
      <c r="G2594" s="16" t="s">
        <v>343</v>
      </c>
      <c r="H2594" s="16" t="s">
        <v>36</v>
      </c>
      <c r="I2594" s="16" t="s">
        <v>258</v>
      </c>
    </row>
    <row r="2595" spans="2:9" x14ac:dyDescent="0.25">
      <c r="B2595" s="16" t="s">
        <v>210</v>
      </c>
      <c r="C2595" s="17">
        <v>45154</v>
      </c>
      <c r="D2595" s="16">
        <v>4350807</v>
      </c>
      <c r="E2595" s="16">
        <v>1174</v>
      </c>
      <c r="F2595" s="18" t="s">
        <v>100</v>
      </c>
      <c r="G2595" s="16" t="s">
        <v>343</v>
      </c>
      <c r="H2595" s="16" t="s">
        <v>184</v>
      </c>
      <c r="I2595" s="16" t="s">
        <v>373</v>
      </c>
    </row>
    <row r="2596" spans="2:9" x14ac:dyDescent="0.25">
      <c r="B2596" s="16" t="s">
        <v>20</v>
      </c>
      <c r="C2596" s="17">
        <v>45154</v>
      </c>
      <c r="D2596" s="16">
        <v>121295</v>
      </c>
      <c r="E2596" s="16">
        <v>11604</v>
      </c>
      <c r="F2596" s="18" t="s">
        <v>63</v>
      </c>
      <c r="G2596" s="16" t="s">
        <v>262</v>
      </c>
      <c r="H2596" s="16" t="s">
        <v>38</v>
      </c>
      <c r="I2596" s="16" t="s">
        <v>17</v>
      </c>
    </row>
    <row r="2597" spans="2:9" x14ac:dyDescent="0.25">
      <c r="B2597" s="16" t="s">
        <v>22</v>
      </c>
      <c r="C2597" s="17">
        <v>45154</v>
      </c>
      <c r="D2597" s="16">
        <v>87101</v>
      </c>
      <c r="E2597" s="16">
        <v>5926</v>
      </c>
      <c r="F2597" s="18" t="s">
        <v>295</v>
      </c>
      <c r="G2597" s="16" t="s">
        <v>52</v>
      </c>
      <c r="H2597" s="16" t="s">
        <v>36</v>
      </c>
      <c r="I2597" s="16" t="s">
        <v>61</v>
      </c>
    </row>
    <row r="2598" spans="2:9" x14ac:dyDescent="0.25">
      <c r="B2598" s="16" t="s">
        <v>33</v>
      </c>
      <c r="C2598" s="17">
        <v>45154</v>
      </c>
      <c r="D2598" s="16">
        <v>35502</v>
      </c>
      <c r="E2598" s="16">
        <v>1047</v>
      </c>
      <c r="F2598" s="18" t="s">
        <v>346</v>
      </c>
      <c r="G2598" s="16" t="s">
        <v>343</v>
      </c>
      <c r="H2598" s="16" t="s">
        <v>417</v>
      </c>
      <c r="I2598" s="16" t="s">
        <v>219</v>
      </c>
    </row>
    <row r="2599" spans="2:9" x14ac:dyDescent="0.25">
      <c r="B2599" s="16" t="s">
        <v>40</v>
      </c>
      <c r="C2599" s="17">
        <v>45154</v>
      </c>
      <c r="D2599" s="16">
        <v>5539</v>
      </c>
      <c r="E2599" s="16">
        <v>10650</v>
      </c>
      <c r="F2599" s="18" t="s">
        <v>418</v>
      </c>
      <c r="G2599" s="16" t="s">
        <v>5</v>
      </c>
      <c r="H2599" s="16" t="s">
        <v>49</v>
      </c>
      <c r="I2599" s="16" t="s">
        <v>17</v>
      </c>
    </row>
    <row r="2600" spans="2:9" x14ac:dyDescent="0.25">
      <c r="B2600" s="16" t="s">
        <v>33</v>
      </c>
      <c r="C2600" s="17">
        <v>45154</v>
      </c>
      <c r="D2600" s="16">
        <v>71937</v>
      </c>
      <c r="E2600" s="16">
        <v>68566</v>
      </c>
      <c r="F2600" s="18" t="s">
        <v>156</v>
      </c>
      <c r="G2600" s="16" t="s">
        <v>341</v>
      </c>
      <c r="H2600" s="16" t="s">
        <v>184</v>
      </c>
      <c r="I2600" s="16" t="s">
        <v>61</v>
      </c>
    </row>
    <row r="2601" spans="2:9" x14ac:dyDescent="0.25">
      <c r="B2601" s="16" t="s">
        <v>33</v>
      </c>
      <c r="C2601" s="17">
        <v>45154</v>
      </c>
      <c r="D2601" s="16">
        <v>243077</v>
      </c>
      <c r="E2601" s="16">
        <v>1175</v>
      </c>
      <c r="F2601" s="18" t="s">
        <v>81</v>
      </c>
      <c r="G2601" s="16" t="s">
        <v>7</v>
      </c>
      <c r="H2601" s="16" t="s">
        <v>38</v>
      </c>
      <c r="I2601" s="16" t="s">
        <v>17</v>
      </c>
    </row>
    <row r="2602" spans="2:9" x14ac:dyDescent="0.25">
      <c r="B2602" s="16" t="s">
        <v>33</v>
      </c>
      <c r="C2602" s="17">
        <v>45154</v>
      </c>
      <c r="D2602" s="16">
        <v>165869</v>
      </c>
      <c r="E2602" s="16">
        <v>63007</v>
      </c>
      <c r="F2602" s="18" t="s">
        <v>62</v>
      </c>
      <c r="G2602" s="16" t="s">
        <v>341</v>
      </c>
      <c r="H2602" s="16" t="s">
        <v>49</v>
      </c>
      <c r="I2602" s="16" t="s">
        <v>370</v>
      </c>
    </row>
    <row r="2603" spans="2:9" x14ac:dyDescent="0.25">
      <c r="B2603" s="16" t="s">
        <v>33</v>
      </c>
      <c r="C2603" s="17">
        <v>45154</v>
      </c>
      <c r="D2603" s="16">
        <v>377640</v>
      </c>
      <c r="E2603" s="16">
        <v>1114</v>
      </c>
      <c r="F2603" s="18" t="s">
        <v>397</v>
      </c>
      <c r="G2603" s="16" t="s">
        <v>343</v>
      </c>
      <c r="H2603" s="16" t="s">
        <v>304</v>
      </c>
      <c r="I2603" s="16" t="s">
        <v>344</v>
      </c>
    </row>
    <row r="2604" spans="2:9" x14ac:dyDescent="0.25">
      <c r="B2604" s="16" t="s">
        <v>40</v>
      </c>
      <c r="C2604" s="17">
        <v>45154</v>
      </c>
      <c r="D2604" s="16">
        <v>28966</v>
      </c>
      <c r="E2604" s="16">
        <v>13510</v>
      </c>
      <c r="F2604" s="18" t="s">
        <v>140</v>
      </c>
      <c r="G2604" s="16" t="s">
        <v>343</v>
      </c>
      <c r="H2604" s="16" t="s">
        <v>228</v>
      </c>
      <c r="I2604" s="16" t="s">
        <v>17</v>
      </c>
    </row>
    <row r="2605" spans="2:9" x14ac:dyDescent="0.25">
      <c r="B2605" s="16" t="s">
        <v>40</v>
      </c>
      <c r="C2605" s="17">
        <v>45154</v>
      </c>
      <c r="D2605" s="16">
        <v>4350796</v>
      </c>
      <c r="E2605" s="16">
        <v>1174</v>
      </c>
      <c r="F2605" s="18" t="s">
        <v>100</v>
      </c>
      <c r="G2605" s="16" t="s">
        <v>343</v>
      </c>
      <c r="H2605" s="16" t="s">
        <v>36</v>
      </c>
      <c r="I2605" s="16" t="s">
        <v>20</v>
      </c>
    </row>
    <row r="2606" spans="2:9" x14ac:dyDescent="0.25">
      <c r="B2606" s="16" t="s">
        <v>40</v>
      </c>
      <c r="C2606" s="17">
        <v>45154</v>
      </c>
      <c r="D2606" s="16">
        <v>796559</v>
      </c>
      <c r="E2606" s="16">
        <v>9794</v>
      </c>
      <c r="F2606" s="18" t="s">
        <v>360</v>
      </c>
      <c r="G2606" s="16" t="s">
        <v>6</v>
      </c>
      <c r="H2606" s="16" t="s">
        <v>38</v>
      </c>
      <c r="I2606" s="16" t="s">
        <v>20</v>
      </c>
    </row>
    <row r="2607" spans="2:9" x14ac:dyDescent="0.25">
      <c r="B2607" s="16" t="s">
        <v>40</v>
      </c>
      <c r="C2607" s="17">
        <v>45154</v>
      </c>
      <c r="D2607" s="16">
        <v>1435279</v>
      </c>
      <c r="E2607" s="16">
        <v>13235</v>
      </c>
      <c r="F2607" s="18" t="s">
        <v>99</v>
      </c>
      <c r="G2607" s="16" t="s">
        <v>343</v>
      </c>
      <c r="H2607" s="16" t="s">
        <v>36</v>
      </c>
      <c r="I2607" s="16" t="s">
        <v>61</v>
      </c>
    </row>
    <row r="2608" spans="2:9" x14ac:dyDescent="0.25">
      <c r="B2608" s="16" t="s">
        <v>33</v>
      </c>
      <c r="C2608" s="17">
        <v>45154</v>
      </c>
      <c r="D2608" s="16">
        <v>27296</v>
      </c>
      <c r="E2608" s="16">
        <v>12840</v>
      </c>
      <c r="F2608" s="18" t="s">
        <v>416</v>
      </c>
      <c r="G2608" s="16" t="s">
        <v>343</v>
      </c>
      <c r="H2608" s="16" t="s">
        <v>45</v>
      </c>
      <c r="I2608" s="16" t="s">
        <v>61</v>
      </c>
    </row>
    <row r="2609" spans="2:9" x14ac:dyDescent="0.25">
      <c r="B2609" s="16" t="s">
        <v>26</v>
      </c>
      <c r="C2609" s="17">
        <v>45154</v>
      </c>
      <c r="D2609" s="16">
        <v>87102</v>
      </c>
      <c r="E2609" s="16">
        <v>5926</v>
      </c>
      <c r="F2609" s="18" t="s">
        <v>295</v>
      </c>
      <c r="G2609" s="16" t="s">
        <v>52</v>
      </c>
      <c r="H2609" s="16" t="s">
        <v>36</v>
      </c>
      <c r="I2609" s="16" t="s">
        <v>29</v>
      </c>
    </row>
    <row r="2610" spans="2:9" x14ac:dyDescent="0.25">
      <c r="B2610" s="16" t="s">
        <v>210</v>
      </c>
      <c r="C2610" s="17">
        <v>45154</v>
      </c>
      <c r="D2610" s="16">
        <v>4914424</v>
      </c>
      <c r="E2610" s="16">
        <v>9430</v>
      </c>
      <c r="F2610" s="18" t="s">
        <v>185</v>
      </c>
      <c r="G2610" s="16" t="s">
        <v>334</v>
      </c>
      <c r="H2610" s="16" t="s">
        <v>49</v>
      </c>
      <c r="I2610" s="16" t="s">
        <v>17</v>
      </c>
    </row>
    <row r="2611" spans="2:9" x14ac:dyDescent="0.25">
      <c r="B2611" s="16" t="s">
        <v>33</v>
      </c>
      <c r="C2611" s="17">
        <v>45154</v>
      </c>
      <c r="D2611" s="16">
        <v>5541</v>
      </c>
      <c r="E2611" s="16">
        <v>10650</v>
      </c>
      <c r="F2611" s="18" t="s">
        <v>418</v>
      </c>
      <c r="G2611" s="16" t="s">
        <v>5</v>
      </c>
      <c r="H2611" s="16" t="s">
        <v>46</v>
      </c>
      <c r="I2611" s="16" t="s">
        <v>17</v>
      </c>
    </row>
    <row r="2612" spans="2:9" x14ac:dyDescent="0.25">
      <c r="B2612" s="16" t="s">
        <v>33</v>
      </c>
      <c r="C2612" s="17">
        <v>45154</v>
      </c>
      <c r="D2612" s="16">
        <v>27304</v>
      </c>
      <c r="E2612" s="16">
        <v>12840</v>
      </c>
      <c r="F2612" s="18" t="s">
        <v>416</v>
      </c>
      <c r="G2612" s="16" t="s">
        <v>343</v>
      </c>
      <c r="H2612" s="16" t="s">
        <v>46</v>
      </c>
      <c r="I2612" s="16" t="s">
        <v>17</v>
      </c>
    </row>
    <row r="2613" spans="2:9" x14ac:dyDescent="0.25">
      <c r="B2613" s="16" t="s">
        <v>2</v>
      </c>
      <c r="C2613" s="17">
        <v>45154</v>
      </c>
      <c r="D2613" s="16">
        <v>4350802</v>
      </c>
      <c r="E2613" s="16">
        <v>1174</v>
      </c>
      <c r="F2613" s="18" t="s">
        <v>100</v>
      </c>
      <c r="G2613" s="16" t="s">
        <v>4</v>
      </c>
      <c r="H2613" s="16" t="s">
        <v>36</v>
      </c>
      <c r="I2613" s="16" t="s">
        <v>61</v>
      </c>
    </row>
    <row r="2614" spans="2:9" x14ac:dyDescent="0.25">
      <c r="B2614" s="16" t="s">
        <v>33</v>
      </c>
      <c r="C2614" s="17">
        <v>45154</v>
      </c>
      <c r="D2614" s="16">
        <v>326011</v>
      </c>
      <c r="E2614" s="16">
        <v>9589</v>
      </c>
      <c r="F2614" s="18" t="s">
        <v>384</v>
      </c>
      <c r="G2614" s="16" t="s">
        <v>334</v>
      </c>
      <c r="H2614" s="16" t="s">
        <v>46</v>
      </c>
      <c r="I2614" s="16" t="s">
        <v>17</v>
      </c>
    </row>
    <row r="2615" spans="2:9" x14ac:dyDescent="0.25">
      <c r="B2615" s="16" t="s">
        <v>22</v>
      </c>
      <c r="C2615" s="17">
        <v>45155</v>
      </c>
      <c r="D2615" s="16">
        <v>2142601</v>
      </c>
      <c r="E2615" s="16">
        <v>9459</v>
      </c>
      <c r="F2615" s="18" t="s">
        <v>105</v>
      </c>
      <c r="G2615" s="16" t="s">
        <v>16</v>
      </c>
      <c r="H2615" s="16" t="s">
        <v>184</v>
      </c>
      <c r="I2615" s="16" t="s">
        <v>61</v>
      </c>
    </row>
    <row r="2616" spans="2:9" x14ac:dyDescent="0.25">
      <c r="B2616" s="16" t="s">
        <v>33</v>
      </c>
      <c r="C2616" s="17">
        <v>45155</v>
      </c>
      <c r="D2616" s="16">
        <v>2142583</v>
      </c>
      <c r="E2616" s="16">
        <v>9459</v>
      </c>
      <c r="F2616" s="18" t="s">
        <v>105</v>
      </c>
      <c r="G2616" s="16" t="s">
        <v>16</v>
      </c>
      <c r="H2616" s="16" t="s">
        <v>184</v>
      </c>
      <c r="I2616" s="16" t="s">
        <v>61</v>
      </c>
    </row>
    <row r="2617" spans="2:9" x14ac:dyDescent="0.25">
      <c r="B2617" s="16" t="s">
        <v>22</v>
      </c>
      <c r="C2617" s="17">
        <v>45155</v>
      </c>
      <c r="D2617" s="16">
        <v>2142597</v>
      </c>
      <c r="E2617" s="16">
        <v>9459</v>
      </c>
      <c r="F2617" s="18" t="s">
        <v>105</v>
      </c>
      <c r="G2617" s="16" t="s">
        <v>5</v>
      </c>
      <c r="H2617" s="16" t="s">
        <v>36</v>
      </c>
      <c r="I2617" s="16" t="s">
        <v>61</v>
      </c>
    </row>
    <row r="2618" spans="2:9" x14ac:dyDescent="0.25">
      <c r="B2618" s="16" t="s">
        <v>210</v>
      </c>
      <c r="C2618" s="17">
        <v>45155</v>
      </c>
      <c r="D2618" s="16">
        <v>87103</v>
      </c>
      <c r="E2618" s="16">
        <v>5926</v>
      </c>
      <c r="F2618" s="18" t="s">
        <v>295</v>
      </c>
      <c r="G2618" s="16" t="s">
        <v>52</v>
      </c>
      <c r="H2618" s="16" t="s">
        <v>184</v>
      </c>
      <c r="I2618" s="16" t="s">
        <v>232</v>
      </c>
    </row>
    <row r="2619" spans="2:9" x14ac:dyDescent="0.25">
      <c r="B2619" s="16" t="s">
        <v>22</v>
      </c>
      <c r="C2619" s="17">
        <v>45155</v>
      </c>
      <c r="D2619" s="16">
        <v>352568</v>
      </c>
      <c r="E2619" s="16">
        <v>66719</v>
      </c>
      <c r="F2619" s="18" t="s">
        <v>180</v>
      </c>
      <c r="G2619" s="16" t="s">
        <v>16</v>
      </c>
      <c r="H2619" s="16" t="s">
        <v>36</v>
      </c>
      <c r="I2619" s="16" t="s">
        <v>61</v>
      </c>
    </row>
    <row r="2620" spans="2:9" x14ac:dyDescent="0.25">
      <c r="B2620" s="16" t="s">
        <v>22</v>
      </c>
      <c r="C2620" s="17">
        <v>45155</v>
      </c>
      <c r="D2620" s="16">
        <v>1162421</v>
      </c>
      <c r="E2620" s="16">
        <v>9516</v>
      </c>
      <c r="F2620" s="18" t="s">
        <v>110</v>
      </c>
      <c r="G2620" s="16" t="s">
        <v>334</v>
      </c>
      <c r="H2620" s="16" t="s">
        <v>36</v>
      </c>
      <c r="I2620" s="16" t="s">
        <v>61</v>
      </c>
    </row>
    <row r="2621" spans="2:9" x14ac:dyDescent="0.25">
      <c r="B2621" s="16" t="s">
        <v>33</v>
      </c>
      <c r="C2621" s="17">
        <v>45155</v>
      </c>
      <c r="D2621" s="16">
        <v>5541</v>
      </c>
      <c r="E2621" s="16">
        <v>10650</v>
      </c>
      <c r="F2621" s="18" t="s">
        <v>418</v>
      </c>
      <c r="G2621" s="16" t="s">
        <v>5</v>
      </c>
      <c r="H2621" s="16" t="s">
        <v>49</v>
      </c>
      <c r="I2621" s="16" t="s">
        <v>61</v>
      </c>
    </row>
    <row r="2622" spans="2:9" x14ac:dyDescent="0.25">
      <c r="B2622" s="16" t="s">
        <v>33</v>
      </c>
      <c r="C2622" s="17">
        <v>45155</v>
      </c>
      <c r="D2622" s="16">
        <v>1162126</v>
      </c>
      <c r="E2622" s="16">
        <v>9516</v>
      </c>
      <c r="F2622" s="18" t="s">
        <v>110</v>
      </c>
      <c r="G2622" s="16" t="s">
        <v>334</v>
      </c>
      <c r="H2622" s="16" t="s">
        <v>36</v>
      </c>
      <c r="I2622" s="16" t="s">
        <v>61</v>
      </c>
    </row>
    <row r="2623" spans="2:9" x14ac:dyDescent="0.25">
      <c r="B2623" s="16" t="s">
        <v>210</v>
      </c>
      <c r="C2623" s="17">
        <v>45155</v>
      </c>
      <c r="D2623" s="16">
        <v>2142606</v>
      </c>
      <c r="E2623" s="16">
        <v>9459</v>
      </c>
      <c r="F2623" s="18" t="s">
        <v>105</v>
      </c>
      <c r="G2623" s="16" t="s">
        <v>5</v>
      </c>
      <c r="H2623" s="16" t="s">
        <v>36</v>
      </c>
      <c r="I2623" s="16" t="s">
        <v>61</v>
      </c>
    </row>
    <row r="2624" spans="2:9" x14ac:dyDescent="0.25">
      <c r="B2624" s="16" t="s">
        <v>40</v>
      </c>
      <c r="C2624" s="17">
        <v>45155</v>
      </c>
      <c r="D2624" s="16">
        <v>2142590</v>
      </c>
      <c r="E2624" s="16">
        <v>9459</v>
      </c>
      <c r="F2624" s="18" t="s">
        <v>105</v>
      </c>
      <c r="G2624" s="16" t="s">
        <v>5</v>
      </c>
      <c r="H2624" s="16" t="s">
        <v>36</v>
      </c>
      <c r="I2624" s="16" t="s">
        <v>61</v>
      </c>
    </row>
    <row r="2625" spans="2:9" x14ac:dyDescent="0.25">
      <c r="B2625" s="16" t="s">
        <v>40</v>
      </c>
      <c r="C2625" s="17">
        <v>45155</v>
      </c>
      <c r="D2625" s="16">
        <v>2142587</v>
      </c>
      <c r="E2625" s="16">
        <v>9459</v>
      </c>
      <c r="F2625" s="18" t="s">
        <v>105</v>
      </c>
      <c r="G2625" s="16" t="s">
        <v>16</v>
      </c>
      <c r="H2625" s="16" t="s">
        <v>184</v>
      </c>
      <c r="I2625" s="16" t="s">
        <v>61</v>
      </c>
    </row>
    <row r="2626" spans="2:9" x14ac:dyDescent="0.25">
      <c r="B2626" s="16" t="s">
        <v>40</v>
      </c>
      <c r="C2626" s="17">
        <v>45155</v>
      </c>
      <c r="D2626" s="16">
        <v>4098393</v>
      </c>
      <c r="E2626" s="16">
        <v>10322</v>
      </c>
      <c r="F2626" s="18" t="s">
        <v>310</v>
      </c>
      <c r="G2626" s="16" t="s">
        <v>4</v>
      </c>
      <c r="H2626" s="16" t="s">
        <v>36</v>
      </c>
      <c r="I2626" s="16" t="s">
        <v>61</v>
      </c>
    </row>
    <row r="2627" spans="2:9" x14ac:dyDescent="0.25">
      <c r="B2627" s="16" t="s">
        <v>210</v>
      </c>
      <c r="C2627" s="17">
        <v>45155</v>
      </c>
      <c r="D2627" s="16">
        <v>7598</v>
      </c>
      <c r="E2627" s="16">
        <v>10263</v>
      </c>
      <c r="F2627" s="18" t="s">
        <v>34</v>
      </c>
      <c r="G2627" s="16" t="s">
        <v>16</v>
      </c>
      <c r="H2627" s="16" t="s">
        <v>184</v>
      </c>
      <c r="I2627" s="16" t="s">
        <v>61</v>
      </c>
    </row>
    <row r="2628" spans="2:9" x14ac:dyDescent="0.25">
      <c r="B2628" s="16" t="s">
        <v>26</v>
      </c>
      <c r="C2628" s="17">
        <v>45155</v>
      </c>
      <c r="D2628" s="16">
        <v>1162375</v>
      </c>
      <c r="E2628" s="16">
        <v>9516</v>
      </c>
      <c r="F2628" s="18" t="s">
        <v>110</v>
      </c>
      <c r="G2628" s="16" t="s">
        <v>334</v>
      </c>
      <c r="H2628" s="16" t="s">
        <v>36</v>
      </c>
      <c r="I2628" s="16" t="s">
        <v>61</v>
      </c>
    </row>
    <row r="2629" spans="2:9" x14ac:dyDescent="0.25">
      <c r="B2629" s="16" t="s">
        <v>210</v>
      </c>
      <c r="C2629" s="17">
        <v>45155</v>
      </c>
      <c r="D2629" s="16">
        <v>1438653</v>
      </c>
      <c r="E2629" s="16">
        <v>13235</v>
      </c>
      <c r="F2629" s="18" t="s">
        <v>99</v>
      </c>
      <c r="G2629" s="16" t="s">
        <v>343</v>
      </c>
      <c r="H2629" s="16" t="s">
        <v>39</v>
      </c>
      <c r="I2629" s="16" t="s">
        <v>419</v>
      </c>
    </row>
    <row r="2630" spans="2:9" x14ac:dyDescent="0.25">
      <c r="B2630" s="16" t="s">
        <v>210</v>
      </c>
      <c r="C2630" s="17">
        <v>45155</v>
      </c>
      <c r="D2630" s="16">
        <v>7489</v>
      </c>
      <c r="E2630" s="16">
        <v>10263</v>
      </c>
      <c r="F2630" s="18" t="s">
        <v>34</v>
      </c>
      <c r="G2630" s="16" t="s">
        <v>16</v>
      </c>
      <c r="H2630" s="16" t="s">
        <v>36</v>
      </c>
      <c r="I2630" s="16" t="s">
        <v>61</v>
      </c>
    </row>
    <row r="2631" spans="2:9" x14ac:dyDescent="0.25">
      <c r="B2631" s="16" t="s">
        <v>210</v>
      </c>
      <c r="C2631" s="17">
        <v>45155</v>
      </c>
      <c r="D2631" s="16">
        <v>7538</v>
      </c>
      <c r="E2631" s="16">
        <v>10263</v>
      </c>
      <c r="F2631" s="18" t="s">
        <v>34</v>
      </c>
      <c r="G2631" s="16" t="s">
        <v>16</v>
      </c>
      <c r="H2631" s="16" t="s">
        <v>376</v>
      </c>
      <c r="I2631" s="16" t="s">
        <v>61</v>
      </c>
    </row>
    <row r="2632" spans="2:9" x14ac:dyDescent="0.25">
      <c r="B2632" s="16" t="s">
        <v>22</v>
      </c>
      <c r="C2632" s="17">
        <v>45155</v>
      </c>
      <c r="D2632" s="16">
        <v>108125</v>
      </c>
      <c r="E2632" s="16">
        <v>7863</v>
      </c>
      <c r="F2632" s="18" t="s">
        <v>267</v>
      </c>
      <c r="G2632" s="16" t="s">
        <v>5</v>
      </c>
      <c r="H2632" s="16" t="s">
        <v>186</v>
      </c>
      <c r="I2632" s="16" t="s">
        <v>61</v>
      </c>
    </row>
    <row r="2633" spans="2:9" x14ac:dyDescent="0.25">
      <c r="B2633" s="16" t="s">
        <v>210</v>
      </c>
      <c r="C2633" s="17">
        <v>45155</v>
      </c>
      <c r="D2633" s="16">
        <v>739873</v>
      </c>
      <c r="E2633" s="16">
        <v>9812</v>
      </c>
      <c r="F2633" s="18" t="s">
        <v>292</v>
      </c>
      <c r="G2633" s="16" t="s">
        <v>5</v>
      </c>
      <c r="H2633" s="16" t="s">
        <v>45</v>
      </c>
      <c r="I2633" s="16" t="s">
        <v>373</v>
      </c>
    </row>
    <row r="2634" spans="2:9" x14ac:dyDescent="0.25">
      <c r="B2634" s="16" t="s">
        <v>210</v>
      </c>
      <c r="C2634" s="17">
        <v>45155</v>
      </c>
      <c r="D2634" s="16">
        <v>739874</v>
      </c>
      <c r="E2634" s="16">
        <v>9812</v>
      </c>
      <c r="F2634" s="18" t="s">
        <v>292</v>
      </c>
      <c r="G2634" s="16" t="s">
        <v>5</v>
      </c>
      <c r="H2634" s="16" t="s">
        <v>45</v>
      </c>
      <c r="I2634" s="16" t="s">
        <v>373</v>
      </c>
    </row>
    <row r="2635" spans="2:9" x14ac:dyDescent="0.25">
      <c r="B2635" s="16" t="s">
        <v>2</v>
      </c>
      <c r="C2635" s="17">
        <v>45155</v>
      </c>
      <c r="D2635" s="16">
        <v>87104</v>
      </c>
      <c r="E2635" s="16">
        <v>5926</v>
      </c>
      <c r="F2635" s="18" t="s">
        <v>295</v>
      </c>
      <c r="G2635" s="16" t="s">
        <v>52</v>
      </c>
      <c r="H2635" s="16" t="s">
        <v>36</v>
      </c>
      <c r="I2635" s="16" t="s">
        <v>61</v>
      </c>
    </row>
    <row r="2636" spans="2:9" x14ac:dyDescent="0.25">
      <c r="B2636" s="16" t="s">
        <v>2</v>
      </c>
      <c r="C2636" s="17">
        <v>45155</v>
      </c>
      <c r="D2636" s="16">
        <v>116226</v>
      </c>
      <c r="E2636" s="16">
        <v>9516</v>
      </c>
      <c r="F2636" s="18" t="s">
        <v>110</v>
      </c>
      <c r="G2636" s="16" t="s">
        <v>334</v>
      </c>
      <c r="H2636" s="16" t="s">
        <v>36</v>
      </c>
      <c r="I2636" s="16" t="s">
        <v>61</v>
      </c>
    </row>
    <row r="2637" spans="2:9" x14ac:dyDescent="0.25">
      <c r="B2637" s="16" t="s">
        <v>2</v>
      </c>
      <c r="C2637" s="17">
        <v>45155</v>
      </c>
      <c r="D2637" s="16">
        <v>526865</v>
      </c>
      <c r="E2637" s="16">
        <v>12012</v>
      </c>
      <c r="F2637" s="18" t="s">
        <v>328</v>
      </c>
      <c r="G2637" s="16" t="s">
        <v>342</v>
      </c>
      <c r="H2637" s="16" t="s">
        <v>184</v>
      </c>
      <c r="I2637" s="16" t="s">
        <v>61</v>
      </c>
    </row>
    <row r="2638" spans="2:9" x14ac:dyDescent="0.25">
      <c r="B2638" s="16" t="s">
        <v>2</v>
      </c>
      <c r="C2638" s="17">
        <v>45155</v>
      </c>
      <c r="D2638" s="16">
        <v>2142602</v>
      </c>
      <c r="E2638" s="16">
        <v>9459</v>
      </c>
      <c r="F2638" s="18" t="s">
        <v>105</v>
      </c>
      <c r="G2638" s="16" t="s">
        <v>5</v>
      </c>
      <c r="H2638" s="16" t="s">
        <v>36</v>
      </c>
      <c r="I2638" s="16" t="s">
        <v>61</v>
      </c>
    </row>
    <row r="2639" spans="2:9" x14ac:dyDescent="0.25">
      <c r="B2639" s="16" t="s">
        <v>20</v>
      </c>
      <c r="C2639" s="17">
        <v>45155</v>
      </c>
      <c r="D2639" s="16">
        <v>2408613</v>
      </c>
      <c r="E2639" s="16">
        <v>8252</v>
      </c>
      <c r="F2639" s="18" t="s">
        <v>286</v>
      </c>
      <c r="G2639" s="16" t="s">
        <v>4</v>
      </c>
      <c r="H2639" s="16" t="s">
        <v>184</v>
      </c>
      <c r="I2639" s="16" t="s">
        <v>61</v>
      </c>
    </row>
    <row r="2640" spans="2:9" x14ac:dyDescent="0.25">
      <c r="B2640" s="16" t="s">
        <v>33</v>
      </c>
      <c r="C2640" s="17">
        <v>45155</v>
      </c>
      <c r="D2640" s="16">
        <v>195578</v>
      </c>
      <c r="E2640" s="16">
        <v>10440</v>
      </c>
      <c r="F2640" s="18" t="s">
        <v>37</v>
      </c>
      <c r="G2640" s="16" t="s">
        <v>334</v>
      </c>
      <c r="H2640" s="16" t="s">
        <v>114</v>
      </c>
      <c r="I2640" s="16" t="s">
        <v>61</v>
      </c>
    </row>
    <row r="2641" spans="2:9" x14ac:dyDescent="0.25">
      <c r="B2641" s="16" t="s">
        <v>26</v>
      </c>
      <c r="C2641" s="17">
        <v>45155</v>
      </c>
      <c r="D2641" s="16">
        <v>2142594</v>
      </c>
      <c r="E2641" s="16">
        <v>9459</v>
      </c>
      <c r="F2641" s="18" t="s">
        <v>105</v>
      </c>
      <c r="G2641" s="16" t="s">
        <v>16</v>
      </c>
      <c r="H2641" s="16" t="s">
        <v>184</v>
      </c>
      <c r="I2641" s="16" t="s">
        <v>61</v>
      </c>
    </row>
    <row r="2642" spans="2:9" x14ac:dyDescent="0.25">
      <c r="B2642" s="16" t="s">
        <v>26</v>
      </c>
      <c r="C2642" s="17">
        <v>45155</v>
      </c>
      <c r="D2642" s="16">
        <v>2142593</v>
      </c>
      <c r="E2642" s="16">
        <v>9459</v>
      </c>
      <c r="F2642" s="18" t="s">
        <v>105</v>
      </c>
      <c r="G2642" s="16" t="s">
        <v>5</v>
      </c>
      <c r="H2642" s="16" t="s">
        <v>36</v>
      </c>
      <c r="I2642" s="16" t="s">
        <v>17</v>
      </c>
    </row>
    <row r="2643" spans="2:9" x14ac:dyDescent="0.25">
      <c r="B2643" s="16" t="s">
        <v>26</v>
      </c>
      <c r="C2643" s="17">
        <v>45155</v>
      </c>
      <c r="D2643" s="16">
        <v>7626</v>
      </c>
      <c r="E2643" s="16">
        <v>10263</v>
      </c>
      <c r="F2643" s="18" t="s">
        <v>34</v>
      </c>
      <c r="G2643" s="16" t="s">
        <v>16</v>
      </c>
      <c r="H2643" s="16" t="s">
        <v>184</v>
      </c>
      <c r="I2643" s="16" t="s">
        <v>61</v>
      </c>
    </row>
    <row r="2644" spans="2:9" x14ac:dyDescent="0.25">
      <c r="B2644" s="16" t="s">
        <v>26</v>
      </c>
      <c r="C2644" s="17">
        <v>45155</v>
      </c>
      <c r="D2644" s="16">
        <v>7648</v>
      </c>
      <c r="E2644" s="16">
        <v>10263</v>
      </c>
      <c r="F2644" s="18" t="s">
        <v>34</v>
      </c>
      <c r="G2644" s="16" t="s">
        <v>16</v>
      </c>
      <c r="H2644" s="16" t="s">
        <v>36</v>
      </c>
      <c r="I2644" s="16" t="s">
        <v>61</v>
      </c>
    </row>
    <row r="2645" spans="2:9" x14ac:dyDescent="0.25">
      <c r="B2645" s="16" t="s">
        <v>26</v>
      </c>
      <c r="C2645" s="17">
        <v>45155</v>
      </c>
      <c r="D2645" s="16">
        <v>2142593</v>
      </c>
      <c r="E2645" s="16">
        <v>10263</v>
      </c>
      <c r="F2645" s="18" t="s">
        <v>34</v>
      </c>
      <c r="G2645" s="16" t="s">
        <v>16</v>
      </c>
      <c r="H2645" s="16" t="s">
        <v>36</v>
      </c>
      <c r="I2645" s="16" t="s">
        <v>61</v>
      </c>
    </row>
    <row r="2646" spans="2:9" x14ac:dyDescent="0.25">
      <c r="B2646" s="16" t="s">
        <v>26</v>
      </c>
      <c r="C2646" s="17">
        <v>45155</v>
      </c>
      <c r="D2646" s="16">
        <v>109941</v>
      </c>
      <c r="E2646" s="16">
        <v>9536</v>
      </c>
      <c r="F2646" s="18" t="s">
        <v>413</v>
      </c>
      <c r="G2646" s="16" t="s">
        <v>7</v>
      </c>
      <c r="H2646" s="16" t="s">
        <v>71</v>
      </c>
      <c r="I2646" s="16" t="s">
        <v>17</v>
      </c>
    </row>
    <row r="2647" spans="2:9" x14ac:dyDescent="0.25">
      <c r="B2647" s="16" t="s">
        <v>22</v>
      </c>
      <c r="C2647" s="17">
        <v>45155</v>
      </c>
      <c r="D2647" s="16">
        <v>26696</v>
      </c>
      <c r="E2647" s="16">
        <v>10472</v>
      </c>
      <c r="F2647" s="18" t="s">
        <v>420</v>
      </c>
      <c r="G2647" s="16" t="s">
        <v>6</v>
      </c>
      <c r="H2647" s="16" t="s">
        <v>71</v>
      </c>
      <c r="I2647" s="16" t="s">
        <v>17</v>
      </c>
    </row>
    <row r="2648" spans="2:9" x14ac:dyDescent="0.25">
      <c r="B2648" s="16" t="s">
        <v>22</v>
      </c>
      <c r="C2648" s="17">
        <v>45155</v>
      </c>
      <c r="D2648" s="16">
        <v>540276</v>
      </c>
      <c r="E2648" s="16">
        <v>1008</v>
      </c>
      <c r="F2648" s="18" t="s">
        <v>74</v>
      </c>
      <c r="G2648" s="16" t="s">
        <v>334</v>
      </c>
      <c r="H2648" s="16" t="s">
        <v>71</v>
      </c>
      <c r="I2648" s="16" t="s">
        <v>17</v>
      </c>
    </row>
    <row r="2649" spans="2:9" x14ac:dyDescent="0.25">
      <c r="B2649" s="16" t="s">
        <v>22</v>
      </c>
      <c r="C2649" s="17">
        <v>45155</v>
      </c>
      <c r="D2649" s="16">
        <v>540277</v>
      </c>
      <c r="E2649" s="16">
        <v>1008</v>
      </c>
      <c r="F2649" s="18" t="s">
        <v>74</v>
      </c>
      <c r="G2649" s="16" t="s">
        <v>334</v>
      </c>
      <c r="H2649" s="16" t="s">
        <v>71</v>
      </c>
      <c r="I2649" s="16" t="s">
        <v>17</v>
      </c>
    </row>
    <row r="2650" spans="2:9" x14ac:dyDescent="0.25">
      <c r="B2650" s="16" t="s">
        <v>40</v>
      </c>
      <c r="C2650" s="17">
        <v>45155</v>
      </c>
      <c r="D2650" s="16">
        <v>34685</v>
      </c>
      <c r="E2650" s="16">
        <v>70485</v>
      </c>
      <c r="F2650" s="18" t="s">
        <v>20</v>
      </c>
      <c r="G2650" s="16" t="s">
        <v>52</v>
      </c>
      <c r="H2650" s="16" t="s">
        <v>71</v>
      </c>
      <c r="I2650" s="16" t="s">
        <v>17</v>
      </c>
    </row>
    <row r="2651" spans="2:9" x14ac:dyDescent="0.25">
      <c r="B2651" s="16" t="s">
        <v>40</v>
      </c>
      <c r="C2651" s="17">
        <v>45155</v>
      </c>
      <c r="D2651" s="16">
        <v>34686</v>
      </c>
      <c r="E2651" s="16">
        <v>70485</v>
      </c>
      <c r="F2651" s="18" t="s">
        <v>20</v>
      </c>
      <c r="G2651" s="16" t="s">
        <v>52</v>
      </c>
      <c r="H2651" s="16" t="s">
        <v>71</v>
      </c>
      <c r="I2651" s="16" t="s">
        <v>17</v>
      </c>
    </row>
    <row r="2652" spans="2:9" x14ac:dyDescent="0.25">
      <c r="B2652" s="16" t="s">
        <v>40</v>
      </c>
      <c r="C2652" s="17">
        <v>45155</v>
      </c>
      <c r="D2652" s="16">
        <v>4788</v>
      </c>
      <c r="E2652" s="16">
        <v>70670</v>
      </c>
      <c r="F2652" s="18" t="s">
        <v>20</v>
      </c>
      <c r="G2652" s="16" t="s">
        <v>16</v>
      </c>
      <c r="H2652" s="16" t="s">
        <v>71</v>
      </c>
      <c r="I2652" s="16" t="s">
        <v>17</v>
      </c>
    </row>
    <row r="2653" spans="2:9" x14ac:dyDescent="0.25">
      <c r="B2653" s="16" t="s">
        <v>40</v>
      </c>
      <c r="C2653" s="17">
        <v>45155</v>
      </c>
      <c r="D2653" s="16">
        <v>2745</v>
      </c>
      <c r="E2653" s="16">
        <v>11539</v>
      </c>
      <c r="F2653" s="18" t="s">
        <v>263</v>
      </c>
      <c r="G2653" s="16" t="s">
        <v>342</v>
      </c>
      <c r="H2653" s="16" t="s">
        <v>71</v>
      </c>
      <c r="I2653" s="16" t="s">
        <v>17</v>
      </c>
    </row>
    <row r="2654" spans="2:9" x14ac:dyDescent="0.25">
      <c r="B2654" s="16" t="s">
        <v>33</v>
      </c>
      <c r="C2654" s="17">
        <v>45156</v>
      </c>
      <c r="D2654" s="16">
        <v>4098388</v>
      </c>
      <c r="E2654" s="16">
        <v>10322</v>
      </c>
      <c r="F2654" s="18" t="s">
        <v>310</v>
      </c>
      <c r="G2654" s="16" t="s">
        <v>4</v>
      </c>
      <c r="H2654" s="16" t="s">
        <v>36</v>
      </c>
      <c r="I2654" s="16" t="s">
        <v>4</v>
      </c>
    </row>
    <row r="2655" spans="2:9" x14ac:dyDescent="0.25">
      <c r="B2655" s="16" t="s">
        <v>33</v>
      </c>
      <c r="C2655" s="17">
        <v>45156</v>
      </c>
      <c r="D2655" s="16">
        <v>659825</v>
      </c>
      <c r="E2655" s="16">
        <v>3610</v>
      </c>
      <c r="F2655" s="18" t="s">
        <v>8</v>
      </c>
      <c r="G2655" s="16" t="s">
        <v>262</v>
      </c>
      <c r="H2655" s="16" t="s">
        <v>38</v>
      </c>
      <c r="I2655" s="16" t="s">
        <v>17</v>
      </c>
    </row>
    <row r="2656" spans="2:9" x14ac:dyDescent="0.25">
      <c r="B2656" s="16" t="s">
        <v>33</v>
      </c>
      <c r="C2656" s="17">
        <v>45156</v>
      </c>
      <c r="D2656" s="16">
        <v>659824</v>
      </c>
      <c r="E2656" s="16">
        <v>3610</v>
      </c>
      <c r="F2656" s="18" t="s">
        <v>8</v>
      </c>
      <c r="G2656" s="16" t="s">
        <v>262</v>
      </c>
      <c r="H2656" s="16" t="s">
        <v>38</v>
      </c>
      <c r="I2656" s="16" t="s">
        <v>17</v>
      </c>
    </row>
    <row r="2657" spans="2:9" x14ac:dyDescent="0.25">
      <c r="B2657" s="16" t="s">
        <v>210</v>
      </c>
      <c r="C2657" s="17">
        <v>45156</v>
      </c>
      <c r="D2657" s="16">
        <v>29590</v>
      </c>
      <c r="E2657" s="16">
        <v>68472</v>
      </c>
      <c r="F2657" s="18" t="s">
        <v>229</v>
      </c>
      <c r="G2657" s="16" t="s">
        <v>52</v>
      </c>
      <c r="H2657" s="16" t="s">
        <v>184</v>
      </c>
      <c r="I2657" s="16" t="s">
        <v>324</v>
      </c>
    </row>
    <row r="2658" spans="2:9" x14ac:dyDescent="0.25">
      <c r="B2658" s="16" t="s">
        <v>210</v>
      </c>
      <c r="C2658" s="17">
        <v>45156</v>
      </c>
      <c r="D2658" s="16">
        <v>1133</v>
      </c>
      <c r="E2658" s="16">
        <v>71064</v>
      </c>
      <c r="F2658" s="18" t="s">
        <v>20</v>
      </c>
      <c r="G2658" s="16" t="s">
        <v>7</v>
      </c>
      <c r="H2658" s="16" t="s">
        <v>38</v>
      </c>
      <c r="I2658" s="16" t="s">
        <v>17</v>
      </c>
    </row>
    <row r="2659" spans="2:9" x14ac:dyDescent="0.25">
      <c r="B2659" s="16" t="s">
        <v>33</v>
      </c>
      <c r="C2659" s="17">
        <v>45156</v>
      </c>
      <c r="D2659" s="16">
        <v>1832444</v>
      </c>
      <c r="E2659" s="16">
        <v>9480</v>
      </c>
      <c r="F2659" s="18" t="s">
        <v>147</v>
      </c>
      <c r="G2659" s="16" t="s">
        <v>6</v>
      </c>
      <c r="H2659" s="16" t="s">
        <v>36</v>
      </c>
      <c r="I2659" s="16" t="s">
        <v>258</v>
      </c>
    </row>
    <row r="2660" spans="2:9" x14ac:dyDescent="0.25">
      <c r="B2660" s="16" t="s">
        <v>2</v>
      </c>
      <c r="C2660" s="17">
        <v>45156</v>
      </c>
      <c r="D2660" s="16">
        <v>60838</v>
      </c>
      <c r="E2660" s="16">
        <v>4848</v>
      </c>
      <c r="F2660" s="18" t="s">
        <v>421</v>
      </c>
      <c r="G2660" s="16" t="s">
        <v>341</v>
      </c>
      <c r="H2660" s="16" t="s">
        <v>28</v>
      </c>
      <c r="I2660" s="16" t="s">
        <v>422</v>
      </c>
    </row>
    <row r="2661" spans="2:9" x14ac:dyDescent="0.25">
      <c r="B2661" s="16" t="s">
        <v>33</v>
      </c>
      <c r="C2661" s="17">
        <v>45156</v>
      </c>
      <c r="D2661" s="16">
        <v>8577954</v>
      </c>
      <c r="E2661" s="16">
        <v>9389</v>
      </c>
      <c r="F2661" s="18" t="s">
        <v>119</v>
      </c>
      <c r="G2661" s="16" t="s">
        <v>52</v>
      </c>
      <c r="H2661" s="16" t="s">
        <v>36</v>
      </c>
      <c r="I2661" s="16" t="s">
        <v>235</v>
      </c>
    </row>
    <row r="2662" spans="2:9" x14ac:dyDescent="0.25">
      <c r="B2662" s="16" t="s">
        <v>33</v>
      </c>
      <c r="C2662" s="17">
        <v>45156</v>
      </c>
      <c r="D2662" s="16">
        <v>29577</v>
      </c>
      <c r="E2662" s="16">
        <v>68472</v>
      </c>
      <c r="F2662" s="18" t="s">
        <v>229</v>
      </c>
      <c r="G2662" s="16" t="s">
        <v>52</v>
      </c>
      <c r="H2662" s="16" t="s">
        <v>39</v>
      </c>
      <c r="I2662" s="16" t="s">
        <v>235</v>
      </c>
    </row>
    <row r="2663" spans="2:9" x14ac:dyDescent="0.25">
      <c r="B2663" s="16" t="s">
        <v>22</v>
      </c>
      <c r="C2663" s="17">
        <v>45156</v>
      </c>
      <c r="D2663" s="16">
        <v>5182582</v>
      </c>
      <c r="E2663" s="16">
        <v>15102</v>
      </c>
      <c r="F2663" s="18" t="s">
        <v>160</v>
      </c>
      <c r="G2663" s="16" t="s">
        <v>52</v>
      </c>
      <c r="H2663" s="16" t="s">
        <v>28</v>
      </c>
      <c r="I2663" s="16" t="s">
        <v>61</v>
      </c>
    </row>
    <row r="2664" spans="2:9" x14ac:dyDescent="0.25">
      <c r="B2664" s="16" t="s">
        <v>22</v>
      </c>
      <c r="C2664" s="17">
        <v>45156</v>
      </c>
      <c r="D2664" s="16">
        <v>5182583</v>
      </c>
      <c r="E2664" s="16">
        <v>15102</v>
      </c>
      <c r="F2664" s="18" t="s">
        <v>160</v>
      </c>
      <c r="G2664" s="16" t="s">
        <v>52</v>
      </c>
      <c r="H2664" s="16" t="s">
        <v>28</v>
      </c>
      <c r="I2664" s="16" t="s">
        <v>61</v>
      </c>
    </row>
    <row r="2665" spans="2:9" x14ac:dyDescent="0.25">
      <c r="B2665" s="16" t="s">
        <v>22</v>
      </c>
      <c r="C2665" s="17">
        <v>45156</v>
      </c>
      <c r="D2665" s="16">
        <v>5182581</v>
      </c>
      <c r="E2665" s="16">
        <v>15102</v>
      </c>
      <c r="F2665" s="18" t="s">
        <v>160</v>
      </c>
      <c r="G2665" s="16" t="s">
        <v>52</v>
      </c>
      <c r="H2665" s="16" t="s">
        <v>28</v>
      </c>
      <c r="I2665" s="16" t="s">
        <v>61</v>
      </c>
    </row>
    <row r="2666" spans="2:9" x14ac:dyDescent="0.25">
      <c r="B2666" s="16" t="s">
        <v>26</v>
      </c>
      <c r="C2666" s="17">
        <v>45156</v>
      </c>
      <c r="D2666" s="16">
        <v>4099900</v>
      </c>
      <c r="E2666" s="16">
        <v>10322</v>
      </c>
      <c r="F2666" s="18" t="s">
        <v>310</v>
      </c>
      <c r="G2666" s="16" t="s">
        <v>4</v>
      </c>
      <c r="H2666" s="16" t="s">
        <v>46</v>
      </c>
      <c r="I2666" s="16" t="s">
        <v>51</v>
      </c>
    </row>
    <row r="2667" spans="2:9" x14ac:dyDescent="0.25">
      <c r="B2667" s="16" t="s">
        <v>26</v>
      </c>
      <c r="C2667" s="17">
        <v>45156</v>
      </c>
      <c r="D2667" s="16">
        <v>4098200</v>
      </c>
      <c r="E2667" s="16">
        <v>10322</v>
      </c>
      <c r="F2667" s="18" t="s">
        <v>310</v>
      </c>
      <c r="G2667" s="16" t="s">
        <v>4</v>
      </c>
      <c r="H2667" s="16" t="s">
        <v>46</v>
      </c>
      <c r="I2667" s="16" t="s">
        <v>51</v>
      </c>
    </row>
    <row r="2668" spans="2:9" x14ac:dyDescent="0.25">
      <c r="B2668" s="16" t="s">
        <v>26</v>
      </c>
      <c r="C2668" s="17">
        <v>45156</v>
      </c>
      <c r="D2668" s="16">
        <v>4098199</v>
      </c>
      <c r="E2668" s="16">
        <v>10322</v>
      </c>
      <c r="F2668" s="18" t="s">
        <v>310</v>
      </c>
      <c r="G2668" s="16" t="s">
        <v>4</v>
      </c>
      <c r="H2668" s="16" t="s">
        <v>46</v>
      </c>
      <c r="I2668" s="16" t="s">
        <v>51</v>
      </c>
    </row>
    <row r="2669" spans="2:9" x14ac:dyDescent="0.25">
      <c r="B2669" s="16" t="s">
        <v>2</v>
      </c>
      <c r="C2669" s="17">
        <v>45156</v>
      </c>
      <c r="D2669" s="16">
        <v>1123196</v>
      </c>
      <c r="E2669" s="16">
        <v>1139</v>
      </c>
      <c r="F2669" s="18" t="s">
        <v>66</v>
      </c>
      <c r="G2669" s="16" t="s">
        <v>334</v>
      </c>
      <c r="H2669" s="16" t="s">
        <v>184</v>
      </c>
      <c r="I2669" s="16" t="s">
        <v>61</v>
      </c>
    </row>
    <row r="2670" spans="2:9" x14ac:dyDescent="0.25">
      <c r="B2670" s="16" t="s">
        <v>40</v>
      </c>
      <c r="C2670" s="17">
        <v>45156</v>
      </c>
      <c r="D2670" s="16">
        <v>8578080</v>
      </c>
      <c r="E2670" s="16">
        <v>9389</v>
      </c>
      <c r="F2670" s="18" t="s">
        <v>119</v>
      </c>
      <c r="G2670" s="16" t="s">
        <v>52</v>
      </c>
      <c r="H2670" s="16" t="s">
        <v>184</v>
      </c>
      <c r="I2670" s="16" t="s">
        <v>61</v>
      </c>
    </row>
    <row r="2671" spans="2:9" x14ac:dyDescent="0.25">
      <c r="B2671" s="16" t="s">
        <v>40</v>
      </c>
      <c r="C2671" s="17">
        <v>45156</v>
      </c>
      <c r="D2671" s="16">
        <v>33208</v>
      </c>
      <c r="E2671" s="16">
        <v>11795</v>
      </c>
      <c r="F2671" s="18" t="s">
        <v>423</v>
      </c>
      <c r="G2671" s="16" t="s">
        <v>7</v>
      </c>
      <c r="H2671" s="16" t="s">
        <v>355</v>
      </c>
      <c r="I2671" s="16" t="s">
        <v>61</v>
      </c>
    </row>
    <row r="2672" spans="2:9" x14ac:dyDescent="0.25">
      <c r="B2672" s="16" t="s">
        <v>33</v>
      </c>
      <c r="C2672" s="17">
        <v>45156</v>
      </c>
      <c r="D2672" s="16">
        <v>10515</v>
      </c>
      <c r="E2672" s="16">
        <v>66224</v>
      </c>
      <c r="F2672" s="18" t="s">
        <v>121</v>
      </c>
      <c r="G2672" s="16" t="s">
        <v>334</v>
      </c>
      <c r="H2672" s="16" t="s">
        <v>46</v>
      </c>
      <c r="I2672" s="16" t="s">
        <v>51</v>
      </c>
    </row>
    <row r="2673" spans="2:9" x14ac:dyDescent="0.25">
      <c r="B2673" s="16" t="s">
        <v>33</v>
      </c>
      <c r="C2673" s="17">
        <v>45156</v>
      </c>
      <c r="D2673" s="16">
        <v>10541</v>
      </c>
      <c r="E2673" s="16">
        <v>66224</v>
      </c>
      <c r="F2673" s="18" t="s">
        <v>121</v>
      </c>
      <c r="G2673" s="16" t="s">
        <v>334</v>
      </c>
      <c r="H2673" s="16" t="s">
        <v>46</v>
      </c>
      <c r="I2673" s="16" t="s">
        <v>51</v>
      </c>
    </row>
    <row r="2674" spans="2:9" x14ac:dyDescent="0.25">
      <c r="B2674" s="16" t="s">
        <v>2</v>
      </c>
      <c r="C2674" s="17">
        <v>45156</v>
      </c>
      <c r="D2674" s="16">
        <v>10538</v>
      </c>
      <c r="E2674" s="16">
        <v>66224</v>
      </c>
      <c r="F2674" s="18" t="s">
        <v>121</v>
      </c>
      <c r="G2674" s="16" t="s">
        <v>334</v>
      </c>
      <c r="H2674" s="16" t="s">
        <v>46</v>
      </c>
      <c r="I2674" s="16" t="s">
        <v>61</v>
      </c>
    </row>
    <row r="2675" spans="2:9" x14ac:dyDescent="0.25">
      <c r="B2675" s="16" t="s">
        <v>2</v>
      </c>
      <c r="C2675" s="17">
        <v>45156</v>
      </c>
      <c r="D2675" s="16">
        <v>10519</v>
      </c>
      <c r="E2675" s="16">
        <v>66224</v>
      </c>
      <c r="F2675" s="18" t="s">
        <v>121</v>
      </c>
      <c r="G2675" s="16" t="s">
        <v>334</v>
      </c>
      <c r="H2675" s="16" t="s">
        <v>46</v>
      </c>
      <c r="I2675" s="16" t="s">
        <v>61</v>
      </c>
    </row>
    <row r="2676" spans="2:9" x14ac:dyDescent="0.25">
      <c r="B2676" s="16" t="s">
        <v>210</v>
      </c>
      <c r="C2676" s="17">
        <v>45156</v>
      </c>
      <c r="D2676" s="16">
        <v>3899175</v>
      </c>
      <c r="E2676" s="16">
        <v>3506</v>
      </c>
      <c r="F2676" s="18" t="s">
        <v>77</v>
      </c>
      <c r="G2676" s="16" t="s">
        <v>4</v>
      </c>
      <c r="H2676" s="16" t="s">
        <v>49</v>
      </c>
      <c r="I2676" s="16" t="s">
        <v>17</v>
      </c>
    </row>
    <row r="2677" spans="2:9" x14ac:dyDescent="0.25">
      <c r="B2677" s="16" t="s">
        <v>210</v>
      </c>
      <c r="C2677" s="17">
        <v>45156</v>
      </c>
      <c r="D2677" s="16">
        <v>62152</v>
      </c>
      <c r="E2677" s="16">
        <v>1559</v>
      </c>
      <c r="F2677" s="18" t="s">
        <v>424</v>
      </c>
      <c r="G2677" s="16" t="s">
        <v>52</v>
      </c>
      <c r="H2677" s="16" t="s">
        <v>49</v>
      </c>
      <c r="I2677" s="16" t="s">
        <v>17</v>
      </c>
    </row>
    <row r="2678" spans="2:9" x14ac:dyDescent="0.25">
      <c r="B2678" s="16" t="s">
        <v>2</v>
      </c>
      <c r="C2678" s="17">
        <v>45157</v>
      </c>
      <c r="D2678" s="16">
        <v>1123857</v>
      </c>
      <c r="E2678" s="16">
        <v>1139</v>
      </c>
      <c r="F2678" s="18" t="s">
        <v>66</v>
      </c>
      <c r="G2678" s="16" t="s">
        <v>334</v>
      </c>
      <c r="H2678" s="16" t="s">
        <v>184</v>
      </c>
      <c r="I2678" s="16" t="s">
        <v>370</v>
      </c>
    </row>
    <row r="2679" spans="2:9" x14ac:dyDescent="0.25">
      <c r="B2679" s="16" t="s">
        <v>33</v>
      </c>
      <c r="C2679" s="17">
        <v>45157</v>
      </c>
      <c r="D2679" s="16">
        <v>238698</v>
      </c>
      <c r="E2679" s="16">
        <v>1307</v>
      </c>
      <c r="F2679" s="18" t="s">
        <v>425</v>
      </c>
      <c r="G2679" s="16" t="s">
        <v>7</v>
      </c>
      <c r="H2679" s="16" t="s">
        <v>355</v>
      </c>
      <c r="I2679" s="16" t="s">
        <v>123</v>
      </c>
    </row>
    <row r="2680" spans="2:9" x14ac:dyDescent="0.25">
      <c r="B2680" s="16" t="s">
        <v>22</v>
      </c>
      <c r="C2680" s="17">
        <v>45159</v>
      </c>
      <c r="D2680" s="16">
        <v>8578048</v>
      </c>
      <c r="E2680" s="16">
        <v>9389</v>
      </c>
      <c r="F2680" s="18" t="s">
        <v>119</v>
      </c>
      <c r="G2680" s="16" t="s">
        <v>4</v>
      </c>
      <c r="H2680" s="16" t="s">
        <v>28</v>
      </c>
      <c r="I2680" s="16" t="s">
        <v>73</v>
      </c>
    </row>
    <row r="2681" spans="2:9" x14ac:dyDescent="0.25">
      <c r="B2681" s="16" t="s">
        <v>22</v>
      </c>
      <c r="C2681" s="17">
        <v>45159</v>
      </c>
      <c r="D2681" s="16">
        <v>8578047</v>
      </c>
      <c r="E2681" s="16">
        <v>9389</v>
      </c>
      <c r="F2681" s="18" t="s">
        <v>119</v>
      </c>
      <c r="G2681" s="16" t="s">
        <v>4</v>
      </c>
      <c r="H2681" s="16" t="s">
        <v>28</v>
      </c>
      <c r="I2681" s="16" t="s">
        <v>73</v>
      </c>
    </row>
    <row r="2682" spans="2:9" x14ac:dyDescent="0.25">
      <c r="B2682" s="16" t="s">
        <v>22</v>
      </c>
      <c r="C2682" s="17">
        <v>45159</v>
      </c>
      <c r="D2682" s="16">
        <v>8578053</v>
      </c>
      <c r="E2682" s="16">
        <v>9389</v>
      </c>
      <c r="F2682" s="18" t="s">
        <v>119</v>
      </c>
      <c r="G2682" s="16" t="s">
        <v>4</v>
      </c>
      <c r="H2682" s="16" t="s">
        <v>28</v>
      </c>
      <c r="I2682" s="16" t="s">
        <v>73</v>
      </c>
    </row>
    <row r="2683" spans="2:9" x14ac:dyDescent="0.25">
      <c r="B2683" s="16" t="s">
        <v>22</v>
      </c>
      <c r="C2683" s="17">
        <v>45159</v>
      </c>
      <c r="D2683" s="16">
        <v>8578052</v>
      </c>
      <c r="E2683" s="16">
        <v>9389</v>
      </c>
      <c r="F2683" s="18" t="s">
        <v>119</v>
      </c>
      <c r="G2683" s="16" t="s">
        <v>4</v>
      </c>
      <c r="H2683" s="16" t="s">
        <v>28</v>
      </c>
      <c r="I2683" s="16" t="s">
        <v>73</v>
      </c>
    </row>
    <row r="2684" spans="2:9" x14ac:dyDescent="0.25">
      <c r="B2684" s="16" t="s">
        <v>22</v>
      </c>
      <c r="C2684" s="17">
        <v>45159</v>
      </c>
      <c r="D2684" s="16">
        <v>8578054</v>
      </c>
      <c r="E2684" s="16">
        <v>9389</v>
      </c>
      <c r="F2684" s="18" t="s">
        <v>119</v>
      </c>
      <c r="G2684" s="16" t="s">
        <v>4</v>
      </c>
      <c r="H2684" s="16" t="s">
        <v>28</v>
      </c>
      <c r="I2684" s="16" t="s">
        <v>73</v>
      </c>
    </row>
    <row r="2685" spans="2:9" x14ac:dyDescent="0.25">
      <c r="B2685" s="16" t="s">
        <v>22</v>
      </c>
      <c r="C2685" s="17">
        <v>45159</v>
      </c>
      <c r="D2685" s="16">
        <v>8578055</v>
      </c>
      <c r="E2685" s="16">
        <v>9389</v>
      </c>
      <c r="F2685" s="18" t="s">
        <v>119</v>
      </c>
      <c r="G2685" s="16" t="s">
        <v>4</v>
      </c>
      <c r="H2685" s="16" t="s">
        <v>28</v>
      </c>
      <c r="I2685" s="16" t="s">
        <v>73</v>
      </c>
    </row>
    <row r="2686" spans="2:9" x14ac:dyDescent="0.25">
      <c r="B2686" s="16" t="s">
        <v>22</v>
      </c>
      <c r="C2686" s="17">
        <v>45159</v>
      </c>
      <c r="D2686" s="16">
        <v>8578056</v>
      </c>
      <c r="E2686" s="16">
        <v>9389</v>
      </c>
      <c r="F2686" s="18" t="s">
        <v>119</v>
      </c>
      <c r="G2686" s="16" t="s">
        <v>4</v>
      </c>
      <c r="H2686" s="16" t="s">
        <v>28</v>
      </c>
      <c r="I2686" s="16" t="s">
        <v>73</v>
      </c>
    </row>
    <row r="2687" spans="2:9" x14ac:dyDescent="0.25">
      <c r="B2687" s="16" t="s">
        <v>22</v>
      </c>
      <c r="C2687" s="17">
        <v>45159</v>
      </c>
      <c r="D2687" s="16">
        <v>8578051</v>
      </c>
      <c r="E2687" s="16">
        <v>9389</v>
      </c>
      <c r="F2687" s="18" t="s">
        <v>119</v>
      </c>
      <c r="G2687" s="16" t="s">
        <v>4</v>
      </c>
      <c r="H2687" s="16" t="s">
        <v>28</v>
      </c>
      <c r="I2687" s="16" t="s">
        <v>73</v>
      </c>
    </row>
    <row r="2688" spans="2:9" x14ac:dyDescent="0.25">
      <c r="B2688" s="16" t="s">
        <v>22</v>
      </c>
      <c r="C2688" s="17">
        <v>45159</v>
      </c>
      <c r="D2688" s="16">
        <v>8578050</v>
      </c>
      <c r="E2688" s="16">
        <v>9389</v>
      </c>
      <c r="F2688" s="18" t="s">
        <v>119</v>
      </c>
      <c r="G2688" s="16" t="s">
        <v>4</v>
      </c>
      <c r="H2688" s="16" t="s">
        <v>28</v>
      </c>
      <c r="I2688" s="16" t="s">
        <v>73</v>
      </c>
    </row>
    <row r="2689" spans="2:9" x14ac:dyDescent="0.25">
      <c r="B2689" s="16" t="s">
        <v>22</v>
      </c>
      <c r="C2689" s="17">
        <v>45159</v>
      </c>
      <c r="D2689" s="16">
        <v>8578049</v>
      </c>
      <c r="E2689" s="16">
        <v>9389</v>
      </c>
      <c r="F2689" s="18" t="s">
        <v>119</v>
      </c>
      <c r="G2689" s="16" t="s">
        <v>4</v>
      </c>
      <c r="H2689" s="16" t="s">
        <v>28</v>
      </c>
      <c r="I2689" s="16" t="s">
        <v>73</v>
      </c>
    </row>
    <row r="2690" spans="2:9" x14ac:dyDescent="0.25">
      <c r="B2690" s="16" t="s">
        <v>210</v>
      </c>
      <c r="C2690" s="17">
        <v>45159</v>
      </c>
      <c r="D2690" s="16">
        <v>997642</v>
      </c>
      <c r="E2690" s="16">
        <v>9434</v>
      </c>
      <c r="F2690" s="18" t="s">
        <v>23</v>
      </c>
      <c r="G2690" s="16" t="s">
        <v>334</v>
      </c>
      <c r="H2690" s="16" t="s">
        <v>28</v>
      </c>
      <c r="I2690" s="16" t="s">
        <v>61</v>
      </c>
    </row>
    <row r="2691" spans="2:9" x14ac:dyDescent="0.25">
      <c r="B2691" s="16" t="s">
        <v>22</v>
      </c>
      <c r="C2691" s="17">
        <v>45159</v>
      </c>
      <c r="D2691" s="16">
        <v>147225</v>
      </c>
      <c r="E2691" s="16">
        <v>11216</v>
      </c>
      <c r="F2691" s="18" t="s">
        <v>326</v>
      </c>
      <c r="G2691" s="16" t="s">
        <v>52</v>
      </c>
      <c r="H2691" s="16" t="s">
        <v>36</v>
      </c>
      <c r="I2691" s="16" t="s">
        <v>61</v>
      </c>
    </row>
    <row r="2692" spans="2:9" x14ac:dyDescent="0.25">
      <c r="B2692" s="16" t="s">
        <v>2</v>
      </c>
      <c r="C2692" s="17">
        <v>45159</v>
      </c>
      <c r="D2692" s="16">
        <v>997969</v>
      </c>
      <c r="E2692" s="16">
        <v>9434</v>
      </c>
      <c r="F2692" s="18" t="s">
        <v>23</v>
      </c>
      <c r="G2692" s="16" t="s">
        <v>334</v>
      </c>
      <c r="H2692" s="16" t="s">
        <v>28</v>
      </c>
      <c r="I2692" s="16" t="s">
        <v>61</v>
      </c>
    </row>
    <row r="2693" spans="2:9" x14ac:dyDescent="0.25">
      <c r="B2693" s="16" t="s">
        <v>33</v>
      </c>
      <c r="C2693" s="17">
        <v>45159</v>
      </c>
      <c r="D2693" s="16">
        <v>61316</v>
      </c>
      <c r="E2693" s="16">
        <v>11787</v>
      </c>
      <c r="F2693" s="18" t="s">
        <v>244</v>
      </c>
      <c r="G2693" s="16" t="s">
        <v>334</v>
      </c>
      <c r="H2693" s="16" t="s">
        <v>28</v>
      </c>
      <c r="I2693" s="16" t="s">
        <v>61</v>
      </c>
    </row>
    <row r="2694" spans="2:9" x14ac:dyDescent="0.25">
      <c r="B2694" s="16" t="s">
        <v>33</v>
      </c>
      <c r="C2694" s="17">
        <v>45159</v>
      </c>
      <c r="D2694" s="16">
        <v>61308</v>
      </c>
      <c r="E2694" s="16">
        <v>11787</v>
      </c>
      <c r="F2694" s="18" t="s">
        <v>244</v>
      </c>
      <c r="G2694" s="16" t="s">
        <v>334</v>
      </c>
      <c r="H2694" s="16" t="s">
        <v>28</v>
      </c>
      <c r="I2694" s="16" t="s">
        <v>61</v>
      </c>
    </row>
    <row r="2695" spans="2:9" x14ac:dyDescent="0.25">
      <c r="B2695" s="16" t="s">
        <v>33</v>
      </c>
      <c r="C2695" s="17">
        <v>45159</v>
      </c>
      <c r="D2695" s="16">
        <v>61713</v>
      </c>
      <c r="E2695" s="16">
        <v>11787</v>
      </c>
      <c r="F2695" s="18" t="s">
        <v>244</v>
      </c>
      <c r="G2695" s="16" t="s">
        <v>334</v>
      </c>
      <c r="H2695" s="16" t="s">
        <v>28</v>
      </c>
      <c r="I2695" s="16" t="s">
        <v>61</v>
      </c>
    </row>
    <row r="2696" spans="2:9" x14ac:dyDescent="0.25">
      <c r="B2696" s="16" t="s">
        <v>22</v>
      </c>
      <c r="C2696" s="17">
        <v>45159</v>
      </c>
      <c r="D2696" s="16">
        <v>1962346</v>
      </c>
      <c r="E2696" s="16">
        <v>5240</v>
      </c>
      <c r="F2696" s="18" t="s">
        <v>426</v>
      </c>
      <c r="G2696" s="16" t="s">
        <v>16</v>
      </c>
      <c r="H2696" s="16" t="s">
        <v>28</v>
      </c>
      <c r="I2696" s="16" t="s">
        <v>61</v>
      </c>
    </row>
    <row r="2697" spans="2:9" x14ac:dyDescent="0.25">
      <c r="B2697" s="16" t="s">
        <v>22</v>
      </c>
      <c r="C2697" s="17">
        <v>45159</v>
      </c>
      <c r="D2697" s="16">
        <v>1962348</v>
      </c>
      <c r="E2697" s="16">
        <v>5240</v>
      </c>
      <c r="F2697" s="18" t="s">
        <v>426</v>
      </c>
      <c r="G2697" s="16" t="s">
        <v>16</v>
      </c>
      <c r="H2697" s="16" t="s">
        <v>28</v>
      </c>
      <c r="I2697" s="16" t="s">
        <v>61</v>
      </c>
    </row>
    <row r="2698" spans="2:9" x14ac:dyDescent="0.25">
      <c r="B2698" s="16" t="s">
        <v>22</v>
      </c>
      <c r="C2698" s="17">
        <v>45159</v>
      </c>
      <c r="D2698" s="16">
        <v>1962347</v>
      </c>
      <c r="E2698" s="16">
        <v>5240</v>
      </c>
      <c r="F2698" s="18" t="s">
        <v>426</v>
      </c>
      <c r="G2698" s="16" t="s">
        <v>16</v>
      </c>
      <c r="H2698" s="16" t="s">
        <v>28</v>
      </c>
      <c r="I2698" s="16" t="s">
        <v>61</v>
      </c>
    </row>
    <row r="2699" spans="2:9" x14ac:dyDescent="0.25">
      <c r="B2699" s="16" t="s">
        <v>33</v>
      </c>
      <c r="C2699" s="17">
        <v>45159</v>
      </c>
      <c r="D2699" s="16">
        <v>1441074</v>
      </c>
      <c r="E2699" s="16">
        <v>13235</v>
      </c>
      <c r="F2699" s="18" t="s">
        <v>99</v>
      </c>
      <c r="G2699" s="16" t="s">
        <v>343</v>
      </c>
      <c r="H2699" s="16" t="s">
        <v>184</v>
      </c>
      <c r="I2699" s="16" t="s">
        <v>61</v>
      </c>
    </row>
    <row r="2700" spans="2:9" x14ac:dyDescent="0.25">
      <c r="B2700" s="16" t="s">
        <v>33</v>
      </c>
      <c r="C2700" s="17">
        <v>45159</v>
      </c>
      <c r="D2700" s="16">
        <v>121456</v>
      </c>
      <c r="E2700" s="16">
        <v>11604</v>
      </c>
      <c r="F2700" s="18" t="s">
        <v>63</v>
      </c>
      <c r="G2700" s="16" t="s">
        <v>262</v>
      </c>
      <c r="H2700" s="16" t="s">
        <v>38</v>
      </c>
      <c r="I2700" s="16" t="s">
        <v>17</v>
      </c>
    </row>
    <row r="2701" spans="2:9" x14ac:dyDescent="0.25">
      <c r="B2701" s="16" t="s">
        <v>40</v>
      </c>
      <c r="C2701" s="17">
        <v>45159</v>
      </c>
      <c r="D2701" s="16">
        <v>61750</v>
      </c>
      <c r="E2701" s="16">
        <v>11787</v>
      </c>
      <c r="F2701" s="18" t="s">
        <v>244</v>
      </c>
      <c r="G2701" s="16" t="s">
        <v>334</v>
      </c>
      <c r="H2701" s="16" t="s">
        <v>28</v>
      </c>
      <c r="I2701" s="16" t="s">
        <v>61</v>
      </c>
    </row>
    <row r="2702" spans="2:9" x14ac:dyDescent="0.25">
      <c r="B2702" s="16" t="s">
        <v>40</v>
      </c>
      <c r="C2702" s="17">
        <v>45159</v>
      </c>
      <c r="D2702" s="16">
        <v>61749</v>
      </c>
      <c r="E2702" s="16">
        <v>11787</v>
      </c>
      <c r="F2702" s="18" t="s">
        <v>244</v>
      </c>
      <c r="G2702" s="16" t="s">
        <v>334</v>
      </c>
      <c r="H2702" s="16" t="s">
        <v>28</v>
      </c>
      <c r="I2702" s="16" t="s">
        <v>61</v>
      </c>
    </row>
    <row r="2703" spans="2:9" x14ac:dyDescent="0.25">
      <c r="B2703" s="16" t="s">
        <v>210</v>
      </c>
      <c r="C2703" s="17">
        <v>45159</v>
      </c>
      <c r="D2703" s="16">
        <v>196472</v>
      </c>
      <c r="E2703" s="16">
        <v>10440</v>
      </c>
      <c r="F2703" s="18" t="s">
        <v>37</v>
      </c>
      <c r="G2703" s="16" t="s">
        <v>342</v>
      </c>
      <c r="H2703" s="16" t="s">
        <v>36</v>
      </c>
      <c r="I2703" s="16" t="s">
        <v>61</v>
      </c>
    </row>
    <row r="2704" spans="2:9" x14ac:dyDescent="0.25">
      <c r="B2704" s="16" t="s">
        <v>40</v>
      </c>
      <c r="C2704" s="17">
        <v>45159</v>
      </c>
      <c r="D2704" s="16">
        <v>12145</v>
      </c>
      <c r="E2704" s="16">
        <v>11604</v>
      </c>
      <c r="F2704" s="18" t="s">
        <v>63</v>
      </c>
      <c r="G2704" s="16" t="s">
        <v>262</v>
      </c>
      <c r="H2704" s="16" t="s">
        <v>38</v>
      </c>
      <c r="I2704" s="16" t="s">
        <v>17</v>
      </c>
    </row>
    <row r="2705" spans="2:9" x14ac:dyDescent="0.25">
      <c r="B2705" s="16" t="s">
        <v>210</v>
      </c>
      <c r="C2705" s="17">
        <v>45159</v>
      </c>
      <c r="D2705" s="16">
        <v>1123896</v>
      </c>
      <c r="E2705" s="16">
        <v>1139</v>
      </c>
      <c r="F2705" s="18" t="s">
        <v>66</v>
      </c>
      <c r="G2705" s="16" t="s">
        <v>334</v>
      </c>
      <c r="H2705" s="16" t="s">
        <v>137</v>
      </c>
      <c r="I2705" s="16" t="s">
        <v>17</v>
      </c>
    </row>
    <row r="2706" spans="2:9" x14ac:dyDescent="0.25">
      <c r="B2706" s="16" t="s">
        <v>2</v>
      </c>
      <c r="C2706" s="17">
        <v>45159</v>
      </c>
      <c r="D2706" s="16">
        <v>1441080</v>
      </c>
      <c r="E2706" s="16">
        <v>13235</v>
      </c>
      <c r="F2706" s="18" t="s">
        <v>99</v>
      </c>
      <c r="G2706" s="16" t="s">
        <v>343</v>
      </c>
      <c r="H2706" s="16" t="s">
        <v>36</v>
      </c>
      <c r="I2706" s="16" t="s">
        <v>61</v>
      </c>
    </row>
    <row r="2707" spans="2:9" x14ac:dyDescent="0.25">
      <c r="B2707" s="16" t="s">
        <v>26</v>
      </c>
      <c r="C2707" s="17">
        <v>45159</v>
      </c>
      <c r="D2707" s="16">
        <v>223780</v>
      </c>
      <c r="E2707" s="16">
        <v>9486</v>
      </c>
      <c r="F2707" s="18" t="s">
        <v>179</v>
      </c>
      <c r="G2707" s="16" t="s">
        <v>5</v>
      </c>
      <c r="H2707" s="16" t="s">
        <v>220</v>
      </c>
      <c r="I2707" s="16" t="s">
        <v>17</v>
      </c>
    </row>
    <row r="2708" spans="2:9" x14ac:dyDescent="0.25">
      <c r="B2708" s="16" t="s">
        <v>26</v>
      </c>
      <c r="C2708" s="17">
        <v>45159</v>
      </c>
      <c r="D2708" s="16">
        <v>1441067</v>
      </c>
      <c r="E2708" s="16">
        <v>13235</v>
      </c>
      <c r="F2708" s="18" t="s">
        <v>99</v>
      </c>
      <c r="G2708" s="16" t="s">
        <v>343</v>
      </c>
      <c r="H2708" s="16" t="s">
        <v>36</v>
      </c>
      <c r="I2708" s="16" t="s">
        <v>61</v>
      </c>
    </row>
    <row r="2709" spans="2:9" x14ac:dyDescent="0.25">
      <c r="B2709" s="16" t="s">
        <v>26</v>
      </c>
      <c r="C2709" s="17">
        <v>45159</v>
      </c>
      <c r="D2709" s="16">
        <v>1123898</v>
      </c>
      <c r="E2709" s="16">
        <v>1139</v>
      </c>
      <c r="F2709" s="18" t="s">
        <v>66</v>
      </c>
      <c r="G2709" s="16" t="s">
        <v>334</v>
      </c>
      <c r="H2709" s="16" t="s">
        <v>71</v>
      </c>
      <c r="I2709" s="16" t="s">
        <v>17</v>
      </c>
    </row>
    <row r="2710" spans="2:9" x14ac:dyDescent="0.25">
      <c r="B2710" s="16" t="s">
        <v>26</v>
      </c>
      <c r="C2710" s="17">
        <v>45159</v>
      </c>
      <c r="D2710" s="16">
        <v>61752</v>
      </c>
      <c r="E2710" s="16">
        <v>11787</v>
      </c>
      <c r="F2710" s="18" t="s">
        <v>244</v>
      </c>
      <c r="G2710" s="16" t="s">
        <v>334</v>
      </c>
      <c r="H2710" s="16" t="s">
        <v>71</v>
      </c>
      <c r="I2710" s="16" t="s">
        <v>17</v>
      </c>
    </row>
    <row r="2711" spans="2:9" x14ac:dyDescent="0.25">
      <c r="B2711" s="16" t="s">
        <v>22</v>
      </c>
      <c r="C2711" s="17">
        <v>45160</v>
      </c>
      <c r="D2711" s="16">
        <v>67357</v>
      </c>
      <c r="E2711" s="16">
        <v>62562</v>
      </c>
      <c r="F2711" s="18" t="s">
        <v>283</v>
      </c>
      <c r="G2711" s="16" t="s">
        <v>334</v>
      </c>
      <c r="H2711" s="16" t="s">
        <v>28</v>
      </c>
      <c r="I2711" s="16" t="s">
        <v>73</v>
      </c>
    </row>
    <row r="2712" spans="2:9" x14ac:dyDescent="0.25">
      <c r="B2712" s="16" t="s">
        <v>210</v>
      </c>
      <c r="C2712" s="17">
        <v>45160</v>
      </c>
      <c r="D2712" s="16">
        <v>67353</v>
      </c>
      <c r="E2712" s="16">
        <v>62562</v>
      </c>
      <c r="F2712" s="18" t="s">
        <v>283</v>
      </c>
      <c r="G2712" s="16" t="s">
        <v>334</v>
      </c>
      <c r="H2712" s="16" t="s">
        <v>28</v>
      </c>
      <c r="I2712" s="16" t="s">
        <v>73</v>
      </c>
    </row>
    <row r="2713" spans="2:9" x14ac:dyDescent="0.25">
      <c r="B2713" s="16" t="s">
        <v>2</v>
      </c>
      <c r="C2713" s="17">
        <v>45160</v>
      </c>
      <c r="D2713" s="16">
        <v>3899274</v>
      </c>
      <c r="E2713" s="16">
        <v>3506</v>
      </c>
      <c r="F2713" s="18" t="s">
        <v>77</v>
      </c>
      <c r="G2713" s="16" t="s">
        <v>4</v>
      </c>
      <c r="H2713" s="16" t="s">
        <v>184</v>
      </c>
      <c r="I2713" s="16" t="s">
        <v>61</v>
      </c>
    </row>
    <row r="2714" spans="2:9" x14ac:dyDescent="0.25">
      <c r="B2714" s="16" t="s">
        <v>210</v>
      </c>
      <c r="C2714" s="17">
        <v>45160</v>
      </c>
      <c r="D2714" s="16">
        <v>243558</v>
      </c>
      <c r="E2714" s="16">
        <v>1175</v>
      </c>
      <c r="F2714" s="18" t="s">
        <v>81</v>
      </c>
      <c r="G2714" s="16" t="s">
        <v>7</v>
      </c>
      <c r="H2714" s="16" t="s">
        <v>38</v>
      </c>
      <c r="I2714" s="16" t="s">
        <v>17</v>
      </c>
    </row>
    <row r="2715" spans="2:9" x14ac:dyDescent="0.25">
      <c r="B2715" s="16" t="s">
        <v>33</v>
      </c>
      <c r="C2715" s="17">
        <v>45160</v>
      </c>
      <c r="D2715" s="16">
        <v>191251</v>
      </c>
      <c r="E2715" s="16">
        <v>9016</v>
      </c>
      <c r="F2715" s="18" t="s">
        <v>111</v>
      </c>
      <c r="G2715" s="16" t="s">
        <v>7</v>
      </c>
      <c r="H2715" s="16" t="s">
        <v>41</v>
      </c>
      <c r="I2715" s="16" t="s">
        <v>17</v>
      </c>
    </row>
    <row r="2716" spans="2:9" x14ac:dyDescent="0.25">
      <c r="B2716" s="16" t="s">
        <v>22</v>
      </c>
      <c r="C2716" s="17">
        <v>45160</v>
      </c>
      <c r="D2716" s="16">
        <v>87037</v>
      </c>
      <c r="E2716" s="16">
        <v>64460</v>
      </c>
      <c r="F2716" s="18" t="s">
        <v>139</v>
      </c>
      <c r="G2716" s="16" t="s">
        <v>6</v>
      </c>
      <c r="H2716" s="16" t="s">
        <v>28</v>
      </c>
      <c r="I2716" s="16" t="s">
        <v>258</v>
      </c>
    </row>
    <row r="2717" spans="2:9" x14ac:dyDescent="0.25">
      <c r="B2717" s="16" t="s">
        <v>33</v>
      </c>
      <c r="C2717" s="17">
        <v>45160</v>
      </c>
      <c r="D2717" s="16">
        <v>243568</v>
      </c>
      <c r="E2717" s="16">
        <v>1175</v>
      </c>
      <c r="F2717" s="18" t="s">
        <v>81</v>
      </c>
      <c r="G2717" s="16" t="s">
        <v>7</v>
      </c>
      <c r="H2717" s="16" t="s">
        <v>38</v>
      </c>
      <c r="I2717" s="16" t="s">
        <v>17</v>
      </c>
    </row>
    <row r="2718" spans="2:9" x14ac:dyDescent="0.25">
      <c r="B2718" s="16" t="s">
        <v>22</v>
      </c>
      <c r="C2718" s="17">
        <v>45160</v>
      </c>
      <c r="D2718" s="16">
        <v>8578054</v>
      </c>
      <c r="E2718" s="16">
        <v>9389</v>
      </c>
      <c r="F2718" s="18" t="s">
        <v>119</v>
      </c>
      <c r="G2718" s="16" t="s">
        <v>4</v>
      </c>
      <c r="H2718" s="16" t="s">
        <v>49</v>
      </c>
      <c r="I2718" s="16" t="s">
        <v>17</v>
      </c>
    </row>
    <row r="2719" spans="2:9" x14ac:dyDescent="0.25">
      <c r="B2719" s="16" t="s">
        <v>26</v>
      </c>
      <c r="C2719" s="17">
        <v>45160</v>
      </c>
      <c r="D2719" s="16">
        <v>2879216</v>
      </c>
      <c r="E2719" s="16">
        <v>9468</v>
      </c>
      <c r="F2719" s="18" t="s">
        <v>145</v>
      </c>
      <c r="G2719" s="16" t="s">
        <v>341</v>
      </c>
      <c r="H2719" s="16" t="s">
        <v>417</v>
      </c>
      <c r="I2719" s="16" t="s">
        <v>61</v>
      </c>
    </row>
    <row r="2720" spans="2:9" x14ac:dyDescent="0.25">
      <c r="B2720" s="16" t="s">
        <v>40</v>
      </c>
      <c r="C2720" s="17">
        <v>45160</v>
      </c>
      <c r="D2720" s="16">
        <v>57253</v>
      </c>
      <c r="E2720" s="16">
        <v>10656</v>
      </c>
      <c r="F2720" s="18" t="s">
        <v>427</v>
      </c>
      <c r="G2720" s="16" t="s">
        <v>16</v>
      </c>
      <c r="H2720" s="16" t="s">
        <v>28</v>
      </c>
      <c r="I2720" s="16" t="s">
        <v>73</v>
      </c>
    </row>
    <row r="2721" spans="2:9" x14ac:dyDescent="0.25">
      <c r="B2721" s="16" t="s">
        <v>33</v>
      </c>
      <c r="C2721" s="17">
        <v>45160</v>
      </c>
      <c r="D2721" s="16">
        <v>377640</v>
      </c>
      <c r="E2721" s="16">
        <v>1114</v>
      </c>
      <c r="F2721" s="18" t="s">
        <v>397</v>
      </c>
      <c r="G2721" s="16" t="s">
        <v>52</v>
      </c>
      <c r="H2721" s="16" t="s">
        <v>46</v>
      </c>
      <c r="I2721" s="16" t="s">
        <v>51</v>
      </c>
    </row>
    <row r="2722" spans="2:9" x14ac:dyDescent="0.25">
      <c r="B2722" s="16" t="s">
        <v>33</v>
      </c>
      <c r="C2722" s="17">
        <v>45160</v>
      </c>
      <c r="D2722" s="16">
        <v>458606</v>
      </c>
      <c r="E2722" s="16">
        <v>13168</v>
      </c>
      <c r="F2722" s="18" t="s">
        <v>44</v>
      </c>
      <c r="G2722" s="16" t="s">
        <v>5</v>
      </c>
      <c r="H2722" s="16" t="s">
        <v>46</v>
      </c>
      <c r="I2722" s="16" t="s">
        <v>51</v>
      </c>
    </row>
    <row r="2723" spans="2:9" x14ac:dyDescent="0.25">
      <c r="B2723" s="16" t="s">
        <v>2</v>
      </c>
      <c r="C2723" s="17">
        <v>45160</v>
      </c>
      <c r="D2723" s="16">
        <v>243561</v>
      </c>
      <c r="E2723" s="16">
        <v>1175</v>
      </c>
      <c r="F2723" s="18" t="s">
        <v>81</v>
      </c>
      <c r="G2723" s="16" t="s">
        <v>7</v>
      </c>
      <c r="H2723" s="16" t="s">
        <v>38</v>
      </c>
      <c r="I2723" s="16" t="s">
        <v>17</v>
      </c>
    </row>
    <row r="2724" spans="2:9" x14ac:dyDescent="0.25">
      <c r="B2724" s="16" t="s">
        <v>2</v>
      </c>
      <c r="C2724" s="17">
        <v>45160</v>
      </c>
      <c r="D2724" s="16">
        <v>243650</v>
      </c>
      <c r="E2724" s="16">
        <v>1175</v>
      </c>
      <c r="F2724" s="18" t="s">
        <v>81</v>
      </c>
      <c r="G2724" s="16" t="s">
        <v>7</v>
      </c>
      <c r="H2724" s="16" t="s">
        <v>114</v>
      </c>
      <c r="I2724" s="16" t="s">
        <v>17</v>
      </c>
    </row>
    <row r="2725" spans="2:9" x14ac:dyDescent="0.25">
      <c r="B2725" s="16" t="s">
        <v>2</v>
      </c>
      <c r="C2725" s="17">
        <v>45160</v>
      </c>
      <c r="D2725" s="16">
        <v>50187</v>
      </c>
      <c r="E2725" s="16">
        <v>10348</v>
      </c>
      <c r="F2725" s="18" t="s">
        <v>76</v>
      </c>
      <c r="G2725" s="16" t="s">
        <v>7</v>
      </c>
      <c r="H2725" s="16" t="s">
        <v>41</v>
      </c>
      <c r="I2725" s="16" t="s">
        <v>17</v>
      </c>
    </row>
    <row r="2726" spans="2:9" x14ac:dyDescent="0.25">
      <c r="B2726" s="16" t="s">
        <v>210</v>
      </c>
      <c r="C2726" s="17">
        <v>45161</v>
      </c>
      <c r="D2726" s="16">
        <v>240456</v>
      </c>
      <c r="E2726" s="16">
        <v>12029</v>
      </c>
      <c r="F2726" s="18" t="s">
        <v>223</v>
      </c>
      <c r="G2726" s="16" t="s">
        <v>52</v>
      </c>
      <c r="H2726" s="16" t="s">
        <v>28</v>
      </c>
      <c r="I2726" s="16" t="s">
        <v>61</v>
      </c>
    </row>
    <row r="2727" spans="2:9" x14ac:dyDescent="0.25">
      <c r="B2727" s="16" t="s">
        <v>33</v>
      </c>
      <c r="C2727" s="17">
        <v>45161</v>
      </c>
      <c r="D2727" s="16">
        <v>11139</v>
      </c>
      <c r="E2727" s="16">
        <v>10263</v>
      </c>
      <c r="F2727" s="18" t="s">
        <v>34</v>
      </c>
      <c r="G2727" s="16" t="s">
        <v>16</v>
      </c>
      <c r="H2727" s="16" t="s">
        <v>184</v>
      </c>
      <c r="I2727" s="16" t="s">
        <v>61</v>
      </c>
    </row>
    <row r="2728" spans="2:9" x14ac:dyDescent="0.25">
      <c r="B2728" s="16" t="s">
        <v>33</v>
      </c>
      <c r="C2728" s="17">
        <v>45161</v>
      </c>
      <c r="D2728" s="16">
        <v>11144</v>
      </c>
      <c r="E2728" s="16">
        <v>10263</v>
      </c>
      <c r="F2728" s="18" t="s">
        <v>34</v>
      </c>
      <c r="G2728" s="16" t="s">
        <v>16</v>
      </c>
      <c r="H2728" s="16" t="s">
        <v>184</v>
      </c>
      <c r="I2728" s="16" t="s">
        <v>61</v>
      </c>
    </row>
    <row r="2729" spans="2:9" x14ac:dyDescent="0.25">
      <c r="B2729" s="16" t="s">
        <v>33</v>
      </c>
      <c r="C2729" s="17">
        <v>45161</v>
      </c>
      <c r="D2729" s="16">
        <v>11165</v>
      </c>
      <c r="E2729" s="16">
        <v>10263</v>
      </c>
      <c r="F2729" s="18" t="s">
        <v>34</v>
      </c>
      <c r="G2729" s="16" t="s">
        <v>16</v>
      </c>
      <c r="H2729" s="16" t="s">
        <v>36</v>
      </c>
      <c r="I2729" s="16" t="s">
        <v>61</v>
      </c>
    </row>
    <row r="2730" spans="2:9" x14ac:dyDescent="0.25">
      <c r="B2730" s="16" t="s">
        <v>22</v>
      </c>
      <c r="C2730" s="17">
        <v>45161</v>
      </c>
      <c r="D2730" s="16">
        <v>13679</v>
      </c>
      <c r="E2730" s="16">
        <v>66783</v>
      </c>
      <c r="F2730" s="18" t="s">
        <v>411</v>
      </c>
      <c r="G2730" s="16" t="s">
        <v>334</v>
      </c>
      <c r="H2730" s="16" t="s">
        <v>114</v>
      </c>
      <c r="I2730" s="16" t="s">
        <v>17</v>
      </c>
    </row>
    <row r="2731" spans="2:9" x14ac:dyDescent="0.25">
      <c r="B2731" s="16" t="s">
        <v>2</v>
      </c>
      <c r="C2731" s="17">
        <v>45161</v>
      </c>
      <c r="D2731" s="16">
        <v>776919</v>
      </c>
      <c r="E2731" s="16">
        <v>1032</v>
      </c>
      <c r="F2731" s="18" t="s">
        <v>225</v>
      </c>
      <c r="G2731" s="16" t="s">
        <v>343</v>
      </c>
      <c r="H2731" s="16" t="s">
        <v>184</v>
      </c>
      <c r="I2731" s="16" t="s">
        <v>61</v>
      </c>
    </row>
    <row r="2732" spans="2:9" x14ac:dyDescent="0.25">
      <c r="B2732" s="16" t="s">
        <v>26</v>
      </c>
      <c r="C2732" s="17">
        <v>45161</v>
      </c>
      <c r="D2732" s="16">
        <v>3904021</v>
      </c>
      <c r="E2732" s="16">
        <v>3506</v>
      </c>
      <c r="F2732" s="18" t="s">
        <v>77</v>
      </c>
      <c r="G2732" s="16" t="s">
        <v>4</v>
      </c>
      <c r="H2732" s="16" t="s">
        <v>184</v>
      </c>
      <c r="I2732" s="16" t="s">
        <v>61</v>
      </c>
    </row>
    <row r="2733" spans="2:9" x14ac:dyDescent="0.25">
      <c r="B2733" s="16" t="s">
        <v>2</v>
      </c>
      <c r="C2733" s="17">
        <v>45161</v>
      </c>
      <c r="D2733" s="16">
        <v>373</v>
      </c>
      <c r="E2733" s="16">
        <v>70861</v>
      </c>
      <c r="F2733" s="18" t="s">
        <v>20</v>
      </c>
      <c r="G2733" s="16" t="s">
        <v>16</v>
      </c>
      <c r="H2733" s="16" t="s">
        <v>28</v>
      </c>
      <c r="I2733" s="16" t="s">
        <v>159</v>
      </c>
    </row>
    <row r="2734" spans="2:9" x14ac:dyDescent="0.25">
      <c r="B2734" s="16" t="s">
        <v>210</v>
      </c>
      <c r="C2734" s="17">
        <v>45161</v>
      </c>
      <c r="D2734" s="16">
        <v>14849</v>
      </c>
      <c r="E2734" s="16">
        <v>70826</v>
      </c>
      <c r="F2734" s="18" t="s">
        <v>20</v>
      </c>
      <c r="G2734" s="16" t="s">
        <v>16</v>
      </c>
      <c r="H2734" s="16" t="s">
        <v>36</v>
      </c>
      <c r="I2734" s="16" t="s">
        <v>61</v>
      </c>
    </row>
    <row r="2735" spans="2:9" x14ac:dyDescent="0.25">
      <c r="B2735" s="16" t="s">
        <v>210</v>
      </c>
      <c r="C2735" s="17">
        <v>45161</v>
      </c>
      <c r="D2735" s="16">
        <v>101671</v>
      </c>
      <c r="E2735" s="16">
        <v>12522</v>
      </c>
      <c r="F2735" s="18" t="s">
        <v>390</v>
      </c>
      <c r="G2735" s="16" t="s">
        <v>4</v>
      </c>
      <c r="H2735" s="16" t="s">
        <v>75</v>
      </c>
      <c r="I2735" s="16" t="s">
        <v>42</v>
      </c>
    </row>
    <row r="2736" spans="2:9" x14ac:dyDescent="0.25">
      <c r="B2736" s="16" t="s">
        <v>210</v>
      </c>
      <c r="C2736" s="17">
        <v>45161</v>
      </c>
      <c r="D2736" s="16">
        <v>3903853</v>
      </c>
      <c r="E2736" s="16">
        <v>3506</v>
      </c>
      <c r="F2736" s="18" t="s">
        <v>77</v>
      </c>
      <c r="G2736" s="16" t="s">
        <v>4</v>
      </c>
      <c r="H2736" s="16" t="s">
        <v>184</v>
      </c>
      <c r="I2736" s="16" t="s">
        <v>61</v>
      </c>
    </row>
    <row r="2737" spans="2:9" x14ac:dyDescent="0.25">
      <c r="B2737" s="16" t="s">
        <v>2</v>
      </c>
      <c r="C2737" s="17">
        <v>45161</v>
      </c>
      <c r="D2737" s="16">
        <v>10774</v>
      </c>
      <c r="E2737" s="16">
        <v>10263</v>
      </c>
      <c r="F2737" s="18" t="s">
        <v>34</v>
      </c>
      <c r="G2737" s="16" t="s">
        <v>16</v>
      </c>
      <c r="H2737" s="16" t="s">
        <v>36</v>
      </c>
      <c r="I2737" s="16" t="s">
        <v>61</v>
      </c>
    </row>
    <row r="2738" spans="2:9" x14ac:dyDescent="0.25">
      <c r="B2738" s="16" t="s">
        <v>2</v>
      </c>
      <c r="C2738" s="17">
        <v>45161</v>
      </c>
      <c r="D2738" s="16">
        <v>10744</v>
      </c>
      <c r="E2738" s="16">
        <v>10263</v>
      </c>
      <c r="F2738" s="18" t="s">
        <v>34</v>
      </c>
      <c r="G2738" s="16" t="s">
        <v>16</v>
      </c>
      <c r="H2738" s="16" t="s">
        <v>36</v>
      </c>
      <c r="I2738" s="16" t="s">
        <v>61</v>
      </c>
    </row>
    <row r="2739" spans="2:9" x14ac:dyDescent="0.25">
      <c r="B2739" s="16" t="s">
        <v>2</v>
      </c>
      <c r="C2739" s="17">
        <v>45161</v>
      </c>
      <c r="D2739" s="16">
        <v>10740</v>
      </c>
      <c r="E2739" s="16">
        <v>10263</v>
      </c>
      <c r="F2739" s="18" t="s">
        <v>34</v>
      </c>
      <c r="G2739" s="16" t="s">
        <v>16</v>
      </c>
      <c r="H2739" s="16" t="s">
        <v>36</v>
      </c>
      <c r="I2739" s="16" t="s">
        <v>61</v>
      </c>
    </row>
    <row r="2740" spans="2:9" x14ac:dyDescent="0.25">
      <c r="B2740" s="16" t="s">
        <v>2</v>
      </c>
      <c r="C2740" s="17">
        <v>45161</v>
      </c>
      <c r="D2740" s="16">
        <v>10763</v>
      </c>
      <c r="E2740" s="16">
        <v>10263</v>
      </c>
      <c r="F2740" s="18" t="s">
        <v>34</v>
      </c>
      <c r="G2740" s="16" t="s">
        <v>16</v>
      </c>
      <c r="H2740" s="16" t="s">
        <v>36</v>
      </c>
      <c r="I2740" s="16" t="s">
        <v>61</v>
      </c>
    </row>
    <row r="2741" spans="2:9" x14ac:dyDescent="0.25">
      <c r="B2741" s="16" t="s">
        <v>2</v>
      </c>
      <c r="C2741" s="17">
        <v>45161</v>
      </c>
      <c r="D2741" s="16">
        <v>191527</v>
      </c>
      <c r="E2741" s="16">
        <v>9016</v>
      </c>
      <c r="F2741" s="18" t="s">
        <v>111</v>
      </c>
      <c r="G2741" s="16" t="s">
        <v>7</v>
      </c>
      <c r="H2741" s="16" t="s">
        <v>41</v>
      </c>
      <c r="I2741" s="16" t="s">
        <v>17</v>
      </c>
    </row>
    <row r="2742" spans="2:9" x14ac:dyDescent="0.25">
      <c r="B2742" s="16" t="s">
        <v>2</v>
      </c>
      <c r="C2742" s="17">
        <v>45161</v>
      </c>
      <c r="D2742" s="16">
        <v>270084</v>
      </c>
      <c r="E2742" s="16">
        <v>12899</v>
      </c>
      <c r="F2742" s="18" t="s">
        <v>204</v>
      </c>
      <c r="G2742" s="16" t="s">
        <v>334</v>
      </c>
      <c r="H2742" s="16" t="s">
        <v>36</v>
      </c>
      <c r="I2742" s="16" t="s">
        <v>61</v>
      </c>
    </row>
    <row r="2743" spans="2:9" x14ac:dyDescent="0.25">
      <c r="B2743" s="16" t="s">
        <v>22</v>
      </c>
      <c r="C2743" s="17">
        <v>45161</v>
      </c>
      <c r="D2743" s="16">
        <v>8787216</v>
      </c>
      <c r="E2743" s="16">
        <v>9389</v>
      </c>
      <c r="F2743" s="18" t="s">
        <v>119</v>
      </c>
      <c r="G2743" s="16" t="s">
        <v>52</v>
      </c>
      <c r="H2743" s="16" t="s">
        <v>49</v>
      </c>
      <c r="I2743" s="16" t="s">
        <v>17</v>
      </c>
    </row>
    <row r="2744" spans="2:9" x14ac:dyDescent="0.25">
      <c r="B2744" s="16" t="s">
        <v>40</v>
      </c>
      <c r="C2744" s="17">
        <v>45161</v>
      </c>
      <c r="D2744" s="16">
        <v>10954</v>
      </c>
      <c r="E2744" s="16">
        <v>10263</v>
      </c>
      <c r="F2744" s="18" t="s">
        <v>34</v>
      </c>
      <c r="G2744" s="16" t="s">
        <v>16</v>
      </c>
      <c r="H2744" s="16" t="s">
        <v>36</v>
      </c>
      <c r="I2744" s="16" t="s">
        <v>61</v>
      </c>
    </row>
    <row r="2745" spans="2:9" x14ac:dyDescent="0.25">
      <c r="B2745" s="16" t="s">
        <v>40</v>
      </c>
      <c r="C2745" s="17">
        <v>45161</v>
      </c>
      <c r="D2745" s="16">
        <v>10971</v>
      </c>
      <c r="E2745" s="16">
        <v>10263</v>
      </c>
      <c r="F2745" s="18" t="s">
        <v>34</v>
      </c>
      <c r="G2745" s="16" t="s">
        <v>16</v>
      </c>
      <c r="H2745" s="16" t="s">
        <v>36</v>
      </c>
      <c r="I2745" s="16" t="s">
        <v>61</v>
      </c>
    </row>
    <row r="2746" spans="2:9" x14ac:dyDescent="0.25">
      <c r="B2746" s="16" t="s">
        <v>40</v>
      </c>
      <c r="C2746" s="17">
        <v>45161</v>
      </c>
      <c r="D2746" s="16">
        <v>10931</v>
      </c>
      <c r="E2746" s="16">
        <v>10263</v>
      </c>
      <c r="F2746" s="18" t="s">
        <v>34</v>
      </c>
      <c r="G2746" s="16" t="s">
        <v>16</v>
      </c>
      <c r="H2746" s="16" t="s">
        <v>36</v>
      </c>
      <c r="I2746" s="16" t="s">
        <v>61</v>
      </c>
    </row>
    <row r="2747" spans="2:9" x14ac:dyDescent="0.25">
      <c r="B2747" s="16" t="s">
        <v>40</v>
      </c>
      <c r="C2747" s="17">
        <v>45161</v>
      </c>
      <c r="D2747" s="16">
        <v>855948</v>
      </c>
      <c r="E2747" s="16">
        <v>3438</v>
      </c>
      <c r="F2747" s="18" t="s">
        <v>200</v>
      </c>
      <c r="G2747" s="16" t="s">
        <v>343</v>
      </c>
      <c r="H2747" s="16" t="s">
        <v>417</v>
      </c>
      <c r="I2747" s="16" t="s">
        <v>61</v>
      </c>
    </row>
    <row r="2748" spans="2:9" x14ac:dyDescent="0.25">
      <c r="B2748" s="16" t="s">
        <v>210</v>
      </c>
      <c r="C2748" s="17">
        <v>45162</v>
      </c>
      <c r="D2748" s="16">
        <v>529556</v>
      </c>
      <c r="E2748" s="16">
        <v>12012</v>
      </c>
      <c r="F2748" s="18" t="s">
        <v>328</v>
      </c>
      <c r="G2748" s="16" t="s">
        <v>342</v>
      </c>
      <c r="H2748" s="16" t="s">
        <v>36</v>
      </c>
      <c r="I2748" s="16" t="s">
        <v>61</v>
      </c>
    </row>
    <row r="2749" spans="2:9" x14ac:dyDescent="0.25">
      <c r="B2749" s="16" t="s">
        <v>210</v>
      </c>
      <c r="C2749" s="17">
        <v>45162</v>
      </c>
      <c r="D2749" s="16">
        <v>12009</v>
      </c>
      <c r="E2749" s="16">
        <v>10263</v>
      </c>
      <c r="F2749" s="18" t="s">
        <v>34</v>
      </c>
      <c r="G2749" s="16" t="s">
        <v>16</v>
      </c>
      <c r="H2749" s="16" t="s">
        <v>36</v>
      </c>
      <c r="I2749" s="16" t="s">
        <v>61</v>
      </c>
    </row>
    <row r="2750" spans="2:9" x14ac:dyDescent="0.25">
      <c r="B2750" s="16" t="s">
        <v>210</v>
      </c>
      <c r="C2750" s="17">
        <v>45162</v>
      </c>
      <c r="D2750" s="16">
        <v>12015</v>
      </c>
      <c r="E2750" s="16">
        <v>10263</v>
      </c>
      <c r="F2750" s="18" t="s">
        <v>34</v>
      </c>
      <c r="G2750" s="16" t="s">
        <v>16</v>
      </c>
      <c r="H2750" s="16" t="s">
        <v>36</v>
      </c>
      <c r="I2750" s="16" t="s">
        <v>61</v>
      </c>
    </row>
    <row r="2751" spans="2:9" x14ac:dyDescent="0.25">
      <c r="B2751" s="16" t="s">
        <v>22</v>
      </c>
      <c r="C2751" s="17">
        <v>45162</v>
      </c>
      <c r="D2751" s="16">
        <v>183725</v>
      </c>
      <c r="E2751" s="16">
        <v>9599</v>
      </c>
      <c r="F2751" s="18" t="s">
        <v>43</v>
      </c>
      <c r="G2751" s="16" t="s">
        <v>334</v>
      </c>
      <c r="H2751" s="16" t="s">
        <v>36</v>
      </c>
      <c r="I2751" s="16" t="s">
        <v>61</v>
      </c>
    </row>
    <row r="2752" spans="2:9" x14ac:dyDescent="0.25">
      <c r="B2752" s="16" t="s">
        <v>33</v>
      </c>
      <c r="C2752" s="17">
        <v>45162</v>
      </c>
      <c r="D2752" s="16">
        <v>121606</v>
      </c>
      <c r="E2752" s="16">
        <v>11604</v>
      </c>
      <c r="F2752" s="18" t="s">
        <v>63</v>
      </c>
      <c r="G2752" s="16" t="s">
        <v>262</v>
      </c>
      <c r="H2752" s="16" t="s">
        <v>38</v>
      </c>
      <c r="I2752" s="16" t="s">
        <v>17</v>
      </c>
    </row>
    <row r="2753" spans="2:9" x14ac:dyDescent="0.25">
      <c r="B2753" s="16" t="s">
        <v>33</v>
      </c>
      <c r="C2753" s="17">
        <v>45162</v>
      </c>
      <c r="D2753" s="16">
        <v>5189277</v>
      </c>
      <c r="E2753" s="16">
        <v>15102</v>
      </c>
      <c r="F2753" s="18" t="s">
        <v>160</v>
      </c>
      <c r="G2753" s="16" t="s">
        <v>52</v>
      </c>
      <c r="H2753" s="16" t="s">
        <v>36</v>
      </c>
      <c r="I2753" s="16" t="s">
        <v>29</v>
      </c>
    </row>
    <row r="2754" spans="2:9" x14ac:dyDescent="0.25">
      <c r="B2754" s="16" t="s">
        <v>26</v>
      </c>
      <c r="C2754" s="17">
        <v>45162</v>
      </c>
      <c r="D2754" s="16">
        <v>11744</v>
      </c>
      <c r="E2754" s="16">
        <v>10263</v>
      </c>
      <c r="F2754" s="18" t="s">
        <v>34</v>
      </c>
      <c r="G2754" s="16" t="s">
        <v>16</v>
      </c>
      <c r="H2754" s="16" t="s">
        <v>36</v>
      </c>
      <c r="I2754" s="16" t="s">
        <v>61</v>
      </c>
    </row>
    <row r="2755" spans="2:9" x14ac:dyDescent="0.25">
      <c r="B2755" s="16" t="s">
        <v>26</v>
      </c>
      <c r="C2755" s="17">
        <v>45162</v>
      </c>
      <c r="D2755" s="16">
        <v>11737</v>
      </c>
      <c r="E2755" s="16">
        <v>10263</v>
      </c>
      <c r="F2755" s="18" t="s">
        <v>34</v>
      </c>
      <c r="G2755" s="16" t="s">
        <v>16</v>
      </c>
      <c r="H2755" s="16" t="s">
        <v>36</v>
      </c>
      <c r="I2755" s="16" t="s">
        <v>61</v>
      </c>
    </row>
    <row r="2756" spans="2:9" x14ac:dyDescent="0.25">
      <c r="B2756" s="16" t="s">
        <v>210</v>
      </c>
      <c r="C2756" s="17">
        <v>45162</v>
      </c>
      <c r="D2756" s="16">
        <v>101759</v>
      </c>
      <c r="E2756" s="16">
        <v>12522</v>
      </c>
      <c r="F2756" s="18" t="s">
        <v>390</v>
      </c>
      <c r="G2756" s="16" t="s">
        <v>4</v>
      </c>
      <c r="H2756" s="16" t="s">
        <v>75</v>
      </c>
      <c r="I2756" s="16" t="s">
        <v>61</v>
      </c>
    </row>
    <row r="2757" spans="2:9" x14ac:dyDescent="0.25">
      <c r="B2757" s="16" t="s">
        <v>210</v>
      </c>
      <c r="C2757" s="17">
        <v>45162</v>
      </c>
      <c r="D2757" s="16">
        <v>1836546</v>
      </c>
      <c r="E2757" s="16">
        <v>9480</v>
      </c>
      <c r="F2757" s="18" t="s">
        <v>147</v>
      </c>
      <c r="G2757" s="16" t="s">
        <v>341</v>
      </c>
      <c r="H2757" s="16" t="s">
        <v>28</v>
      </c>
      <c r="I2757" s="16" t="s">
        <v>73</v>
      </c>
    </row>
    <row r="2758" spans="2:9" x14ac:dyDescent="0.25">
      <c r="B2758" s="16" t="s">
        <v>210</v>
      </c>
      <c r="C2758" s="17">
        <v>45162</v>
      </c>
      <c r="D2758" s="16">
        <v>1835447</v>
      </c>
      <c r="E2758" s="16">
        <v>9480</v>
      </c>
      <c r="F2758" s="18" t="s">
        <v>147</v>
      </c>
      <c r="G2758" s="16" t="s">
        <v>341</v>
      </c>
      <c r="H2758" s="16" t="s">
        <v>28</v>
      </c>
      <c r="I2758" s="16" t="s">
        <v>73</v>
      </c>
    </row>
    <row r="2759" spans="2:9" x14ac:dyDescent="0.25">
      <c r="B2759" s="16" t="s">
        <v>210</v>
      </c>
      <c r="C2759" s="17">
        <v>45162</v>
      </c>
      <c r="D2759" s="16">
        <v>1836548</v>
      </c>
      <c r="E2759" s="16">
        <v>9480</v>
      </c>
      <c r="F2759" s="18" t="s">
        <v>147</v>
      </c>
      <c r="G2759" s="16" t="s">
        <v>341</v>
      </c>
      <c r="H2759" s="16" t="s">
        <v>28</v>
      </c>
      <c r="I2759" s="16" t="s">
        <v>73</v>
      </c>
    </row>
    <row r="2760" spans="2:9" x14ac:dyDescent="0.25">
      <c r="B2760" s="16" t="s">
        <v>210</v>
      </c>
      <c r="C2760" s="17">
        <v>45162</v>
      </c>
      <c r="D2760" s="16">
        <v>1836545</v>
      </c>
      <c r="E2760" s="16">
        <v>9480</v>
      </c>
      <c r="F2760" s="18" t="s">
        <v>147</v>
      </c>
      <c r="G2760" s="16" t="s">
        <v>341</v>
      </c>
      <c r="H2760" s="16" t="s">
        <v>28</v>
      </c>
      <c r="I2760" s="16" t="s">
        <v>73</v>
      </c>
    </row>
    <row r="2761" spans="2:9" x14ac:dyDescent="0.25">
      <c r="B2761" s="16" t="s">
        <v>210</v>
      </c>
      <c r="C2761" s="17">
        <v>45162</v>
      </c>
      <c r="D2761" s="16">
        <v>1836554</v>
      </c>
      <c r="E2761" s="16">
        <v>9480</v>
      </c>
      <c r="F2761" s="18" t="s">
        <v>147</v>
      </c>
      <c r="G2761" s="16" t="s">
        <v>341</v>
      </c>
      <c r="H2761" s="16" t="s">
        <v>186</v>
      </c>
      <c r="I2761" s="16" t="s">
        <v>61</v>
      </c>
    </row>
    <row r="2762" spans="2:9" x14ac:dyDescent="0.25">
      <c r="B2762" s="16" t="s">
        <v>26</v>
      </c>
      <c r="C2762" s="17">
        <v>45162</v>
      </c>
      <c r="D2762" s="16">
        <v>1032248</v>
      </c>
      <c r="E2762" s="16">
        <v>9403</v>
      </c>
      <c r="F2762" s="18" t="s">
        <v>153</v>
      </c>
      <c r="G2762" s="16" t="s">
        <v>5</v>
      </c>
      <c r="H2762" s="16" t="s">
        <v>184</v>
      </c>
      <c r="I2762" s="16" t="s">
        <v>61</v>
      </c>
    </row>
    <row r="2763" spans="2:9" x14ac:dyDescent="0.25">
      <c r="B2763" s="16" t="s">
        <v>40</v>
      </c>
      <c r="C2763" s="17">
        <v>45162</v>
      </c>
      <c r="D2763" s="16">
        <v>3905428</v>
      </c>
      <c r="E2763" s="16">
        <v>3506</v>
      </c>
      <c r="F2763" s="18" t="s">
        <v>77</v>
      </c>
      <c r="G2763" s="16" t="s">
        <v>52</v>
      </c>
      <c r="H2763" s="16" t="s">
        <v>89</v>
      </c>
      <c r="I2763" s="16" t="s">
        <v>17</v>
      </c>
    </row>
    <row r="2764" spans="2:9" x14ac:dyDescent="0.25">
      <c r="B2764" s="16" t="s">
        <v>40</v>
      </c>
      <c r="C2764" s="17">
        <v>45162</v>
      </c>
      <c r="D2764" s="16">
        <v>1248641</v>
      </c>
      <c r="E2764" s="16">
        <v>9797</v>
      </c>
      <c r="F2764" s="18" t="s">
        <v>136</v>
      </c>
      <c r="G2764" s="16" t="s">
        <v>341</v>
      </c>
      <c r="H2764" s="16" t="s">
        <v>186</v>
      </c>
      <c r="I2764" s="16" t="s">
        <v>61</v>
      </c>
    </row>
    <row r="2765" spans="2:9" x14ac:dyDescent="0.25">
      <c r="B2765" s="16" t="s">
        <v>40</v>
      </c>
      <c r="C2765" s="17">
        <v>45162</v>
      </c>
      <c r="D2765" s="16">
        <v>37026</v>
      </c>
      <c r="E2765" s="16" t="s">
        <v>20</v>
      </c>
      <c r="F2765" s="18" t="s">
        <v>20</v>
      </c>
      <c r="G2765" s="16" t="s">
        <v>20</v>
      </c>
      <c r="H2765" s="16" t="s">
        <v>28</v>
      </c>
      <c r="I2765" s="16" t="s">
        <v>61</v>
      </c>
    </row>
    <row r="2766" spans="2:9" x14ac:dyDescent="0.25">
      <c r="B2766" s="16" t="s">
        <v>2</v>
      </c>
      <c r="C2766" s="17">
        <v>45162</v>
      </c>
      <c r="D2766" s="16">
        <v>61382</v>
      </c>
      <c r="E2766" s="16">
        <v>63264</v>
      </c>
      <c r="F2766" s="18" t="s">
        <v>428</v>
      </c>
      <c r="G2766" s="16" t="s">
        <v>7</v>
      </c>
      <c r="H2766" s="16" t="s">
        <v>38</v>
      </c>
      <c r="I2766" s="16" t="s">
        <v>17</v>
      </c>
    </row>
    <row r="2767" spans="2:9" x14ac:dyDescent="0.25">
      <c r="B2767" s="16" t="s">
        <v>2</v>
      </c>
      <c r="C2767" s="17">
        <v>45162</v>
      </c>
      <c r="D2767" s="16">
        <v>50225</v>
      </c>
      <c r="E2767" s="16">
        <v>10348</v>
      </c>
      <c r="F2767" s="18" t="s">
        <v>76</v>
      </c>
      <c r="G2767" s="16" t="s">
        <v>7</v>
      </c>
      <c r="H2767" s="16" t="s">
        <v>38</v>
      </c>
      <c r="I2767" s="16" t="s">
        <v>17</v>
      </c>
    </row>
    <row r="2768" spans="2:9" x14ac:dyDescent="0.25">
      <c r="B2768" s="16" t="s">
        <v>40</v>
      </c>
      <c r="C2768" s="17">
        <v>45162</v>
      </c>
      <c r="D2768" s="16">
        <v>661826</v>
      </c>
      <c r="E2768" s="16">
        <v>3610</v>
      </c>
      <c r="F2768" s="18" t="s">
        <v>8</v>
      </c>
      <c r="G2768" s="16" t="s">
        <v>20</v>
      </c>
      <c r="H2768" s="16" t="s">
        <v>38</v>
      </c>
      <c r="I2768" s="16" t="s">
        <v>17</v>
      </c>
    </row>
    <row r="2769" spans="2:9" x14ac:dyDescent="0.25">
      <c r="B2769" s="16" t="s">
        <v>40</v>
      </c>
      <c r="C2769" s="17">
        <v>45162</v>
      </c>
      <c r="D2769" s="16">
        <v>101754</v>
      </c>
      <c r="E2769" s="16">
        <v>12522</v>
      </c>
      <c r="F2769" s="18" t="s">
        <v>390</v>
      </c>
      <c r="G2769" s="16" t="s">
        <v>4</v>
      </c>
      <c r="H2769" s="16" t="s">
        <v>36</v>
      </c>
      <c r="I2769" s="16" t="s">
        <v>61</v>
      </c>
    </row>
    <row r="2770" spans="2:9" x14ac:dyDescent="0.25">
      <c r="B2770" s="16" t="s">
        <v>33</v>
      </c>
      <c r="C2770" s="17">
        <v>45162</v>
      </c>
      <c r="D2770" s="16">
        <v>218514</v>
      </c>
      <c r="E2770" s="16">
        <v>9813</v>
      </c>
      <c r="F2770" s="18" t="s">
        <v>86</v>
      </c>
      <c r="G2770" s="16" t="s">
        <v>4</v>
      </c>
      <c r="H2770" s="16" t="s">
        <v>184</v>
      </c>
      <c r="I2770" s="16" t="s">
        <v>61</v>
      </c>
    </row>
    <row r="2771" spans="2:9" x14ac:dyDescent="0.25">
      <c r="B2771" s="16" t="s">
        <v>33</v>
      </c>
      <c r="C2771" s="17">
        <v>45162</v>
      </c>
      <c r="D2771" s="16">
        <v>198597</v>
      </c>
      <c r="E2771" s="16">
        <v>10440</v>
      </c>
      <c r="F2771" s="18" t="s">
        <v>37</v>
      </c>
      <c r="G2771" s="16" t="s">
        <v>342</v>
      </c>
      <c r="H2771" s="16" t="s">
        <v>71</v>
      </c>
      <c r="I2771" s="16" t="s">
        <v>17</v>
      </c>
    </row>
    <row r="2772" spans="2:9" x14ac:dyDescent="0.25">
      <c r="B2772" s="16" t="s">
        <v>33</v>
      </c>
      <c r="C2772" s="17">
        <v>45162</v>
      </c>
      <c r="D2772" s="16">
        <v>205247</v>
      </c>
      <c r="E2772" s="16">
        <v>1100</v>
      </c>
      <c r="F2772" s="18" t="s">
        <v>152</v>
      </c>
      <c r="G2772" s="16" t="s">
        <v>4</v>
      </c>
      <c r="H2772" s="16" t="s">
        <v>71</v>
      </c>
      <c r="I2772" s="16" t="s">
        <v>17</v>
      </c>
    </row>
    <row r="2773" spans="2:9" x14ac:dyDescent="0.25">
      <c r="B2773" s="16" t="s">
        <v>33</v>
      </c>
      <c r="C2773" s="17">
        <v>45162</v>
      </c>
      <c r="D2773" s="16">
        <v>205246</v>
      </c>
      <c r="E2773" s="16">
        <v>1100</v>
      </c>
      <c r="F2773" s="18" t="s">
        <v>152</v>
      </c>
      <c r="G2773" s="16" t="s">
        <v>4</v>
      </c>
      <c r="H2773" s="16" t="s">
        <v>71</v>
      </c>
      <c r="I2773" s="16" t="s">
        <v>17</v>
      </c>
    </row>
    <row r="2774" spans="2:9" x14ac:dyDescent="0.25">
      <c r="B2774" s="16" t="s">
        <v>210</v>
      </c>
      <c r="C2774" s="17">
        <v>45162</v>
      </c>
      <c r="D2774" s="16">
        <v>267246</v>
      </c>
      <c r="E2774" s="16">
        <v>9382</v>
      </c>
      <c r="F2774" s="18" t="s">
        <v>401</v>
      </c>
      <c r="G2774" s="16" t="s">
        <v>5</v>
      </c>
      <c r="H2774" s="16" t="s">
        <v>71</v>
      </c>
      <c r="I2774" s="16" t="s">
        <v>17</v>
      </c>
    </row>
    <row r="2775" spans="2:9" x14ac:dyDescent="0.25">
      <c r="B2775" s="16" t="s">
        <v>22</v>
      </c>
      <c r="C2775" s="17">
        <v>45163</v>
      </c>
      <c r="D2775" s="16">
        <v>3027</v>
      </c>
      <c r="E2775" s="16">
        <v>71780</v>
      </c>
      <c r="F2775" s="18" t="s">
        <v>20</v>
      </c>
      <c r="G2775" s="16" t="s">
        <v>52</v>
      </c>
      <c r="H2775" s="16" t="s">
        <v>28</v>
      </c>
      <c r="I2775" s="16" t="s">
        <v>219</v>
      </c>
    </row>
    <row r="2776" spans="2:9" x14ac:dyDescent="0.25">
      <c r="B2776" s="16" t="s">
        <v>22</v>
      </c>
      <c r="C2776" s="17">
        <v>45163</v>
      </c>
      <c r="D2776" s="16">
        <v>6582</v>
      </c>
      <c r="E2776" s="16">
        <v>71781</v>
      </c>
      <c r="F2776" s="18" t="s">
        <v>20</v>
      </c>
      <c r="G2776" s="16" t="s">
        <v>52</v>
      </c>
      <c r="H2776" s="16" t="s">
        <v>28</v>
      </c>
      <c r="I2776" s="16" t="s">
        <v>219</v>
      </c>
    </row>
    <row r="2777" spans="2:9" x14ac:dyDescent="0.25">
      <c r="B2777" s="16" t="s">
        <v>210</v>
      </c>
      <c r="C2777" s="17">
        <v>45163</v>
      </c>
      <c r="D2777" s="16">
        <v>662482</v>
      </c>
      <c r="E2777" s="16" t="s">
        <v>20</v>
      </c>
      <c r="F2777" s="18" t="s">
        <v>20</v>
      </c>
      <c r="G2777" s="16" t="s">
        <v>262</v>
      </c>
      <c r="H2777" s="16" t="s">
        <v>41</v>
      </c>
      <c r="I2777" s="16" t="s">
        <v>17</v>
      </c>
    </row>
    <row r="2778" spans="2:9" x14ac:dyDescent="0.25">
      <c r="B2778" s="16" t="s">
        <v>33</v>
      </c>
      <c r="C2778" s="17">
        <v>45163</v>
      </c>
      <c r="D2778" s="16">
        <v>3031</v>
      </c>
      <c r="E2778" s="16">
        <v>71780</v>
      </c>
      <c r="F2778" s="18" t="s">
        <v>20</v>
      </c>
      <c r="G2778" s="16" t="s">
        <v>52</v>
      </c>
      <c r="H2778" s="16" t="s">
        <v>137</v>
      </c>
      <c r="I2778" s="16" t="s">
        <v>17</v>
      </c>
    </row>
    <row r="2779" spans="2:9" x14ac:dyDescent="0.25">
      <c r="B2779" s="16" t="s">
        <v>33</v>
      </c>
      <c r="C2779" s="17">
        <v>45163</v>
      </c>
      <c r="D2779" s="16">
        <v>6588</v>
      </c>
      <c r="E2779" s="16">
        <v>71781</v>
      </c>
      <c r="F2779" s="18" t="s">
        <v>20</v>
      </c>
      <c r="G2779" s="16" t="s">
        <v>52</v>
      </c>
      <c r="H2779" s="16" t="s">
        <v>137</v>
      </c>
      <c r="I2779" s="16" t="s">
        <v>17</v>
      </c>
    </row>
    <row r="2780" spans="2:9" x14ac:dyDescent="0.25">
      <c r="B2780" s="16" t="s">
        <v>20</v>
      </c>
      <c r="C2780" s="17">
        <v>45163</v>
      </c>
      <c r="D2780" s="16">
        <v>6580</v>
      </c>
      <c r="E2780" s="16" t="s">
        <v>20</v>
      </c>
      <c r="F2780" s="18" t="s">
        <v>20</v>
      </c>
      <c r="G2780" s="16" t="s">
        <v>20</v>
      </c>
      <c r="H2780" s="16" t="s">
        <v>20</v>
      </c>
      <c r="I2780" s="16" t="s">
        <v>20</v>
      </c>
    </row>
    <row r="2781" spans="2:9" x14ac:dyDescent="0.25">
      <c r="B2781" s="16" t="s">
        <v>20</v>
      </c>
      <c r="C2781" s="17">
        <v>45163</v>
      </c>
      <c r="D2781" s="16">
        <v>3026</v>
      </c>
      <c r="E2781" s="16" t="s">
        <v>20</v>
      </c>
      <c r="F2781" s="18" t="s">
        <v>20</v>
      </c>
      <c r="G2781" s="16" t="s">
        <v>20</v>
      </c>
      <c r="H2781" s="16" t="s">
        <v>20</v>
      </c>
      <c r="I2781" s="16" t="s">
        <v>20</v>
      </c>
    </row>
    <row r="2782" spans="2:9" x14ac:dyDescent="0.25">
      <c r="B2782" s="16" t="s">
        <v>33</v>
      </c>
      <c r="C2782" s="17">
        <v>45163</v>
      </c>
      <c r="D2782" s="16">
        <v>199033</v>
      </c>
      <c r="E2782" s="16">
        <v>10440</v>
      </c>
      <c r="F2782" s="18" t="s">
        <v>37</v>
      </c>
      <c r="G2782" s="16" t="s">
        <v>342</v>
      </c>
      <c r="H2782" s="16" t="s">
        <v>38</v>
      </c>
      <c r="I2782" s="16" t="s">
        <v>61</v>
      </c>
    </row>
    <row r="2783" spans="2:9" x14ac:dyDescent="0.25">
      <c r="B2783" s="16" t="s">
        <v>210</v>
      </c>
      <c r="C2783" s="17">
        <v>45163</v>
      </c>
      <c r="D2783" s="16">
        <v>1836554</v>
      </c>
      <c r="E2783" s="16">
        <v>9480</v>
      </c>
      <c r="F2783" s="18" t="s">
        <v>147</v>
      </c>
      <c r="G2783" s="16" t="s">
        <v>341</v>
      </c>
      <c r="H2783" s="16" t="s">
        <v>184</v>
      </c>
      <c r="I2783" s="16" t="s">
        <v>61</v>
      </c>
    </row>
    <row r="2784" spans="2:9" x14ac:dyDescent="0.25">
      <c r="B2784" s="16" t="s">
        <v>33</v>
      </c>
      <c r="C2784" s="17">
        <v>45163</v>
      </c>
      <c r="D2784" s="16">
        <v>209281</v>
      </c>
      <c r="E2784" s="16">
        <v>3189</v>
      </c>
      <c r="F2784" s="18" t="s">
        <v>311</v>
      </c>
      <c r="G2784" s="16" t="s">
        <v>342</v>
      </c>
      <c r="H2784" s="16" t="s">
        <v>184</v>
      </c>
      <c r="I2784" s="16" t="s">
        <v>61</v>
      </c>
    </row>
    <row r="2785" spans="2:9" x14ac:dyDescent="0.25">
      <c r="B2785" s="16" t="s">
        <v>22</v>
      </c>
      <c r="C2785" s="17">
        <v>45163</v>
      </c>
      <c r="D2785" s="16">
        <v>1445739</v>
      </c>
      <c r="E2785" s="16">
        <v>13235</v>
      </c>
      <c r="F2785" s="18" t="s">
        <v>99</v>
      </c>
      <c r="G2785" s="16" t="s">
        <v>20</v>
      </c>
      <c r="H2785" s="16" t="s">
        <v>184</v>
      </c>
      <c r="I2785" s="16" t="s">
        <v>17</v>
      </c>
    </row>
    <row r="2786" spans="2:9" x14ac:dyDescent="0.25">
      <c r="B2786" s="16" t="s">
        <v>22</v>
      </c>
      <c r="C2786" s="17">
        <v>45163</v>
      </c>
      <c r="D2786" s="16">
        <v>101864</v>
      </c>
      <c r="E2786" s="16">
        <v>12522</v>
      </c>
      <c r="F2786" s="18" t="s">
        <v>390</v>
      </c>
      <c r="G2786" s="16" t="s">
        <v>4</v>
      </c>
      <c r="H2786" s="16" t="s">
        <v>36</v>
      </c>
      <c r="I2786" s="16" t="s">
        <v>61</v>
      </c>
    </row>
    <row r="2787" spans="2:9" x14ac:dyDescent="0.25">
      <c r="B2787" s="16" t="s">
        <v>22</v>
      </c>
      <c r="C2787" s="17">
        <v>45163</v>
      </c>
      <c r="D2787" s="16">
        <v>999253</v>
      </c>
      <c r="E2787" s="16">
        <v>9434</v>
      </c>
      <c r="F2787" s="18" t="s">
        <v>23</v>
      </c>
      <c r="G2787" s="16" t="s">
        <v>334</v>
      </c>
      <c r="H2787" s="16" t="s">
        <v>36</v>
      </c>
      <c r="I2787" s="16" t="s">
        <v>61</v>
      </c>
    </row>
    <row r="2788" spans="2:9" x14ac:dyDescent="0.25">
      <c r="B2788" s="16" t="s">
        <v>2</v>
      </c>
      <c r="C2788" s="17">
        <v>45163</v>
      </c>
      <c r="D2788" s="16">
        <v>189549</v>
      </c>
      <c r="E2788" s="16">
        <v>10994</v>
      </c>
      <c r="F2788" s="18" t="s">
        <v>303</v>
      </c>
      <c r="G2788" s="16" t="s">
        <v>52</v>
      </c>
      <c r="H2788" s="16" t="s">
        <v>45</v>
      </c>
      <c r="I2788" s="16" t="s">
        <v>305</v>
      </c>
    </row>
    <row r="2789" spans="2:9" x14ac:dyDescent="0.25">
      <c r="B2789" s="16" t="s">
        <v>2</v>
      </c>
      <c r="C2789" s="17">
        <v>45163</v>
      </c>
      <c r="D2789" s="16">
        <v>49228</v>
      </c>
      <c r="E2789" s="16">
        <v>9451</v>
      </c>
      <c r="F2789" s="18" t="s">
        <v>195</v>
      </c>
      <c r="G2789" s="16" t="s">
        <v>334</v>
      </c>
      <c r="H2789" s="16" t="s">
        <v>114</v>
      </c>
      <c r="I2789" s="16" t="s">
        <v>61</v>
      </c>
    </row>
    <row r="2790" spans="2:9" x14ac:dyDescent="0.25">
      <c r="B2790" s="16" t="s">
        <v>2</v>
      </c>
      <c r="C2790" s="17">
        <v>45163</v>
      </c>
      <c r="D2790" s="16">
        <v>169156</v>
      </c>
      <c r="E2790" s="16">
        <v>63007</v>
      </c>
      <c r="F2790" s="18" t="s">
        <v>62</v>
      </c>
      <c r="G2790" s="16" t="s">
        <v>5</v>
      </c>
      <c r="H2790" s="16" t="s">
        <v>184</v>
      </c>
      <c r="I2790" s="16" t="s">
        <v>61</v>
      </c>
    </row>
    <row r="2791" spans="2:9" x14ac:dyDescent="0.25">
      <c r="B2791" s="16" t="s">
        <v>22</v>
      </c>
      <c r="C2791" s="17">
        <v>45163</v>
      </c>
      <c r="D2791" s="16">
        <v>1966176</v>
      </c>
      <c r="E2791" s="16">
        <v>5240</v>
      </c>
      <c r="F2791" s="18" t="s">
        <v>426</v>
      </c>
      <c r="G2791" s="16" t="s">
        <v>16</v>
      </c>
      <c r="H2791" s="16" t="s">
        <v>46</v>
      </c>
      <c r="I2791" s="16" t="s">
        <v>409</v>
      </c>
    </row>
    <row r="2792" spans="2:9" x14ac:dyDescent="0.25">
      <c r="B2792" s="16" t="s">
        <v>22</v>
      </c>
      <c r="C2792" s="17">
        <v>45163</v>
      </c>
      <c r="D2792" s="16">
        <v>1966177</v>
      </c>
      <c r="E2792" s="16">
        <v>5240</v>
      </c>
      <c r="F2792" s="18" t="s">
        <v>426</v>
      </c>
      <c r="G2792" s="16" t="s">
        <v>16</v>
      </c>
      <c r="H2792" s="16" t="s">
        <v>46</v>
      </c>
      <c r="I2792" s="16" t="s">
        <v>409</v>
      </c>
    </row>
    <row r="2793" spans="2:9" x14ac:dyDescent="0.25">
      <c r="B2793" s="16" t="s">
        <v>22</v>
      </c>
      <c r="C2793" s="17">
        <v>45163</v>
      </c>
      <c r="D2793" s="16">
        <v>1966178</v>
      </c>
      <c r="E2793" s="16">
        <v>5240</v>
      </c>
      <c r="F2793" s="18" t="s">
        <v>426</v>
      </c>
      <c r="G2793" s="16" t="s">
        <v>16</v>
      </c>
      <c r="H2793" s="16" t="s">
        <v>46</v>
      </c>
      <c r="I2793" s="16" t="s">
        <v>409</v>
      </c>
    </row>
    <row r="2794" spans="2:9" x14ac:dyDescent="0.25">
      <c r="B2794" s="16" t="s">
        <v>22</v>
      </c>
      <c r="C2794" s="17">
        <v>45163</v>
      </c>
      <c r="D2794" s="16">
        <v>1966179</v>
      </c>
      <c r="E2794" s="16">
        <v>5240</v>
      </c>
      <c r="F2794" s="18" t="s">
        <v>426</v>
      </c>
      <c r="G2794" s="16" t="s">
        <v>16</v>
      </c>
      <c r="H2794" s="16" t="s">
        <v>46</v>
      </c>
      <c r="I2794" s="16" t="s">
        <v>409</v>
      </c>
    </row>
    <row r="2795" spans="2:9" x14ac:dyDescent="0.25">
      <c r="B2795" s="16" t="s">
        <v>33</v>
      </c>
      <c r="C2795" s="17">
        <v>45163</v>
      </c>
      <c r="D2795" s="16">
        <v>205246</v>
      </c>
      <c r="E2795" s="16">
        <v>1100</v>
      </c>
      <c r="F2795" s="18" t="s">
        <v>152</v>
      </c>
      <c r="G2795" s="16" t="s">
        <v>341</v>
      </c>
      <c r="H2795" s="16" t="s">
        <v>46</v>
      </c>
      <c r="I2795" s="16" t="s">
        <v>409</v>
      </c>
    </row>
    <row r="2796" spans="2:9" x14ac:dyDescent="0.25">
      <c r="B2796" s="16" t="s">
        <v>33</v>
      </c>
      <c r="C2796" s="17">
        <v>45163</v>
      </c>
      <c r="D2796" s="16">
        <v>101861</v>
      </c>
      <c r="E2796" s="16">
        <v>12522</v>
      </c>
      <c r="F2796" s="18" t="s">
        <v>390</v>
      </c>
      <c r="G2796" s="16" t="s">
        <v>4</v>
      </c>
      <c r="H2796" s="16" t="s">
        <v>36</v>
      </c>
      <c r="I2796" s="16" t="s">
        <v>92</v>
      </c>
    </row>
    <row r="2797" spans="2:9" x14ac:dyDescent="0.25">
      <c r="B2797" s="16" t="s">
        <v>33</v>
      </c>
      <c r="C2797" s="17">
        <v>45163</v>
      </c>
      <c r="D2797" s="16">
        <v>121675</v>
      </c>
      <c r="E2797" s="16">
        <v>11604</v>
      </c>
      <c r="F2797" s="18" t="s">
        <v>63</v>
      </c>
      <c r="G2797" s="16" t="s">
        <v>262</v>
      </c>
      <c r="H2797" s="16" t="s">
        <v>38</v>
      </c>
      <c r="I2797" s="16" t="s">
        <v>17</v>
      </c>
    </row>
    <row r="2798" spans="2:9" x14ac:dyDescent="0.25">
      <c r="B2798" s="16" t="s">
        <v>40</v>
      </c>
      <c r="C2798" s="17">
        <v>45163</v>
      </c>
      <c r="D2798" s="16">
        <v>169130</v>
      </c>
      <c r="E2798" s="16">
        <v>63007</v>
      </c>
      <c r="F2798" s="18" t="s">
        <v>62</v>
      </c>
      <c r="G2798" s="16" t="s">
        <v>5</v>
      </c>
      <c r="H2798" s="16" t="s">
        <v>186</v>
      </c>
      <c r="I2798" s="16" t="s">
        <v>61</v>
      </c>
    </row>
    <row r="2799" spans="2:9" x14ac:dyDescent="0.25">
      <c r="B2799" s="16" t="s">
        <v>40</v>
      </c>
      <c r="C2799" s="17">
        <v>45163</v>
      </c>
      <c r="D2799" s="16">
        <v>6583</v>
      </c>
      <c r="E2799" s="16" t="s">
        <v>20</v>
      </c>
      <c r="F2799" s="18" t="s">
        <v>20</v>
      </c>
      <c r="G2799" s="16" t="s">
        <v>52</v>
      </c>
      <c r="H2799" s="16" t="s">
        <v>28</v>
      </c>
      <c r="I2799" s="16" t="s">
        <v>73</v>
      </c>
    </row>
    <row r="2800" spans="2:9" x14ac:dyDescent="0.25">
      <c r="B2800" s="16" t="s">
        <v>40</v>
      </c>
      <c r="C2800" s="17">
        <v>45163</v>
      </c>
      <c r="D2800" s="16">
        <v>3028</v>
      </c>
      <c r="E2800" s="16" t="s">
        <v>20</v>
      </c>
      <c r="F2800" s="18" t="s">
        <v>20</v>
      </c>
      <c r="G2800" s="16" t="s">
        <v>52</v>
      </c>
      <c r="H2800" s="16" t="s">
        <v>28</v>
      </c>
      <c r="I2800" s="16" t="s">
        <v>73</v>
      </c>
    </row>
    <row r="2801" spans="2:9" x14ac:dyDescent="0.25">
      <c r="B2801" s="16" t="s">
        <v>40</v>
      </c>
      <c r="C2801" s="17">
        <v>45163</v>
      </c>
      <c r="D2801" s="16">
        <v>121668</v>
      </c>
      <c r="E2801" s="16">
        <v>11604</v>
      </c>
      <c r="F2801" s="18" t="s">
        <v>63</v>
      </c>
      <c r="G2801" s="16" t="s">
        <v>262</v>
      </c>
      <c r="H2801" s="16" t="s">
        <v>38</v>
      </c>
      <c r="I2801" s="16" t="s">
        <v>17</v>
      </c>
    </row>
    <row r="2802" spans="2:9" x14ac:dyDescent="0.25">
      <c r="B2802" s="16" t="s">
        <v>40</v>
      </c>
      <c r="C2802" s="17">
        <v>45163</v>
      </c>
      <c r="D2802" s="16" t="s">
        <v>20</v>
      </c>
      <c r="E2802" s="16" t="s">
        <v>20</v>
      </c>
      <c r="F2802" s="18" t="s">
        <v>20</v>
      </c>
      <c r="G2802" s="16" t="s">
        <v>20</v>
      </c>
      <c r="H2802" s="16" t="s">
        <v>20</v>
      </c>
      <c r="I2802" s="16" t="s">
        <v>20</v>
      </c>
    </row>
    <row r="2803" spans="2:9" x14ac:dyDescent="0.25">
      <c r="B2803" s="16" t="s">
        <v>20</v>
      </c>
      <c r="C2803" s="17">
        <v>45163</v>
      </c>
      <c r="D2803" s="16" t="s">
        <v>20</v>
      </c>
      <c r="E2803" s="16">
        <v>9492</v>
      </c>
      <c r="F2803" s="18" t="s">
        <v>429</v>
      </c>
      <c r="G2803" s="16" t="s">
        <v>20</v>
      </c>
      <c r="H2803" s="16" t="s">
        <v>20</v>
      </c>
      <c r="I2803" s="16" t="s">
        <v>20</v>
      </c>
    </row>
    <row r="2804" spans="2:9" x14ac:dyDescent="0.25">
      <c r="B2804" s="16" t="s">
        <v>2</v>
      </c>
      <c r="C2804" s="17">
        <v>45163</v>
      </c>
      <c r="D2804" s="16">
        <v>999191</v>
      </c>
      <c r="E2804" s="16">
        <v>9434</v>
      </c>
      <c r="F2804" s="18" t="s">
        <v>23</v>
      </c>
      <c r="G2804" s="16" t="s">
        <v>334</v>
      </c>
      <c r="H2804" s="16" t="s">
        <v>190</v>
      </c>
      <c r="I2804" s="16" t="s">
        <v>17</v>
      </c>
    </row>
    <row r="2805" spans="2:9" x14ac:dyDescent="0.25">
      <c r="B2805" s="16" t="s">
        <v>2</v>
      </c>
      <c r="C2805" s="17">
        <v>45163</v>
      </c>
      <c r="D2805" s="16">
        <v>101845</v>
      </c>
      <c r="E2805" s="16">
        <v>12522</v>
      </c>
      <c r="F2805" s="18" t="s">
        <v>390</v>
      </c>
      <c r="G2805" s="16" t="s">
        <v>4</v>
      </c>
      <c r="H2805" s="16" t="s">
        <v>36</v>
      </c>
      <c r="I2805" s="16" t="s">
        <v>61</v>
      </c>
    </row>
    <row r="2806" spans="2:9" x14ac:dyDescent="0.25">
      <c r="B2806" s="16" t="s">
        <v>2</v>
      </c>
      <c r="C2806" s="17">
        <v>45163</v>
      </c>
      <c r="D2806" s="16">
        <v>12294</v>
      </c>
      <c r="E2806" s="16">
        <v>71066</v>
      </c>
      <c r="F2806" s="18" t="s">
        <v>20</v>
      </c>
      <c r="G2806" s="16" t="s">
        <v>4</v>
      </c>
      <c r="H2806" s="16" t="s">
        <v>184</v>
      </c>
      <c r="I2806" s="16" t="s">
        <v>61</v>
      </c>
    </row>
    <row r="2807" spans="2:9" x14ac:dyDescent="0.25">
      <c r="B2807" s="16" t="s">
        <v>33</v>
      </c>
      <c r="C2807" s="17">
        <v>45163</v>
      </c>
      <c r="D2807" s="16">
        <v>14086</v>
      </c>
      <c r="E2807" s="16">
        <v>13762</v>
      </c>
      <c r="F2807" s="18" t="s">
        <v>430</v>
      </c>
      <c r="G2807" s="16" t="s">
        <v>20</v>
      </c>
      <c r="H2807" s="16" t="s">
        <v>71</v>
      </c>
      <c r="I2807" s="16" t="s">
        <v>17</v>
      </c>
    </row>
    <row r="2808" spans="2:9" x14ac:dyDescent="0.25">
      <c r="B2808" s="16" t="s">
        <v>26</v>
      </c>
      <c r="C2808" s="17">
        <v>45163</v>
      </c>
      <c r="D2808" s="16">
        <v>13190</v>
      </c>
      <c r="E2808" s="16">
        <v>14911</v>
      </c>
      <c r="F2808" s="18" t="s">
        <v>431</v>
      </c>
      <c r="G2808" s="16" t="s">
        <v>52</v>
      </c>
      <c r="H2808" s="16" t="s">
        <v>228</v>
      </c>
      <c r="I2808" s="16" t="s">
        <v>17</v>
      </c>
    </row>
    <row r="2809" spans="2:9" x14ac:dyDescent="0.25">
      <c r="B2809" s="16" t="s">
        <v>26</v>
      </c>
      <c r="C2809" s="17">
        <v>45163</v>
      </c>
      <c r="D2809" s="16">
        <v>13201</v>
      </c>
      <c r="E2809" s="16">
        <v>14911</v>
      </c>
      <c r="F2809" s="18" t="s">
        <v>431</v>
      </c>
      <c r="G2809" s="16" t="s">
        <v>52</v>
      </c>
      <c r="H2809" s="16" t="s">
        <v>228</v>
      </c>
      <c r="I2809" s="16" t="s">
        <v>17</v>
      </c>
    </row>
    <row r="2810" spans="2:9" x14ac:dyDescent="0.25">
      <c r="B2810" s="16" t="s">
        <v>26</v>
      </c>
      <c r="C2810" s="17">
        <v>45163</v>
      </c>
      <c r="D2810" s="16">
        <v>121648</v>
      </c>
      <c r="E2810" s="16">
        <v>11604</v>
      </c>
      <c r="F2810" s="18" t="s">
        <v>63</v>
      </c>
      <c r="G2810" s="16" t="s">
        <v>262</v>
      </c>
      <c r="H2810" s="16" t="s">
        <v>38</v>
      </c>
      <c r="I2810" s="16" t="s">
        <v>17</v>
      </c>
    </row>
    <row r="2811" spans="2:9" x14ac:dyDescent="0.25">
      <c r="B2811" s="16" t="s">
        <v>26</v>
      </c>
      <c r="C2811" s="17">
        <v>45163</v>
      </c>
      <c r="D2811" s="16">
        <v>8592788</v>
      </c>
      <c r="E2811" s="16">
        <v>9389</v>
      </c>
      <c r="F2811" s="18" t="s">
        <v>119</v>
      </c>
      <c r="G2811" s="16" t="s">
        <v>52</v>
      </c>
      <c r="H2811" s="16" t="s">
        <v>71</v>
      </c>
      <c r="I2811" s="16" t="s">
        <v>17</v>
      </c>
    </row>
    <row r="2812" spans="2:9" x14ac:dyDescent="0.25">
      <c r="B2812" s="16" t="s">
        <v>26</v>
      </c>
      <c r="C2812" s="17">
        <v>45163</v>
      </c>
      <c r="D2812" s="16">
        <v>8592789</v>
      </c>
      <c r="E2812" s="16">
        <v>9389</v>
      </c>
      <c r="F2812" s="18" t="s">
        <v>119</v>
      </c>
      <c r="G2812" s="16" t="s">
        <v>52</v>
      </c>
      <c r="H2812" s="16" t="s">
        <v>71</v>
      </c>
      <c r="I2812" s="16" t="s">
        <v>17</v>
      </c>
    </row>
    <row r="2813" spans="2:9" x14ac:dyDescent="0.25">
      <c r="B2813" s="16" t="s">
        <v>26</v>
      </c>
      <c r="C2813" s="17">
        <v>45163</v>
      </c>
      <c r="D2813" s="16">
        <v>8592790</v>
      </c>
      <c r="E2813" s="16">
        <v>9389</v>
      </c>
      <c r="F2813" s="18" t="s">
        <v>119</v>
      </c>
      <c r="G2813" s="16" t="s">
        <v>52</v>
      </c>
      <c r="H2813" s="16" t="s">
        <v>71</v>
      </c>
      <c r="I2813" s="16" t="s">
        <v>17</v>
      </c>
    </row>
    <row r="2814" spans="2:9" x14ac:dyDescent="0.25">
      <c r="B2814" s="16" t="s">
        <v>26</v>
      </c>
      <c r="C2814" s="17">
        <v>45163</v>
      </c>
      <c r="D2814" s="16">
        <v>8592791</v>
      </c>
      <c r="E2814" s="16">
        <v>9389</v>
      </c>
      <c r="F2814" s="18" t="s">
        <v>119</v>
      </c>
      <c r="G2814" s="16" t="s">
        <v>52</v>
      </c>
      <c r="H2814" s="16" t="s">
        <v>71</v>
      </c>
      <c r="I2814" s="16" t="s">
        <v>17</v>
      </c>
    </row>
    <row r="2815" spans="2:9" x14ac:dyDescent="0.25">
      <c r="B2815" s="16" t="s">
        <v>26</v>
      </c>
      <c r="C2815" s="17">
        <v>45163</v>
      </c>
      <c r="D2815" s="16">
        <v>8592792</v>
      </c>
      <c r="E2815" s="16">
        <v>9389</v>
      </c>
      <c r="F2815" s="18" t="s">
        <v>119</v>
      </c>
      <c r="G2815" s="16" t="s">
        <v>52</v>
      </c>
      <c r="H2815" s="16" t="s">
        <v>71</v>
      </c>
      <c r="I2815" s="16" t="s">
        <v>17</v>
      </c>
    </row>
    <row r="2816" spans="2:9" x14ac:dyDescent="0.25">
      <c r="B2816" s="16" t="s">
        <v>22</v>
      </c>
      <c r="C2816" s="17">
        <v>45164</v>
      </c>
      <c r="D2816" s="16">
        <v>50273</v>
      </c>
      <c r="E2816" s="16">
        <v>10348</v>
      </c>
      <c r="F2816" s="18" t="s">
        <v>76</v>
      </c>
      <c r="G2816" s="16" t="s">
        <v>7</v>
      </c>
      <c r="H2816" s="16" t="s">
        <v>38</v>
      </c>
      <c r="I2816" s="16" t="s">
        <v>17</v>
      </c>
    </row>
    <row r="2817" spans="2:9" x14ac:dyDescent="0.25">
      <c r="B2817" s="16" t="s">
        <v>33</v>
      </c>
      <c r="C2817" s="17">
        <v>45166</v>
      </c>
      <c r="D2817" s="16">
        <v>147899</v>
      </c>
      <c r="E2817" s="16">
        <v>11216</v>
      </c>
      <c r="F2817" s="18" t="s">
        <v>326</v>
      </c>
      <c r="G2817" s="16" t="s">
        <v>52</v>
      </c>
      <c r="H2817" s="16" t="s">
        <v>28</v>
      </c>
      <c r="I2817" s="16" t="s">
        <v>61</v>
      </c>
    </row>
    <row r="2818" spans="2:9" x14ac:dyDescent="0.25">
      <c r="B2818" s="16" t="s">
        <v>33</v>
      </c>
      <c r="C2818" s="17">
        <v>45166</v>
      </c>
      <c r="D2818" s="16">
        <v>147900</v>
      </c>
      <c r="E2818" s="16">
        <v>11216</v>
      </c>
      <c r="F2818" s="18" t="s">
        <v>326</v>
      </c>
      <c r="G2818" s="16" t="s">
        <v>52</v>
      </c>
      <c r="H2818" s="16" t="s">
        <v>28</v>
      </c>
      <c r="I2818" s="16" t="s">
        <v>61</v>
      </c>
    </row>
    <row r="2819" spans="2:9" x14ac:dyDescent="0.25">
      <c r="B2819" s="16" t="s">
        <v>22</v>
      </c>
      <c r="C2819" s="17">
        <v>45166</v>
      </c>
      <c r="D2819" s="16">
        <v>1447073</v>
      </c>
      <c r="E2819" s="16">
        <v>13235</v>
      </c>
      <c r="F2819" s="18" t="s">
        <v>99</v>
      </c>
      <c r="G2819" s="16" t="s">
        <v>343</v>
      </c>
      <c r="H2819" s="16" t="s">
        <v>184</v>
      </c>
      <c r="I2819" s="16" t="s">
        <v>61</v>
      </c>
    </row>
    <row r="2820" spans="2:9" x14ac:dyDescent="0.25">
      <c r="B2820" s="16" t="s">
        <v>22</v>
      </c>
      <c r="C2820" s="17">
        <v>45166</v>
      </c>
      <c r="D2820" s="16">
        <v>1830758</v>
      </c>
      <c r="E2820" s="16">
        <v>1015</v>
      </c>
      <c r="F2820" s="18" t="s">
        <v>134</v>
      </c>
      <c r="G2820" s="16" t="s">
        <v>342</v>
      </c>
      <c r="H2820" s="16" t="s">
        <v>184</v>
      </c>
      <c r="I2820" s="16" t="s">
        <v>61</v>
      </c>
    </row>
    <row r="2821" spans="2:9" x14ac:dyDescent="0.25">
      <c r="B2821" s="16" t="s">
        <v>210</v>
      </c>
      <c r="C2821" s="17">
        <v>45166</v>
      </c>
      <c r="D2821" s="16">
        <v>111119</v>
      </c>
      <c r="E2821" s="16">
        <v>9490</v>
      </c>
      <c r="F2821" s="18" t="s">
        <v>172</v>
      </c>
      <c r="G2821" s="16" t="s">
        <v>4</v>
      </c>
      <c r="H2821" s="16" t="s">
        <v>184</v>
      </c>
      <c r="I2821" s="16" t="s">
        <v>61</v>
      </c>
    </row>
    <row r="2822" spans="2:9" x14ac:dyDescent="0.25">
      <c r="B2822" s="16" t="s">
        <v>40</v>
      </c>
      <c r="C2822" s="17">
        <v>45166</v>
      </c>
      <c r="D2822" s="16">
        <v>283061</v>
      </c>
      <c r="E2822" s="16">
        <v>9519</v>
      </c>
      <c r="F2822" s="18" t="s">
        <v>95</v>
      </c>
      <c r="G2822" s="16" t="s">
        <v>5</v>
      </c>
      <c r="H2822" s="16" t="s">
        <v>184</v>
      </c>
      <c r="I2822" s="16" t="s">
        <v>61</v>
      </c>
    </row>
    <row r="2823" spans="2:9" x14ac:dyDescent="0.25">
      <c r="B2823" s="16" t="s">
        <v>40</v>
      </c>
      <c r="C2823" s="17">
        <v>45166</v>
      </c>
      <c r="D2823" s="16">
        <v>541351</v>
      </c>
      <c r="E2823" s="16">
        <v>1008</v>
      </c>
      <c r="F2823" s="18" t="s">
        <v>74</v>
      </c>
      <c r="G2823" s="16" t="s">
        <v>334</v>
      </c>
      <c r="H2823" s="16" t="s">
        <v>36</v>
      </c>
      <c r="I2823" s="16" t="s">
        <v>61</v>
      </c>
    </row>
    <row r="2824" spans="2:9" x14ac:dyDescent="0.25">
      <c r="B2824" s="16" t="s">
        <v>33</v>
      </c>
      <c r="C2824" s="17">
        <v>45166</v>
      </c>
      <c r="D2824" s="16">
        <v>289871</v>
      </c>
      <c r="E2824" s="16">
        <v>37945</v>
      </c>
      <c r="F2824" s="18" t="s">
        <v>166</v>
      </c>
      <c r="G2824" s="16" t="s">
        <v>16</v>
      </c>
      <c r="H2824" s="16" t="s">
        <v>300</v>
      </c>
      <c r="I2824" s="16" t="s">
        <v>432</v>
      </c>
    </row>
    <row r="2825" spans="2:9" x14ac:dyDescent="0.25">
      <c r="B2825" s="16" t="s">
        <v>33</v>
      </c>
      <c r="C2825" s="17">
        <v>45166</v>
      </c>
      <c r="D2825" s="16">
        <v>289872</v>
      </c>
      <c r="E2825" s="16">
        <v>37945</v>
      </c>
      <c r="F2825" s="18" t="s">
        <v>166</v>
      </c>
      <c r="G2825" s="16" t="s">
        <v>16</v>
      </c>
      <c r="H2825" s="16" t="s">
        <v>300</v>
      </c>
      <c r="I2825" s="16" t="s">
        <v>432</v>
      </c>
    </row>
    <row r="2826" spans="2:9" x14ac:dyDescent="0.25">
      <c r="B2826" s="16" t="s">
        <v>210</v>
      </c>
      <c r="C2826" s="17">
        <v>45166</v>
      </c>
      <c r="D2826" s="16">
        <v>623541</v>
      </c>
      <c r="E2826" s="16">
        <v>9653</v>
      </c>
      <c r="F2826" s="18" t="s">
        <v>67</v>
      </c>
      <c r="G2826" s="16" t="s">
        <v>343</v>
      </c>
      <c r="H2826" s="16" t="s">
        <v>186</v>
      </c>
      <c r="I2826" s="16" t="s">
        <v>61</v>
      </c>
    </row>
    <row r="2827" spans="2:9" x14ac:dyDescent="0.25">
      <c r="B2827" s="16" t="s">
        <v>210</v>
      </c>
      <c r="C2827" s="17">
        <v>45166</v>
      </c>
      <c r="D2827" s="16">
        <v>1830455</v>
      </c>
      <c r="E2827" s="16">
        <v>1015</v>
      </c>
      <c r="F2827" s="18" t="s">
        <v>134</v>
      </c>
      <c r="G2827" s="16" t="s">
        <v>342</v>
      </c>
      <c r="H2827" s="16" t="s">
        <v>186</v>
      </c>
      <c r="I2827" s="16" t="s">
        <v>61</v>
      </c>
    </row>
    <row r="2828" spans="2:9" x14ac:dyDescent="0.25">
      <c r="B2828" s="16" t="s">
        <v>40</v>
      </c>
      <c r="C2828" s="17">
        <v>45166</v>
      </c>
      <c r="D2828" s="16">
        <v>1167223</v>
      </c>
      <c r="E2828" s="16">
        <v>9516</v>
      </c>
      <c r="F2828" s="18" t="s">
        <v>110</v>
      </c>
      <c r="G2828" s="16" t="s">
        <v>334</v>
      </c>
      <c r="H2828" s="16" t="s">
        <v>36</v>
      </c>
      <c r="I2828" s="16" t="s">
        <v>61</v>
      </c>
    </row>
    <row r="2829" spans="2:9" x14ac:dyDescent="0.25">
      <c r="B2829" s="16" t="s">
        <v>40</v>
      </c>
      <c r="C2829" s="17">
        <v>45166</v>
      </c>
      <c r="D2829" s="16">
        <v>7177</v>
      </c>
      <c r="E2829" s="16">
        <v>1499</v>
      </c>
      <c r="F2829" s="18" t="s">
        <v>386</v>
      </c>
      <c r="G2829" s="16" t="s">
        <v>7</v>
      </c>
      <c r="H2829" s="16" t="s">
        <v>355</v>
      </c>
      <c r="I2829" s="16" t="s">
        <v>17</v>
      </c>
    </row>
    <row r="2830" spans="2:9" x14ac:dyDescent="0.25">
      <c r="B2830" s="16" t="s">
        <v>2</v>
      </c>
      <c r="C2830" s="17">
        <v>45166</v>
      </c>
      <c r="D2830" s="16">
        <v>192049</v>
      </c>
      <c r="E2830" s="16">
        <v>9016</v>
      </c>
      <c r="F2830" s="18" t="s">
        <v>111</v>
      </c>
      <c r="G2830" s="16" t="s">
        <v>7</v>
      </c>
      <c r="H2830" s="16" t="s">
        <v>355</v>
      </c>
      <c r="I2830" s="16" t="s">
        <v>17</v>
      </c>
    </row>
    <row r="2831" spans="2:9" x14ac:dyDescent="0.25">
      <c r="B2831" s="16" t="s">
        <v>2</v>
      </c>
      <c r="C2831" s="17">
        <v>45166</v>
      </c>
      <c r="D2831" s="16">
        <v>1167245</v>
      </c>
      <c r="E2831" s="16">
        <v>9516</v>
      </c>
      <c r="F2831" s="18" t="s">
        <v>110</v>
      </c>
      <c r="G2831" s="16" t="s">
        <v>334</v>
      </c>
      <c r="H2831" s="16" t="s">
        <v>36</v>
      </c>
      <c r="I2831" s="16" t="s">
        <v>61</v>
      </c>
    </row>
    <row r="2832" spans="2:9" x14ac:dyDescent="0.25">
      <c r="B2832" s="16" t="s">
        <v>2</v>
      </c>
      <c r="C2832" s="17">
        <v>45166</v>
      </c>
      <c r="D2832" s="16">
        <v>50298</v>
      </c>
      <c r="E2832" s="16">
        <v>10348</v>
      </c>
      <c r="F2832" s="18" t="s">
        <v>76</v>
      </c>
      <c r="G2832" s="16" t="s">
        <v>7</v>
      </c>
      <c r="H2832" s="16" t="s">
        <v>41</v>
      </c>
      <c r="I2832" s="16" t="s">
        <v>17</v>
      </c>
    </row>
    <row r="2833" spans="2:9" x14ac:dyDescent="0.25">
      <c r="B2833" s="16" t="s">
        <v>2</v>
      </c>
      <c r="C2833" s="17">
        <v>45166</v>
      </c>
      <c r="D2833" s="16">
        <v>7176</v>
      </c>
      <c r="E2833" s="16">
        <v>1499</v>
      </c>
      <c r="F2833" s="18" t="s">
        <v>386</v>
      </c>
      <c r="G2833" s="16" t="s">
        <v>7</v>
      </c>
      <c r="H2833" s="16" t="s">
        <v>355</v>
      </c>
      <c r="I2833" s="16" t="s">
        <v>17</v>
      </c>
    </row>
    <row r="2834" spans="2:9" x14ac:dyDescent="0.25">
      <c r="B2834" s="16" t="s">
        <v>210</v>
      </c>
      <c r="C2834" s="17">
        <v>45166</v>
      </c>
      <c r="D2834" s="16">
        <v>1830455</v>
      </c>
      <c r="E2834" s="16">
        <v>1015</v>
      </c>
      <c r="F2834" s="18" t="s">
        <v>134</v>
      </c>
      <c r="G2834" s="16" t="s">
        <v>343</v>
      </c>
      <c r="H2834" s="16" t="s">
        <v>186</v>
      </c>
      <c r="I2834" s="16" t="s">
        <v>61</v>
      </c>
    </row>
    <row r="2835" spans="2:9" x14ac:dyDescent="0.25">
      <c r="B2835" s="16" t="s">
        <v>33</v>
      </c>
      <c r="C2835" s="17">
        <v>45166</v>
      </c>
      <c r="D2835" s="16">
        <v>7175</v>
      </c>
      <c r="E2835" s="16">
        <v>1499</v>
      </c>
      <c r="F2835" s="18" t="s">
        <v>386</v>
      </c>
      <c r="G2835" s="16" t="s">
        <v>7</v>
      </c>
      <c r="H2835" s="16" t="s">
        <v>355</v>
      </c>
      <c r="I2835" s="16" t="s">
        <v>7</v>
      </c>
    </row>
    <row r="2836" spans="2:9" x14ac:dyDescent="0.25">
      <c r="B2836" s="16" t="s">
        <v>2</v>
      </c>
      <c r="C2836" s="17">
        <v>45166</v>
      </c>
      <c r="D2836" s="16">
        <v>16933</v>
      </c>
      <c r="E2836" s="16">
        <v>4381</v>
      </c>
      <c r="F2836" s="18" t="s">
        <v>337</v>
      </c>
      <c r="G2836" s="16" t="s">
        <v>52</v>
      </c>
      <c r="H2836" s="16" t="s">
        <v>71</v>
      </c>
      <c r="I2836" s="16" t="s">
        <v>17</v>
      </c>
    </row>
    <row r="2837" spans="2:9" x14ac:dyDescent="0.25">
      <c r="B2837" s="16" t="s">
        <v>2</v>
      </c>
      <c r="C2837" s="17">
        <v>45166</v>
      </c>
      <c r="D2837" s="16">
        <v>359808</v>
      </c>
      <c r="E2837" s="16">
        <v>66719</v>
      </c>
      <c r="F2837" s="18" t="s">
        <v>180</v>
      </c>
      <c r="G2837" s="16" t="s">
        <v>334</v>
      </c>
      <c r="H2837" s="16" t="s">
        <v>71</v>
      </c>
      <c r="I2837" s="16" t="s">
        <v>17</v>
      </c>
    </row>
    <row r="2838" spans="2:9" x14ac:dyDescent="0.25">
      <c r="B2838" s="16" t="s">
        <v>210</v>
      </c>
      <c r="C2838" s="17">
        <v>45166</v>
      </c>
      <c r="D2838" s="16">
        <v>1830456</v>
      </c>
      <c r="E2838" s="16">
        <v>1015</v>
      </c>
      <c r="F2838" s="18" t="s">
        <v>134</v>
      </c>
      <c r="G2838" s="16" t="s">
        <v>342</v>
      </c>
      <c r="H2838" s="16" t="s">
        <v>46</v>
      </c>
      <c r="I2838" s="16" t="s">
        <v>17</v>
      </c>
    </row>
    <row r="2839" spans="2:9" x14ac:dyDescent="0.25">
      <c r="B2839" s="16" t="s">
        <v>210</v>
      </c>
      <c r="C2839" s="17">
        <v>45166</v>
      </c>
      <c r="D2839" s="16">
        <v>1830454</v>
      </c>
      <c r="E2839" s="16">
        <v>1015</v>
      </c>
      <c r="F2839" s="18" t="s">
        <v>134</v>
      </c>
      <c r="G2839" s="16" t="s">
        <v>342</v>
      </c>
      <c r="H2839" s="16" t="s">
        <v>46</v>
      </c>
      <c r="I2839" s="16" t="s">
        <v>17</v>
      </c>
    </row>
    <row r="2840" spans="2:9" x14ac:dyDescent="0.25">
      <c r="B2840" s="16" t="s">
        <v>210</v>
      </c>
      <c r="C2840" s="17">
        <v>45166</v>
      </c>
      <c r="D2840" s="16">
        <v>61316</v>
      </c>
      <c r="E2840" s="16">
        <v>11787</v>
      </c>
      <c r="F2840" s="18" t="s">
        <v>244</v>
      </c>
      <c r="G2840" s="16" t="s">
        <v>334</v>
      </c>
      <c r="H2840" s="16" t="s">
        <v>71</v>
      </c>
      <c r="I2840" s="16" t="s">
        <v>17</v>
      </c>
    </row>
    <row r="2841" spans="2:9" x14ac:dyDescent="0.25">
      <c r="B2841" s="16" t="s">
        <v>26</v>
      </c>
      <c r="C2841" s="17">
        <v>45166</v>
      </c>
      <c r="D2841" s="16">
        <v>1836347</v>
      </c>
      <c r="E2841" s="16">
        <v>9480</v>
      </c>
      <c r="F2841" s="18" t="s">
        <v>147</v>
      </c>
      <c r="G2841" s="16" t="s">
        <v>341</v>
      </c>
      <c r="H2841" s="16" t="s">
        <v>186</v>
      </c>
      <c r="I2841" s="16" t="s">
        <v>17</v>
      </c>
    </row>
    <row r="2842" spans="2:9" x14ac:dyDescent="0.25">
      <c r="B2842" s="16" t="s">
        <v>26</v>
      </c>
      <c r="C2842" s="17">
        <v>45166</v>
      </c>
      <c r="D2842" s="16">
        <v>7178</v>
      </c>
      <c r="E2842" s="16">
        <v>1499</v>
      </c>
      <c r="F2842" s="18" t="s">
        <v>386</v>
      </c>
      <c r="G2842" s="16" t="s">
        <v>7</v>
      </c>
      <c r="H2842" s="16" t="s">
        <v>355</v>
      </c>
      <c r="I2842" s="16" t="s">
        <v>17</v>
      </c>
    </row>
    <row r="2843" spans="2:9" x14ac:dyDescent="0.25">
      <c r="B2843" s="16" t="s">
        <v>22</v>
      </c>
      <c r="C2843" s="17">
        <v>45167</v>
      </c>
      <c r="D2843" s="16">
        <v>1088946</v>
      </c>
      <c r="E2843" s="16">
        <v>9378</v>
      </c>
      <c r="F2843" s="18" t="s">
        <v>30</v>
      </c>
      <c r="G2843" s="16" t="s">
        <v>342</v>
      </c>
      <c r="H2843" s="16" t="s">
        <v>184</v>
      </c>
      <c r="I2843" s="16" t="s">
        <v>61</v>
      </c>
    </row>
    <row r="2844" spans="2:9" x14ac:dyDescent="0.25">
      <c r="B2844" s="16" t="s">
        <v>33</v>
      </c>
      <c r="C2844" s="17">
        <v>45167</v>
      </c>
      <c r="D2844" s="16">
        <v>495404</v>
      </c>
      <c r="E2844" s="16">
        <v>9398</v>
      </c>
      <c r="F2844" s="18" t="s">
        <v>65</v>
      </c>
      <c r="G2844" s="16" t="s">
        <v>16</v>
      </c>
      <c r="H2844" s="16" t="s">
        <v>28</v>
      </c>
      <c r="I2844" s="16" t="s">
        <v>61</v>
      </c>
    </row>
    <row r="2845" spans="2:9" x14ac:dyDescent="0.25">
      <c r="B2845" s="16" t="s">
        <v>33</v>
      </c>
      <c r="C2845" s="17">
        <v>45167</v>
      </c>
      <c r="D2845" s="16">
        <v>495472</v>
      </c>
      <c r="E2845" s="16">
        <v>9398</v>
      </c>
      <c r="F2845" s="18" t="s">
        <v>65</v>
      </c>
      <c r="G2845" s="16" t="s">
        <v>16</v>
      </c>
      <c r="H2845" s="16" t="s">
        <v>28</v>
      </c>
      <c r="I2845" s="16" t="s">
        <v>61</v>
      </c>
    </row>
    <row r="2846" spans="2:9" x14ac:dyDescent="0.25">
      <c r="B2846" s="16" t="s">
        <v>33</v>
      </c>
      <c r="C2846" s="17">
        <v>45167</v>
      </c>
      <c r="D2846" s="16">
        <v>172252</v>
      </c>
      <c r="E2846" s="16">
        <v>12613</v>
      </c>
      <c r="F2846" s="18" t="s">
        <v>371</v>
      </c>
      <c r="G2846" s="16" t="s">
        <v>342</v>
      </c>
      <c r="H2846" s="16" t="s">
        <v>38</v>
      </c>
      <c r="I2846" s="16" t="s">
        <v>61</v>
      </c>
    </row>
    <row r="2847" spans="2:9" x14ac:dyDescent="0.25">
      <c r="B2847" s="16" t="s">
        <v>26</v>
      </c>
      <c r="C2847" s="17">
        <v>45167</v>
      </c>
      <c r="D2847" s="16">
        <v>1088932</v>
      </c>
      <c r="E2847" s="16">
        <v>9378</v>
      </c>
      <c r="F2847" s="18" t="s">
        <v>30</v>
      </c>
      <c r="G2847" s="16" t="s">
        <v>342</v>
      </c>
      <c r="H2847" s="16" t="s">
        <v>184</v>
      </c>
      <c r="I2847" s="16" t="s">
        <v>61</v>
      </c>
    </row>
    <row r="2848" spans="2:9" x14ac:dyDescent="0.25">
      <c r="B2848" s="16" t="s">
        <v>33</v>
      </c>
      <c r="C2848" s="17">
        <v>45167</v>
      </c>
      <c r="D2848" s="16">
        <v>87836</v>
      </c>
      <c r="E2848" s="16">
        <v>64460</v>
      </c>
      <c r="F2848" s="18" t="s">
        <v>139</v>
      </c>
      <c r="G2848" s="16" t="s">
        <v>334</v>
      </c>
      <c r="H2848" s="16" t="s">
        <v>28</v>
      </c>
      <c r="I2848" s="16" t="s">
        <v>61</v>
      </c>
    </row>
    <row r="2849" spans="2:9" x14ac:dyDescent="0.25">
      <c r="B2849" s="16" t="s">
        <v>33</v>
      </c>
      <c r="C2849" s="17">
        <v>45167</v>
      </c>
      <c r="D2849" s="16">
        <v>121791</v>
      </c>
      <c r="E2849" s="16">
        <v>11604</v>
      </c>
      <c r="F2849" s="18" t="s">
        <v>63</v>
      </c>
      <c r="G2849" s="16" t="s">
        <v>262</v>
      </c>
      <c r="H2849" s="16" t="s">
        <v>38</v>
      </c>
      <c r="I2849" s="16" t="s">
        <v>17</v>
      </c>
    </row>
    <row r="2850" spans="2:9" x14ac:dyDescent="0.25">
      <c r="B2850" s="16" t="s">
        <v>33</v>
      </c>
      <c r="C2850" s="17">
        <v>45167</v>
      </c>
      <c r="D2850" s="16">
        <v>1125096</v>
      </c>
      <c r="E2850" s="16">
        <v>1139</v>
      </c>
      <c r="F2850" s="18" t="s">
        <v>66</v>
      </c>
      <c r="G2850" s="16" t="s">
        <v>334</v>
      </c>
      <c r="H2850" s="16" t="s">
        <v>137</v>
      </c>
      <c r="I2850" s="16" t="s">
        <v>17</v>
      </c>
    </row>
    <row r="2851" spans="2:9" x14ac:dyDescent="0.25">
      <c r="B2851" s="16" t="s">
        <v>210</v>
      </c>
      <c r="C2851" s="17">
        <v>45167</v>
      </c>
      <c r="D2851" s="16">
        <v>172221</v>
      </c>
      <c r="E2851" s="16">
        <v>12613</v>
      </c>
      <c r="F2851" s="18" t="s">
        <v>371</v>
      </c>
      <c r="G2851" s="16" t="s">
        <v>342</v>
      </c>
      <c r="H2851" s="16" t="s">
        <v>36</v>
      </c>
      <c r="I2851" s="16" t="s">
        <v>61</v>
      </c>
    </row>
    <row r="2852" spans="2:9" x14ac:dyDescent="0.25">
      <c r="B2852" s="16" t="s">
        <v>210</v>
      </c>
      <c r="C2852" s="17">
        <v>45167</v>
      </c>
      <c r="D2852" s="16">
        <v>172222</v>
      </c>
      <c r="E2852" s="16">
        <v>12613</v>
      </c>
      <c r="F2852" s="18" t="s">
        <v>371</v>
      </c>
      <c r="G2852" s="16" t="s">
        <v>342</v>
      </c>
      <c r="H2852" s="16" t="s">
        <v>36</v>
      </c>
      <c r="I2852" s="16" t="s">
        <v>61</v>
      </c>
    </row>
    <row r="2853" spans="2:9" x14ac:dyDescent="0.25">
      <c r="B2853" s="16" t="s">
        <v>40</v>
      </c>
      <c r="C2853" s="17">
        <v>45167</v>
      </c>
      <c r="D2853" s="16">
        <v>1088990</v>
      </c>
      <c r="E2853" s="16">
        <v>9378</v>
      </c>
      <c r="F2853" s="18" t="s">
        <v>30</v>
      </c>
      <c r="G2853" s="16" t="s">
        <v>5</v>
      </c>
      <c r="H2853" s="16" t="s">
        <v>184</v>
      </c>
      <c r="I2853" s="16" t="s">
        <v>61</v>
      </c>
    </row>
    <row r="2854" spans="2:9" x14ac:dyDescent="0.25">
      <c r="B2854" s="16" t="s">
        <v>40</v>
      </c>
      <c r="C2854" s="17">
        <v>45167</v>
      </c>
      <c r="D2854" s="16">
        <v>13985</v>
      </c>
      <c r="E2854" s="16">
        <v>10263</v>
      </c>
      <c r="F2854" s="18" t="s">
        <v>34</v>
      </c>
      <c r="G2854" s="16" t="s">
        <v>16</v>
      </c>
      <c r="H2854" s="16" t="s">
        <v>36</v>
      </c>
      <c r="I2854" s="16" t="s">
        <v>61</v>
      </c>
    </row>
    <row r="2855" spans="2:9" x14ac:dyDescent="0.25">
      <c r="B2855" s="16" t="s">
        <v>40</v>
      </c>
      <c r="C2855" s="17">
        <v>45167</v>
      </c>
      <c r="D2855" s="16">
        <v>14012</v>
      </c>
      <c r="E2855" s="16">
        <v>10263</v>
      </c>
      <c r="F2855" s="18" t="s">
        <v>34</v>
      </c>
      <c r="G2855" s="16" t="s">
        <v>16</v>
      </c>
      <c r="H2855" s="16" t="s">
        <v>39</v>
      </c>
      <c r="I2855" s="16" t="s">
        <v>61</v>
      </c>
    </row>
    <row r="2856" spans="2:9" x14ac:dyDescent="0.25">
      <c r="B2856" s="16" t="s">
        <v>40</v>
      </c>
      <c r="C2856" s="17">
        <v>45167</v>
      </c>
      <c r="D2856" s="16">
        <v>1088991</v>
      </c>
      <c r="E2856" s="16">
        <v>9378</v>
      </c>
      <c r="F2856" s="18" t="s">
        <v>30</v>
      </c>
      <c r="G2856" s="16" t="s">
        <v>5</v>
      </c>
      <c r="H2856" s="16" t="s">
        <v>36</v>
      </c>
      <c r="I2856" s="16" t="s">
        <v>61</v>
      </c>
    </row>
    <row r="2857" spans="2:9" x14ac:dyDescent="0.25">
      <c r="B2857" s="16" t="s">
        <v>40</v>
      </c>
      <c r="C2857" s="17">
        <v>45167</v>
      </c>
      <c r="D2857" s="16">
        <v>625949</v>
      </c>
      <c r="E2857" s="16">
        <v>6172</v>
      </c>
      <c r="F2857" s="18" t="s">
        <v>64</v>
      </c>
      <c r="G2857" s="16" t="s">
        <v>4</v>
      </c>
      <c r="H2857" s="16" t="s">
        <v>36</v>
      </c>
      <c r="I2857" s="16" t="s">
        <v>61</v>
      </c>
    </row>
    <row r="2858" spans="2:9" x14ac:dyDescent="0.25">
      <c r="B2858" s="16" t="s">
        <v>33</v>
      </c>
      <c r="C2858" s="17">
        <v>45167</v>
      </c>
      <c r="D2858" s="16">
        <v>50326</v>
      </c>
      <c r="E2858" s="16">
        <v>10348</v>
      </c>
      <c r="F2858" s="18" t="s">
        <v>76</v>
      </c>
      <c r="G2858" s="16" t="s">
        <v>20</v>
      </c>
      <c r="H2858" s="16" t="s">
        <v>355</v>
      </c>
      <c r="I2858" s="16" t="s">
        <v>7</v>
      </c>
    </row>
    <row r="2859" spans="2:9" x14ac:dyDescent="0.25">
      <c r="B2859" s="16" t="s">
        <v>33</v>
      </c>
      <c r="C2859" s="17">
        <v>45167</v>
      </c>
      <c r="D2859" s="16">
        <v>289871</v>
      </c>
      <c r="E2859" s="16">
        <v>37945</v>
      </c>
      <c r="F2859" s="18" t="s">
        <v>166</v>
      </c>
      <c r="G2859" s="16" t="s">
        <v>16</v>
      </c>
      <c r="H2859" s="16" t="s">
        <v>228</v>
      </c>
      <c r="I2859" s="16" t="s">
        <v>92</v>
      </c>
    </row>
    <row r="2860" spans="2:9" x14ac:dyDescent="0.25">
      <c r="B2860" s="16" t="s">
        <v>33</v>
      </c>
      <c r="C2860" s="17">
        <v>45167</v>
      </c>
      <c r="D2860" s="16">
        <v>289872</v>
      </c>
      <c r="E2860" s="16">
        <v>37945</v>
      </c>
      <c r="F2860" s="18" t="s">
        <v>166</v>
      </c>
      <c r="G2860" s="16" t="s">
        <v>16</v>
      </c>
      <c r="H2860" s="16" t="s">
        <v>228</v>
      </c>
      <c r="I2860" s="16" t="s">
        <v>92</v>
      </c>
    </row>
    <row r="2861" spans="2:9" x14ac:dyDescent="0.25">
      <c r="B2861" s="16" t="s">
        <v>210</v>
      </c>
      <c r="C2861" s="17">
        <v>45167</v>
      </c>
      <c r="D2861" s="16">
        <v>4930589</v>
      </c>
      <c r="E2861" s="16">
        <v>9430</v>
      </c>
      <c r="F2861" s="18" t="s">
        <v>185</v>
      </c>
      <c r="G2861" s="16" t="s">
        <v>334</v>
      </c>
      <c r="H2861" s="16" t="s">
        <v>20</v>
      </c>
      <c r="I2861" s="16" t="s">
        <v>20</v>
      </c>
    </row>
    <row r="2862" spans="2:9" x14ac:dyDescent="0.25">
      <c r="B2862" s="16" t="s">
        <v>33</v>
      </c>
      <c r="C2862" s="17">
        <v>45167</v>
      </c>
      <c r="D2862" s="16">
        <v>360758</v>
      </c>
      <c r="E2862" s="16">
        <v>66719</v>
      </c>
      <c r="F2862" s="18" t="s">
        <v>180</v>
      </c>
      <c r="G2862" s="16" t="s">
        <v>334</v>
      </c>
      <c r="H2862" s="16" t="s">
        <v>46</v>
      </c>
      <c r="I2862" s="16" t="s">
        <v>51</v>
      </c>
    </row>
    <row r="2863" spans="2:9" x14ac:dyDescent="0.25">
      <c r="B2863" s="16" t="s">
        <v>2</v>
      </c>
      <c r="C2863" s="17">
        <v>45167</v>
      </c>
      <c r="D2863" s="16">
        <v>172243</v>
      </c>
      <c r="E2863" s="16">
        <v>12613</v>
      </c>
      <c r="F2863" s="18" t="s">
        <v>371</v>
      </c>
      <c r="G2863" s="16" t="s">
        <v>342</v>
      </c>
      <c r="H2863" s="16" t="s">
        <v>114</v>
      </c>
      <c r="I2863" s="16" t="s">
        <v>61</v>
      </c>
    </row>
    <row r="2864" spans="2:9" x14ac:dyDescent="0.25">
      <c r="B2864" s="16" t="s">
        <v>2</v>
      </c>
      <c r="C2864" s="17">
        <v>45167</v>
      </c>
      <c r="D2864" s="16">
        <v>13712</v>
      </c>
      <c r="E2864" s="16">
        <v>10263</v>
      </c>
      <c r="F2864" s="18" t="s">
        <v>34</v>
      </c>
      <c r="G2864" s="16" t="s">
        <v>16</v>
      </c>
      <c r="H2864" s="16" t="s">
        <v>75</v>
      </c>
      <c r="I2864" s="16" t="s">
        <v>433</v>
      </c>
    </row>
    <row r="2865" spans="2:9" x14ac:dyDescent="0.25">
      <c r="B2865" s="16" t="s">
        <v>2</v>
      </c>
      <c r="C2865" s="17">
        <v>45167</v>
      </c>
      <c r="D2865" s="16">
        <v>13722</v>
      </c>
      <c r="E2865" s="16">
        <v>10263</v>
      </c>
      <c r="F2865" s="18" t="s">
        <v>34</v>
      </c>
      <c r="G2865" s="16" t="s">
        <v>16</v>
      </c>
      <c r="H2865" s="16" t="s">
        <v>75</v>
      </c>
      <c r="I2865" s="16" t="s">
        <v>59</v>
      </c>
    </row>
    <row r="2866" spans="2:9" x14ac:dyDescent="0.25">
      <c r="B2866" s="16" t="s">
        <v>2</v>
      </c>
      <c r="C2866" s="17">
        <v>45167</v>
      </c>
      <c r="D2866" s="16">
        <v>1089153</v>
      </c>
      <c r="E2866" s="16">
        <v>9378</v>
      </c>
      <c r="F2866" s="18" t="s">
        <v>30</v>
      </c>
      <c r="G2866" s="16" t="s">
        <v>5</v>
      </c>
      <c r="H2866" s="16" t="s">
        <v>36</v>
      </c>
      <c r="I2866" s="16" t="s">
        <v>434</v>
      </c>
    </row>
    <row r="2867" spans="2:9" x14ac:dyDescent="0.25">
      <c r="B2867" s="16" t="s">
        <v>2</v>
      </c>
      <c r="C2867" s="17">
        <v>45167</v>
      </c>
      <c r="D2867" s="16">
        <v>1089147</v>
      </c>
      <c r="E2867" s="16">
        <v>9378</v>
      </c>
      <c r="F2867" s="18" t="s">
        <v>30</v>
      </c>
      <c r="G2867" s="16" t="s">
        <v>5</v>
      </c>
      <c r="H2867" s="16" t="s">
        <v>184</v>
      </c>
      <c r="I2867" s="16" t="s">
        <v>57</v>
      </c>
    </row>
    <row r="2868" spans="2:9" x14ac:dyDescent="0.25">
      <c r="B2868" s="16" t="s">
        <v>2</v>
      </c>
      <c r="C2868" s="17">
        <v>45167</v>
      </c>
      <c r="D2868" s="16">
        <v>46873</v>
      </c>
      <c r="E2868" s="16">
        <v>8942</v>
      </c>
      <c r="F2868" s="18" t="s">
        <v>435</v>
      </c>
      <c r="G2868" s="16" t="s">
        <v>7</v>
      </c>
      <c r="H2868" s="16" t="s">
        <v>38</v>
      </c>
      <c r="I2868" s="16" t="s">
        <v>17</v>
      </c>
    </row>
    <row r="2869" spans="2:9" x14ac:dyDescent="0.25">
      <c r="B2869" s="16" t="s">
        <v>2</v>
      </c>
      <c r="C2869" s="17">
        <v>45167</v>
      </c>
      <c r="D2869" s="16">
        <v>172404</v>
      </c>
      <c r="E2869" s="16">
        <v>12613</v>
      </c>
      <c r="F2869" s="18" t="s">
        <v>371</v>
      </c>
      <c r="G2869" s="16" t="s">
        <v>342</v>
      </c>
      <c r="H2869" s="16" t="s">
        <v>71</v>
      </c>
      <c r="I2869" s="16" t="s">
        <v>17</v>
      </c>
    </row>
    <row r="2870" spans="2:9" x14ac:dyDescent="0.25">
      <c r="B2870" s="16" t="s">
        <v>40</v>
      </c>
      <c r="C2870" s="17">
        <v>45167</v>
      </c>
      <c r="D2870" s="16">
        <v>1447062</v>
      </c>
      <c r="E2870" s="16">
        <v>13235</v>
      </c>
      <c r="F2870" s="18" t="s">
        <v>99</v>
      </c>
      <c r="G2870" s="16" t="s">
        <v>5</v>
      </c>
      <c r="H2870" s="16" t="s">
        <v>184</v>
      </c>
      <c r="I2870" s="16" t="s">
        <v>61</v>
      </c>
    </row>
    <row r="2871" spans="2:9" x14ac:dyDescent="0.25">
      <c r="B2871" s="16" t="s">
        <v>33</v>
      </c>
      <c r="C2871" s="17">
        <v>45168</v>
      </c>
      <c r="D2871" s="16">
        <v>663928</v>
      </c>
      <c r="E2871" s="16">
        <v>3610</v>
      </c>
      <c r="F2871" s="18" t="s">
        <v>8</v>
      </c>
      <c r="G2871" s="16" t="s">
        <v>334</v>
      </c>
      <c r="H2871" s="16" t="s">
        <v>31</v>
      </c>
      <c r="I2871" s="16" t="s">
        <v>347</v>
      </c>
    </row>
    <row r="2872" spans="2:9" x14ac:dyDescent="0.25">
      <c r="B2872" s="16" t="s">
        <v>26</v>
      </c>
      <c r="C2872" s="17">
        <v>45168</v>
      </c>
      <c r="D2872" s="16">
        <v>361395</v>
      </c>
      <c r="E2872" s="16">
        <v>70592</v>
      </c>
      <c r="F2872" s="18" t="s">
        <v>20</v>
      </c>
      <c r="G2872" s="16" t="s">
        <v>334</v>
      </c>
      <c r="H2872" s="16" t="s">
        <v>221</v>
      </c>
      <c r="I2872" s="16" t="s">
        <v>61</v>
      </c>
    </row>
    <row r="2873" spans="2:9" x14ac:dyDescent="0.25">
      <c r="B2873" s="16" t="s">
        <v>33</v>
      </c>
      <c r="C2873" s="17">
        <v>45168</v>
      </c>
      <c r="D2873" s="16">
        <v>2148123</v>
      </c>
      <c r="E2873" s="16">
        <v>9459</v>
      </c>
      <c r="F2873" s="18" t="s">
        <v>105</v>
      </c>
      <c r="G2873" s="16" t="s">
        <v>16</v>
      </c>
      <c r="H2873" s="16" t="s">
        <v>184</v>
      </c>
      <c r="I2873" s="16" t="s">
        <v>61</v>
      </c>
    </row>
    <row r="2874" spans="2:9" x14ac:dyDescent="0.25">
      <c r="B2874" s="16" t="s">
        <v>33</v>
      </c>
      <c r="C2874" s="17">
        <v>45168</v>
      </c>
      <c r="D2874" s="16">
        <v>8601448</v>
      </c>
      <c r="E2874" s="16">
        <v>9389</v>
      </c>
      <c r="F2874" s="18" t="s">
        <v>119</v>
      </c>
      <c r="G2874" s="16" t="s">
        <v>52</v>
      </c>
      <c r="H2874" s="16" t="s">
        <v>300</v>
      </c>
      <c r="I2874" s="16" t="s">
        <v>432</v>
      </c>
    </row>
    <row r="2875" spans="2:9" x14ac:dyDescent="0.25">
      <c r="B2875" s="16" t="s">
        <v>33</v>
      </c>
      <c r="C2875" s="17">
        <v>45168</v>
      </c>
      <c r="D2875" s="16">
        <v>8601447</v>
      </c>
      <c r="E2875" s="16">
        <v>9389</v>
      </c>
      <c r="F2875" s="18" t="s">
        <v>119</v>
      </c>
      <c r="G2875" s="16" t="s">
        <v>52</v>
      </c>
      <c r="H2875" s="16" t="s">
        <v>300</v>
      </c>
      <c r="I2875" s="16" t="s">
        <v>432</v>
      </c>
    </row>
    <row r="2876" spans="2:9" x14ac:dyDescent="0.25">
      <c r="B2876" s="16" t="s">
        <v>26</v>
      </c>
      <c r="C2876" s="17">
        <v>45168</v>
      </c>
      <c r="D2876" s="16">
        <v>8598289</v>
      </c>
      <c r="E2876" s="16">
        <v>9389</v>
      </c>
      <c r="F2876" s="18" t="s">
        <v>119</v>
      </c>
      <c r="G2876" s="16" t="s">
        <v>52</v>
      </c>
      <c r="H2876" s="16" t="s">
        <v>36</v>
      </c>
      <c r="I2876" s="16" t="s">
        <v>61</v>
      </c>
    </row>
    <row r="2877" spans="2:9" x14ac:dyDescent="0.25">
      <c r="B2877" s="16" t="s">
        <v>26</v>
      </c>
      <c r="C2877" s="17">
        <v>45168</v>
      </c>
      <c r="D2877" s="16">
        <v>1036216</v>
      </c>
      <c r="E2877" s="16">
        <v>9403</v>
      </c>
      <c r="F2877" s="18" t="s">
        <v>153</v>
      </c>
      <c r="G2877" s="16" t="s">
        <v>5</v>
      </c>
      <c r="H2877" s="16" t="s">
        <v>170</v>
      </c>
      <c r="I2877" s="16" t="s">
        <v>17</v>
      </c>
    </row>
    <row r="2878" spans="2:9" x14ac:dyDescent="0.25">
      <c r="B2878" s="16" t="s">
        <v>26</v>
      </c>
      <c r="C2878" s="17">
        <v>45168</v>
      </c>
      <c r="D2878" s="16">
        <v>1036215</v>
      </c>
      <c r="E2878" s="16">
        <v>9403</v>
      </c>
      <c r="F2878" s="18" t="s">
        <v>153</v>
      </c>
      <c r="G2878" s="16" t="s">
        <v>5</v>
      </c>
      <c r="H2878" s="16" t="s">
        <v>170</v>
      </c>
      <c r="I2878" s="16" t="s">
        <v>17</v>
      </c>
    </row>
    <row r="2879" spans="2:9" x14ac:dyDescent="0.25">
      <c r="B2879" s="16" t="s">
        <v>210</v>
      </c>
      <c r="C2879" s="17">
        <v>45168</v>
      </c>
      <c r="D2879" s="16">
        <v>1842609</v>
      </c>
      <c r="E2879" s="16">
        <v>9307</v>
      </c>
      <c r="F2879" s="18" t="s">
        <v>68</v>
      </c>
      <c r="G2879" s="16" t="s">
        <v>334</v>
      </c>
      <c r="H2879" s="16" t="s">
        <v>36</v>
      </c>
      <c r="I2879" s="16" t="s">
        <v>61</v>
      </c>
    </row>
    <row r="2880" spans="2:9" x14ac:dyDescent="0.25">
      <c r="B2880" s="16" t="s">
        <v>22</v>
      </c>
      <c r="C2880" s="17">
        <v>45168</v>
      </c>
      <c r="D2880" s="16">
        <v>4701572</v>
      </c>
      <c r="E2880" s="16">
        <v>9460</v>
      </c>
      <c r="F2880" s="18" t="s">
        <v>183</v>
      </c>
      <c r="G2880" s="16" t="s">
        <v>52</v>
      </c>
      <c r="H2880" s="16" t="s">
        <v>39</v>
      </c>
      <c r="I2880" s="16" t="s">
        <v>61</v>
      </c>
    </row>
    <row r="2881" spans="2:9" x14ac:dyDescent="0.25">
      <c r="B2881" s="16" t="s">
        <v>26</v>
      </c>
      <c r="C2881" s="17">
        <v>45168</v>
      </c>
      <c r="D2881" s="16">
        <v>54273</v>
      </c>
      <c r="E2881" s="16">
        <v>9451</v>
      </c>
      <c r="F2881" s="18" t="s">
        <v>195</v>
      </c>
      <c r="G2881" s="16" t="s">
        <v>334</v>
      </c>
      <c r="H2881" s="16" t="s">
        <v>184</v>
      </c>
      <c r="I2881" s="16" t="s">
        <v>61</v>
      </c>
    </row>
    <row r="2882" spans="2:9" x14ac:dyDescent="0.25">
      <c r="B2882" s="16" t="s">
        <v>40</v>
      </c>
      <c r="C2882" s="17">
        <v>45168</v>
      </c>
      <c r="D2882" s="16">
        <v>664034</v>
      </c>
      <c r="E2882" s="16"/>
      <c r="F2882" s="18" t="s">
        <v>20</v>
      </c>
      <c r="G2882" s="16" t="s">
        <v>20</v>
      </c>
      <c r="H2882" s="16" t="s">
        <v>114</v>
      </c>
      <c r="I2882" s="16" t="s">
        <v>17</v>
      </c>
    </row>
    <row r="2883" spans="2:9" x14ac:dyDescent="0.25">
      <c r="B2883" s="16" t="s">
        <v>33</v>
      </c>
      <c r="C2883" s="17">
        <v>45168</v>
      </c>
      <c r="D2883" s="16">
        <v>4701213</v>
      </c>
      <c r="E2883" s="16">
        <v>9460</v>
      </c>
      <c r="F2883" s="18" t="s">
        <v>183</v>
      </c>
      <c r="G2883" s="16" t="s">
        <v>4</v>
      </c>
      <c r="H2883" s="16" t="s">
        <v>49</v>
      </c>
      <c r="I2883" s="16" t="s">
        <v>42</v>
      </c>
    </row>
    <row r="2884" spans="2:9" x14ac:dyDescent="0.25">
      <c r="B2884" s="16" t="s">
        <v>26</v>
      </c>
      <c r="C2884" s="17">
        <v>45168</v>
      </c>
      <c r="D2884" s="16">
        <v>223780</v>
      </c>
      <c r="E2884" s="16">
        <v>9486</v>
      </c>
      <c r="F2884" s="18" t="s">
        <v>179</v>
      </c>
      <c r="G2884" s="16" t="s">
        <v>5</v>
      </c>
      <c r="H2884" s="16" t="s">
        <v>49</v>
      </c>
      <c r="I2884" s="16" t="s">
        <v>57</v>
      </c>
    </row>
    <row r="2885" spans="2:9" x14ac:dyDescent="0.25">
      <c r="B2885" s="16" t="s">
        <v>33</v>
      </c>
      <c r="C2885" s="17">
        <v>45168</v>
      </c>
      <c r="D2885" s="16">
        <v>75813</v>
      </c>
      <c r="E2885" s="16">
        <v>1002</v>
      </c>
      <c r="F2885" s="18" t="s">
        <v>178</v>
      </c>
      <c r="G2885" s="16" t="s">
        <v>52</v>
      </c>
      <c r="H2885" s="16" t="s">
        <v>71</v>
      </c>
      <c r="I2885" s="16" t="s">
        <v>17</v>
      </c>
    </row>
    <row r="2886" spans="2:9" x14ac:dyDescent="0.25">
      <c r="B2886" s="16" t="s">
        <v>26</v>
      </c>
      <c r="C2886" s="17">
        <v>45168</v>
      </c>
      <c r="D2886" s="16">
        <v>13201</v>
      </c>
      <c r="E2886" s="16">
        <v>14911</v>
      </c>
      <c r="F2886" s="18" t="s">
        <v>431</v>
      </c>
      <c r="G2886" s="16" t="s">
        <v>52</v>
      </c>
      <c r="H2886" s="16" t="s">
        <v>46</v>
      </c>
      <c r="I2886" s="16" t="s">
        <v>17</v>
      </c>
    </row>
    <row r="2887" spans="2:9" x14ac:dyDescent="0.25">
      <c r="B2887" s="16" t="s">
        <v>26</v>
      </c>
      <c r="C2887" s="17">
        <v>45168</v>
      </c>
      <c r="D2887" s="16">
        <v>13190</v>
      </c>
      <c r="E2887" s="16">
        <v>14911</v>
      </c>
      <c r="F2887" s="18" t="s">
        <v>431</v>
      </c>
      <c r="G2887" s="16" t="s">
        <v>52</v>
      </c>
      <c r="H2887" s="16" t="s">
        <v>46</v>
      </c>
      <c r="I2887" s="16" t="s">
        <v>17</v>
      </c>
    </row>
    <row r="2888" spans="2:9" x14ac:dyDescent="0.25">
      <c r="B2888" s="16" t="s">
        <v>210</v>
      </c>
      <c r="C2888" s="17">
        <v>45168</v>
      </c>
      <c r="D2888" s="16">
        <v>44566</v>
      </c>
      <c r="E2888" s="16">
        <v>3271</v>
      </c>
      <c r="F2888" s="18" t="s">
        <v>436</v>
      </c>
      <c r="G2888" s="16" t="s">
        <v>341</v>
      </c>
      <c r="H2888" s="16" t="s">
        <v>20</v>
      </c>
      <c r="I2888" s="16" t="s">
        <v>373</v>
      </c>
    </row>
    <row r="2889" spans="2:9" x14ac:dyDescent="0.25">
      <c r="B2889" s="16" t="s">
        <v>210</v>
      </c>
      <c r="C2889" s="17">
        <v>45168</v>
      </c>
      <c r="D2889" s="16">
        <v>346310</v>
      </c>
      <c r="E2889" s="16">
        <v>6735</v>
      </c>
      <c r="F2889" s="18" t="s">
        <v>144</v>
      </c>
      <c r="G2889" s="16" t="s">
        <v>52</v>
      </c>
      <c r="H2889" s="16" t="s">
        <v>75</v>
      </c>
      <c r="I2889" s="16" t="s">
        <v>61</v>
      </c>
    </row>
    <row r="2890" spans="2:9" x14ac:dyDescent="0.25">
      <c r="B2890" s="16" t="s">
        <v>26</v>
      </c>
      <c r="C2890" s="17">
        <v>45168</v>
      </c>
      <c r="D2890" s="16">
        <v>495586</v>
      </c>
      <c r="E2890" s="16">
        <v>9398</v>
      </c>
      <c r="F2890" s="18" t="s">
        <v>65</v>
      </c>
      <c r="G2890" s="16" t="s">
        <v>16</v>
      </c>
      <c r="H2890" s="16" t="s">
        <v>75</v>
      </c>
      <c r="I2890" s="16" t="s">
        <v>17</v>
      </c>
    </row>
    <row r="2891" spans="2:9" x14ac:dyDescent="0.25">
      <c r="B2891" s="16" t="s">
        <v>2</v>
      </c>
      <c r="C2891" s="17">
        <v>45168</v>
      </c>
      <c r="D2891" s="16">
        <v>21347</v>
      </c>
      <c r="E2891" s="16">
        <v>14818</v>
      </c>
      <c r="F2891" s="18" t="s">
        <v>90</v>
      </c>
      <c r="G2891" s="16" t="s">
        <v>342</v>
      </c>
      <c r="H2891" s="16" t="s">
        <v>75</v>
      </c>
      <c r="I2891" s="16" t="s">
        <v>17</v>
      </c>
    </row>
    <row r="2892" spans="2:9" x14ac:dyDescent="0.25">
      <c r="B2892" s="16" t="s">
        <v>22</v>
      </c>
      <c r="C2892" s="17">
        <v>45168</v>
      </c>
      <c r="D2892" s="16">
        <v>495249</v>
      </c>
      <c r="E2892" s="16">
        <v>9398</v>
      </c>
      <c r="F2892" s="18" t="s">
        <v>65</v>
      </c>
      <c r="G2892" s="16" t="s">
        <v>16</v>
      </c>
      <c r="H2892" s="16" t="s">
        <v>49</v>
      </c>
      <c r="I2892" s="16" t="s">
        <v>17</v>
      </c>
    </row>
    <row r="2893" spans="2:9" x14ac:dyDescent="0.25">
      <c r="B2893" s="16" t="s">
        <v>210</v>
      </c>
      <c r="C2893" s="17">
        <v>45169</v>
      </c>
      <c r="D2893" s="16">
        <v>418308</v>
      </c>
      <c r="E2893" s="16">
        <v>9397</v>
      </c>
      <c r="F2893" s="18" t="s">
        <v>133</v>
      </c>
      <c r="G2893" s="16" t="s">
        <v>6</v>
      </c>
      <c r="H2893" s="16" t="s">
        <v>28</v>
      </c>
      <c r="I2893" s="16" t="s">
        <v>414</v>
      </c>
    </row>
    <row r="2894" spans="2:9" x14ac:dyDescent="0.25">
      <c r="B2894" s="16" t="s">
        <v>22</v>
      </c>
      <c r="C2894" s="17">
        <v>45169</v>
      </c>
      <c r="D2894" s="16">
        <v>1839818</v>
      </c>
      <c r="E2894" s="16">
        <v>9480</v>
      </c>
      <c r="F2894" s="18" t="s">
        <v>147</v>
      </c>
      <c r="G2894" s="16" t="s">
        <v>6</v>
      </c>
      <c r="H2894" s="16" t="s">
        <v>28</v>
      </c>
      <c r="I2894" s="16" t="s">
        <v>258</v>
      </c>
    </row>
    <row r="2895" spans="2:9" x14ac:dyDescent="0.25">
      <c r="B2895" s="16" t="s">
        <v>22</v>
      </c>
      <c r="C2895" s="17">
        <v>45169</v>
      </c>
      <c r="D2895" s="16">
        <v>1839820</v>
      </c>
      <c r="E2895" s="16">
        <v>9480</v>
      </c>
      <c r="F2895" s="18" t="s">
        <v>147</v>
      </c>
      <c r="G2895" s="16" t="s">
        <v>341</v>
      </c>
      <c r="H2895" s="16" t="s">
        <v>28</v>
      </c>
      <c r="I2895" s="16" t="s">
        <v>370</v>
      </c>
    </row>
    <row r="2896" spans="2:9" x14ac:dyDescent="0.25">
      <c r="B2896" s="16" t="s">
        <v>26</v>
      </c>
      <c r="C2896" s="17">
        <v>45169</v>
      </c>
      <c r="D2896" s="16">
        <v>346307</v>
      </c>
      <c r="E2896" s="16">
        <v>6735</v>
      </c>
      <c r="F2896" s="18" t="s">
        <v>144</v>
      </c>
      <c r="G2896" s="16" t="s">
        <v>52</v>
      </c>
      <c r="H2896" s="16" t="s">
        <v>75</v>
      </c>
      <c r="I2896" s="16" t="s">
        <v>61</v>
      </c>
    </row>
    <row r="2897" spans="2:9" x14ac:dyDescent="0.25">
      <c r="B2897" s="16" t="s">
        <v>26</v>
      </c>
      <c r="C2897" s="17">
        <v>45169</v>
      </c>
      <c r="D2897" s="16">
        <v>524</v>
      </c>
      <c r="E2897" s="16">
        <v>8220</v>
      </c>
      <c r="F2897" s="18" t="s">
        <v>437</v>
      </c>
      <c r="G2897" s="16" t="s">
        <v>52</v>
      </c>
      <c r="H2897" s="16" t="s">
        <v>228</v>
      </c>
      <c r="I2897" s="16" t="s">
        <v>17</v>
      </c>
    </row>
    <row r="2898" spans="2:9" x14ac:dyDescent="0.25">
      <c r="B2898" s="16" t="s">
        <v>210</v>
      </c>
      <c r="C2898" s="17">
        <v>45169</v>
      </c>
      <c r="D2898" s="16">
        <v>202042</v>
      </c>
      <c r="E2898" s="16">
        <v>10440</v>
      </c>
      <c r="F2898" s="18" t="s">
        <v>37</v>
      </c>
      <c r="G2898" s="16" t="s">
        <v>334</v>
      </c>
      <c r="H2898" s="16" t="s">
        <v>186</v>
      </c>
      <c r="I2898" s="16" t="s">
        <v>61</v>
      </c>
    </row>
    <row r="2899" spans="2:9" x14ac:dyDescent="0.25">
      <c r="B2899" s="16" t="s">
        <v>210</v>
      </c>
      <c r="C2899" s="17">
        <v>45169</v>
      </c>
      <c r="D2899" s="16">
        <v>125072</v>
      </c>
      <c r="E2899" s="16">
        <v>13121</v>
      </c>
      <c r="F2899" s="18" t="s">
        <v>143</v>
      </c>
      <c r="G2899" s="16" t="s">
        <v>52</v>
      </c>
      <c r="H2899" s="16" t="s">
        <v>220</v>
      </c>
      <c r="I2899" s="16" t="s">
        <v>61</v>
      </c>
    </row>
    <row r="2900" spans="2:9" x14ac:dyDescent="0.25">
      <c r="B2900" s="16" t="s">
        <v>33</v>
      </c>
      <c r="C2900" s="17">
        <v>45169</v>
      </c>
      <c r="D2900" s="16">
        <v>541876</v>
      </c>
      <c r="E2900" s="16">
        <v>1008</v>
      </c>
      <c r="F2900" s="18" t="s">
        <v>74</v>
      </c>
      <c r="G2900" s="16" t="s">
        <v>334</v>
      </c>
      <c r="H2900" s="16" t="s">
        <v>36</v>
      </c>
      <c r="I2900" s="16" t="s">
        <v>61</v>
      </c>
    </row>
    <row r="2901" spans="2:9" x14ac:dyDescent="0.25">
      <c r="B2901" s="16" t="s">
        <v>210</v>
      </c>
      <c r="C2901" s="17">
        <v>45169</v>
      </c>
      <c r="D2901" s="16">
        <v>1839819</v>
      </c>
      <c r="E2901" s="16">
        <v>9480</v>
      </c>
      <c r="F2901" s="18" t="s">
        <v>147</v>
      </c>
      <c r="G2901" s="16" t="s">
        <v>341</v>
      </c>
      <c r="H2901" s="16" t="s">
        <v>228</v>
      </c>
      <c r="I2901" s="16" t="s">
        <v>17</v>
      </c>
    </row>
    <row r="2902" spans="2:9" x14ac:dyDescent="0.25">
      <c r="B2902" s="16" t="s">
        <v>33</v>
      </c>
      <c r="C2902" s="17">
        <v>45169</v>
      </c>
      <c r="D2902" s="16">
        <v>857861</v>
      </c>
      <c r="E2902" s="16">
        <v>3438</v>
      </c>
      <c r="F2902" s="18" t="s">
        <v>200</v>
      </c>
      <c r="G2902" s="16" t="s">
        <v>5</v>
      </c>
      <c r="H2902" s="16" t="s">
        <v>184</v>
      </c>
      <c r="I2902" s="16" t="s">
        <v>61</v>
      </c>
    </row>
    <row r="2903" spans="2:9" x14ac:dyDescent="0.25">
      <c r="B2903" s="16" t="s">
        <v>33</v>
      </c>
      <c r="C2903" s="17">
        <v>45169</v>
      </c>
      <c r="D2903" s="16">
        <v>857860</v>
      </c>
      <c r="E2903" s="16">
        <v>3438</v>
      </c>
      <c r="F2903" s="18" t="s">
        <v>200</v>
      </c>
      <c r="G2903" s="16" t="s">
        <v>5</v>
      </c>
      <c r="H2903" s="16" t="s">
        <v>184</v>
      </c>
      <c r="I2903" s="16" t="s">
        <v>61</v>
      </c>
    </row>
    <row r="2904" spans="2:9" x14ac:dyDescent="0.25">
      <c r="B2904" s="16" t="s">
        <v>33</v>
      </c>
      <c r="C2904" s="17">
        <v>45169</v>
      </c>
      <c r="D2904" s="16">
        <v>857859</v>
      </c>
      <c r="E2904" s="16">
        <v>3438</v>
      </c>
      <c r="F2904" s="18" t="s">
        <v>200</v>
      </c>
      <c r="G2904" s="16" t="s">
        <v>341</v>
      </c>
      <c r="H2904" s="16" t="s">
        <v>184</v>
      </c>
      <c r="I2904" s="16" t="s">
        <v>61</v>
      </c>
    </row>
    <row r="2905" spans="2:9" x14ac:dyDescent="0.25">
      <c r="B2905" s="16" t="s">
        <v>33</v>
      </c>
      <c r="C2905" s="17">
        <v>45169</v>
      </c>
      <c r="D2905" s="16">
        <v>857858</v>
      </c>
      <c r="E2905" s="16">
        <v>3438</v>
      </c>
      <c r="F2905" s="18" t="s">
        <v>200</v>
      </c>
      <c r="G2905" s="16" t="s">
        <v>341</v>
      </c>
      <c r="H2905" s="16" t="s">
        <v>184</v>
      </c>
      <c r="I2905" s="16" t="s">
        <v>61</v>
      </c>
    </row>
    <row r="2906" spans="2:9" x14ac:dyDescent="0.25">
      <c r="B2906" s="16" t="s">
        <v>22</v>
      </c>
      <c r="C2906" s="17">
        <v>45169</v>
      </c>
      <c r="D2906" s="16">
        <v>3910166</v>
      </c>
      <c r="E2906" s="16">
        <v>3506</v>
      </c>
      <c r="F2906" s="18" t="s">
        <v>77</v>
      </c>
      <c r="G2906" s="16" t="s">
        <v>4</v>
      </c>
      <c r="H2906" s="16" t="s">
        <v>184</v>
      </c>
      <c r="I2906" s="16" t="s">
        <v>61</v>
      </c>
    </row>
    <row r="2907" spans="2:9" x14ac:dyDescent="0.25">
      <c r="B2907" s="16" t="s">
        <v>26</v>
      </c>
      <c r="C2907" s="17">
        <v>45169</v>
      </c>
      <c r="D2907" s="16">
        <v>2417287</v>
      </c>
      <c r="E2907" s="16">
        <v>8252</v>
      </c>
      <c r="F2907" s="18" t="s">
        <v>286</v>
      </c>
      <c r="G2907" s="16" t="s">
        <v>52</v>
      </c>
      <c r="H2907" s="16" t="s">
        <v>184</v>
      </c>
      <c r="I2907" s="16" t="s">
        <v>61</v>
      </c>
    </row>
    <row r="2908" spans="2:9" x14ac:dyDescent="0.25">
      <c r="B2908" s="16" t="s">
        <v>22</v>
      </c>
      <c r="C2908" s="17">
        <v>45169</v>
      </c>
      <c r="D2908" s="16">
        <v>2417281</v>
      </c>
      <c r="E2908" s="16">
        <v>8252</v>
      </c>
      <c r="F2908" s="18" t="s">
        <v>286</v>
      </c>
      <c r="G2908" s="16" t="s">
        <v>52</v>
      </c>
      <c r="H2908" s="16" t="s">
        <v>184</v>
      </c>
      <c r="I2908" s="16" t="s">
        <v>61</v>
      </c>
    </row>
    <row r="2909" spans="2:9" x14ac:dyDescent="0.25">
      <c r="B2909" s="16" t="s">
        <v>26</v>
      </c>
      <c r="C2909" s="17">
        <v>45169</v>
      </c>
      <c r="D2909" s="16">
        <v>50401</v>
      </c>
      <c r="E2909" s="16">
        <v>10348</v>
      </c>
      <c r="F2909" s="18" t="s">
        <v>76</v>
      </c>
      <c r="G2909" s="16" t="s">
        <v>7</v>
      </c>
      <c r="H2909" s="16" t="s">
        <v>49</v>
      </c>
      <c r="I2909" s="16" t="s">
        <v>17</v>
      </c>
    </row>
    <row r="2910" spans="2:9" x14ac:dyDescent="0.25">
      <c r="B2910" s="16" t="s">
        <v>2</v>
      </c>
      <c r="C2910" s="17">
        <v>45169</v>
      </c>
      <c r="D2910" s="16">
        <v>121895</v>
      </c>
      <c r="E2910" s="16">
        <v>11604</v>
      </c>
      <c r="F2910" s="18" t="s">
        <v>63</v>
      </c>
      <c r="G2910" s="16" t="s">
        <v>262</v>
      </c>
      <c r="H2910" s="16" t="s">
        <v>38</v>
      </c>
      <c r="I2910" s="16" t="s">
        <v>17</v>
      </c>
    </row>
    <row r="2911" spans="2:9" x14ac:dyDescent="0.25">
      <c r="B2911" s="16" t="s">
        <v>210</v>
      </c>
      <c r="C2911" s="17">
        <v>45169</v>
      </c>
      <c r="D2911" s="16">
        <v>2417271</v>
      </c>
      <c r="E2911" s="16">
        <v>8252</v>
      </c>
      <c r="F2911" s="18" t="s">
        <v>286</v>
      </c>
      <c r="G2911" s="16" t="s">
        <v>4</v>
      </c>
      <c r="H2911" s="16" t="s">
        <v>186</v>
      </c>
      <c r="I2911" s="16" t="s">
        <v>61</v>
      </c>
    </row>
    <row r="2912" spans="2:9" x14ac:dyDescent="0.25">
      <c r="B2912" s="16" t="s">
        <v>210</v>
      </c>
      <c r="C2912" s="17">
        <v>45169</v>
      </c>
      <c r="D2912" s="16">
        <v>290901</v>
      </c>
      <c r="E2912" s="16">
        <v>37945</v>
      </c>
      <c r="F2912" s="18" t="s">
        <v>166</v>
      </c>
      <c r="G2912" s="16" t="s">
        <v>341</v>
      </c>
      <c r="H2912" s="16" t="s">
        <v>186</v>
      </c>
      <c r="I2912" s="16" t="s">
        <v>370</v>
      </c>
    </row>
    <row r="2913" spans="2:9" x14ac:dyDescent="0.25">
      <c r="B2913" s="16" t="s">
        <v>210</v>
      </c>
      <c r="C2913" s="17">
        <v>45169</v>
      </c>
      <c r="D2913" s="16">
        <v>8601767</v>
      </c>
      <c r="E2913" s="16">
        <v>9389</v>
      </c>
      <c r="F2913" s="18" t="s">
        <v>119</v>
      </c>
      <c r="G2913" s="16" t="s">
        <v>52</v>
      </c>
      <c r="H2913" s="16" t="s">
        <v>186</v>
      </c>
      <c r="I2913" s="16" t="s">
        <v>232</v>
      </c>
    </row>
    <row r="2914" spans="2:9" x14ac:dyDescent="0.25">
      <c r="B2914" s="16" t="s">
        <v>2</v>
      </c>
      <c r="C2914" s="17">
        <v>45169</v>
      </c>
      <c r="D2914" s="16">
        <v>664023</v>
      </c>
      <c r="E2914" s="16">
        <v>3610</v>
      </c>
      <c r="F2914" s="18" t="s">
        <v>8</v>
      </c>
      <c r="G2914" s="16" t="s">
        <v>52</v>
      </c>
      <c r="H2914" s="16" t="s">
        <v>38</v>
      </c>
      <c r="I2914" s="16" t="s">
        <v>17</v>
      </c>
    </row>
    <row r="2915" spans="2:9" x14ac:dyDescent="0.25">
      <c r="B2915" s="16" t="s">
        <v>33</v>
      </c>
      <c r="C2915" s="17">
        <v>45169</v>
      </c>
      <c r="D2915" s="16">
        <v>201560</v>
      </c>
      <c r="E2915" s="16">
        <v>10440</v>
      </c>
      <c r="F2915" s="18" t="s">
        <v>37</v>
      </c>
      <c r="G2915" s="16" t="s">
        <v>342</v>
      </c>
      <c r="H2915" s="16" t="s">
        <v>38</v>
      </c>
      <c r="I2915" s="16" t="s">
        <v>61</v>
      </c>
    </row>
    <row r="2916" spans="2:9" x14ac:dyDescent="0.25">
      <c r="B2916" s="16" t="s">
        <v>210</v>
      </c>
      <c r="C2916" s="17">
        <v>45169</v>
      </c>
      <c r="D2916" s="16">
        <v>37335</v>
      </c>
      <c r="E2916" s="16">
        <v>70485</v>
      </c>
      <c r="F2916" s="18" t="s">
        <v>20</v>
      </c>
      <c r="G2916" s="16" t="s">
        <v>52</v>
      </c>
      <c r="H2916" s="16" t="s">
        <v>46</v>
      </c>
      <c r="I2916" s="16" t="s">
        <v>438</v>
      </c>
    </row>
    <row r="2917" spans="2:9" x14ac:dyDescent="0.25">
      <c r="B2917" s="16" t="s">
        <v>210</v>
      </c>
      <c r="C2917" s="17">
        <v>45169</v>
      </c>
      <c r="D2917" s="16">
        <v>37336</v>
      </c>
      <c r="E2917" s="16">
        <v>70485</v>
      </c>
      <c r="F2917" s="18" t="s">
        <v>20</v>
      </c>
      <c r="G2917" s="16" t="s">
        <v>52</v>
      </c>
      <c r="H2917" s="16" t="s">
        <v>46</v>
      </c>
      <c r="I2917" s="16" t="s">
        <v>17</v>
      </c>
    </row>
    <row r="2918" spans="2:9" x14ac:dyDescent="0.25">
      <c r="B2918" s="16" t="s">
        <v>33</v>
      </c>
      <c r="C2918" s="17">
        <v>45169</v>
      </c>
      <c r="D2918" s="16">
        <v>541875</v>
      </c>
      <c r="E2918" s="16">
        <v>1008</v>
      </c>
      <c r="F2918" s="18" t="s">
        <v>74</v>
      </c>
      <c r="G2918" s="16" t="s">
        <v>334</v>
      </c>
      <c r="H2918" s="16" t="s">
        <v>184</v>
      </c>
      <c r="I2918" s="16" t="s">
        <v>61</v>
      </c>
    </row>
    <row r="2919" spans="2:9" x14ac:dyDescent="0.25">
      <c r="B2919" s="16" t="s">
        <v>26</v>
      </c>
      <c r="C2919" s="17">
        <v>45169</v>
      </c>
      <c r="D2919" s="16">
        <v>172599</v>
      </c>
      <c r="E2919" s="16">
        <v>12613</v>
      </c>
      <c r="F2919" s="18" t="s">
        <v>371</v>
      </c>
      <c r="G2919" s="16" t="s">
        <v>342</v>
      </c>
      <c r="H2919" s="16" t="s">
        <v>49</v>
      </c>
      <c r="I2919" s="16" t="s">
        <v>17</v>
      </c>
    </row>
    <row r="2920" spans="2:9" x14ac:dyDescent="0.25">
      <c r="B2920" s="16" t="s">
        <v>210</v>
      </c>
      <c r="C2920" s="17">
        <v>45169</v>
      </c>
      <c r="D2920" s="16">
        <v>326639</v>
      </c>
      <c r="E2920" s="16">
        <v>71656</v>
      </c>
      <c r="F2920" s="18" t="s">
        <v>20</v>
      </c>
      <c r="G2920" s="16" t="s">
        <v>343</v>
      </c>
      <c r="H2920" s="16" t="s">
        <v>46</v>
      </c>
      <c r="I2920" s="16" t="s">
        <v>17</v>
      </c>
    </row>
    <row r="2921" spans="2:9" x14ac:dyDescent="0.25">
      <c r="B2921" s="16" t="s">
        <v>40</v>
      </c>
      <c r="C2921" s="17">
        <v>45169</v>
      </c>
      <c r="D2921" s="16">
        <v>2417263</v>
      </c>
      <c r="E2921" s="16">
        <v>8252</v>
      </c>
      <c r="F2921" s="18" t="s">
        <v>286</v>
      </c>
      <c r="G2921" s="16"/>
      <c r="H2921" s="16" t="s">
        <v>184</v>
      </c>
      <c r="I2921" s="16" t="s">
        <v>61</v>
      </c>
    </row>
    <row r="2922" spans="2:9" x14ac:dyDescent="0.25">
      <c r="B2922" s="16" t="s">
        <v>40</v>
      </c>
      <c r="C2922" s="17">
        <v>45169</v>
      </c>
      <c r="D2922" s="16">
        <v>268226</v>
      </c>
      <c r="E2922" s="16">
        <v>9382</v>
      </c>
      <c r="F2922" s="18" t="s">
        <v>401</v>
      </c>
      <c r="G2922" s="16" t="s">
        <v>5</v>
      </c>
      <c r="H2922" s="16" t="s">
        <v>28</v>
      </c>
      <c r="I2922" s="16" t="s">
        <v>61</v>
      </c>
    </row>
    <row r="2923" spans="2:9" x14ac:dyDescent="0.25">
      <c r="B2923" s="16" t="s">
        <v>40</v>
      </c>
      <c r="C2923" s="17">
        <v>45169</v>
      </c>
      <c r="D2923" s="16">
        <v>268236</v>
      </c>
      <c r="E2923" s="16">
        <v>9382</v>
      </c>
      <c r="F2923" s="18" t="s">
        <v>401</v>
      </c>
      <c r="G2923" s="16" t="s">
        <v>5</v>
      </c>
      <c r="H2923" s="16" t="s">
        <v>28</v>
      </c>
      <c r="I2923" s="16" t="s">
        <v>61</v>
      </c>
    </row>
    <row r="2924" spans="2:9" x14ac:dyDescent="0.25">
      <c r="B2924" s="16" t="s">
        <v>40</v>
      </c>
      <c r="C2924" s="17">
        <v>45169</v>
      </c>
      <c r="D2924" s="16">
        <v>268237</v>
      </c>
      <c r="E2924" s="16">
        <v>9382</v>
      </c>
      <c r="F2924" s="18" t="s">
        <v>401</v>
      </c>
      <c r="G2924" s="16" t="s">
        <v>5</v>
      </c>
      <c r="H2924" s="16" t="s">
        <v>28</v>
      </c>
      <c r="I2924" s="16" t="s">
        <v>61</v>
      </c>
    </row>
    <row r="2925" spans="2:9" x14ac:dyDescent="0.25">
      <c r="B2925" s="16" t="s">
        <v>40</v>
      </c>
      <c r="C2925" s="17">
        <v>45169</v>
      </c>
      <c r="D2925" s="16">
        <v>268223</v>
      </c>
      <c r="E2925" s="16">
        <v>9382</v>
      </c>
      <c r="F2925" s="18" t="s">
        <v>401</v>
      </c>
      <c r="G2925" s="16" t="s">
        <v>5</v>
      </c>
      <c r="H2925" s="16" t="s">
        <v>28</v>
      </c>
      <c r="I2925" s="16" t="s">
        <v>61</v>
      </c>
    </row>
    <row r="2926" spans="2:9" x14ac:dyDescent="0.25">
      <c r="B2926" s="16" t="s">
        <v>40</v>
      </c>
      <c r="C2926" s="17">
        <v>45169</v>
      </c>
      <c r="D2926" s="16">
        <v>267244</v>
      </c>
      <c r="E2926" s="16">
        <v>9382</v>
      </c>
      <c r="F2926" s="18" t="s">
        <v>401</v>
      </c>
      <c r="G2926" s="16" t="s">
        <v>5</v>
      </c>
      <c r="H2926" s="16" t="s">
        <v>28</v>
      </c>
      <c r="I2926" s="16" t="s">
        <v>61</v>
      </c>
    </row>
    <row r="2927" spans="2:9" x14ac:dyDescent="0.25">
      <c r="B2927" s="16" t="s">
        <v>40</v>
      </c>
      <c r="C2927" s="17">
        <v>45169</v>
      </c>
      <c r="D2927" s="16">
        <v>857856</v>
      </c>
      <c r="E2927" s="16">
        <v>3438</v>
      </c>
      <c r="F2927" s="18" t="s">
        <v>200</v>
      </c>
      <c r="G2927" s="16" t="s">
        <v>5</v>
      </c>
      <c r="H2927" s="16" t="s">
        <v>184</v>
      </c>
      <c r="I2927" s="16" t="s">
        <v>61</v>
      </c>
    </row>
    <row r="2928" spans="2:9" x14ac:dyDescent="0.25">
      <c r="B2928" s="16" t="s">
        <v>40</v>
      </c>
      <c r="C2928" s="17">
        <v>45169</v>
      </c>
      <c r="D2928" s="16">
        <v>857857</v>
      </c>
      <c r="E2928" s="16">
        <v>3438</v>
      </c>
      <c r="F2928" s="18" t="s">
        <v>200</v>
      </c>
      <c r="G2928" s="16" t="s">
        <v>5</v>
      </c>
      <c r="H2928" s="16" t="s">
        <v>184</v>
      </c>
      <c r="I2928" s="16" t="s">
        <v>61</v>
      </c>
    </row>
    <row r="2929" spans="2:9" x14ac:dyDescent="0.25">
      <c r="B2929" s="16" t="s">
        <v>40</v>
      </c>
      <c r="C2929" s="17">
        <v>45169</v>
      </c>
      <c r="D2929" s="16">
        <v>857855</v>
      </c>
      <c r="E2929" s="16">
        <v>3438</v>
      </c>
      <c r="F2929" s="18" t="s">
        <v>200</v>
      </c>
      <c r="G2929" s="16" t="s">
        <v>5</v>
      </c>
      <c r="H2929" s="16" t="s">
        <v>184</v>
      </c>
      <c r="I2929" s="16" t="s">
        <v>61</v>
      </c>
    </row>
    <row r="2930" spans="2:9" x14ac:dyDescent="0.25">
      <c r="B2930" s="16" t="s">
        <v>40</v>
      </c>
      <c r="C2930" s="17">
        <v>45169</v>
      </c>
      <c r="D2930" s="16">
        <v>857865</v>
      </c>
      <c r="E2930" s="16">
        <v>3438</v>
      </c>
      <c r="F2930" s="18" t="s">
        <v>200</v>
      </c>
      <c r="G2930" s="16" t="s">
        <v>5</v>
      </c>
      <c r="H2930" s="16" t="s">
        <v>184</v>
      </c>
      <c r="I2930" s="16" t="s">
        <v>61</v>
      </c>
    </row>
    <row r="2931" spans="2:9" x14ac:dyDescent="0.25">
      <c r="B2931" s="16" t="s">
        <v>2</v>
      </c>
      <c r="C2931" s="17">
        <v>45169</v>
      </c>
      <c r="D2931" s="16">
        <v>202095</v>
      </c>
      <c r="E2931" s="16">
        <v>10440</v>
      </c>
      <c r="F2931" s="18" t="s">
        <v>37</v>
      </c>
      <c r="G2931" s="16" t="s">
        <v>334</v>
      </c>
      <c r="H2931" s="16" t="s">
        <v>186</v>
      </c>
      <c r="I2931" s="16" t="s">
        <v>61</v>
      </c>
    </row>
    <row r="2932" spans="2:9" x14ac:dyDescent="0.25">
      <c r="B2932" s="16" t="s">
        <v>2</v>
      </c>
      <c r="C2932" s="17">
        <v>45169</v>
      </c>
      <c r="D2932" s="16">
        <v>1836771</v>
      </c>
      <c r="E2932" s="16">
        <v>9480</v>
      </c>
      <c r="F2932" s="18" t="s">
        <v>147</v>
      </c>
      <c r="G2932" s="16" t="s">
        <v>341</v>
      </c>
      <c r="H2932" s="16" t="s">
        <v>186</v>
      </c>
      <c r="I2932" s="16" t="s">
        <v>61</v>
      </c>
    </row>
    <row r="2933" spans="2:9" x14ac:dyDescent="0.25">
      <c r="B2933" s="16" t="s">
        <v>2</v>
      </c>
      <c r="C2933" s="17">
        <v>45169</v>
      </c>
      <c r="D2933" s="16">
        <v>189549</v>
      </c>
      <c r="E2933" s="16">
        <v>10994</v>
      </c>
      <c r="F2933" s="18" t="s">
        <v>303</v>
      </c>
      <c r="G2933" s="16" t="s">
        <v>52</v>
      </c>
      <c r="H2933" s="16" t="s">
        <v>36</v>
      </c>
      <c r="I2933" s="16" t="s">
        <v>61</v>
      </c>
    </row>
    <row r="2934" spans="2:9" x14ac:dyDescent="0.25">
      <c r="B2934" s="16" t="s">
        <v>210</v>
      </c>
      <c r="C2934" s="17">
        <v>45170</v>
      </c>
      <c r="D2934" s="16">
        <v>542080</v>
      </c>
      <c r="E2934" s="16">
        <v>1008</v>
      </c>
      <c r="F2934" s="18" t="s">
        <v>74</v>
      </c>
      <c r="G2934" s="16" t="s">
        <v>20</v>
      </c>
      <c r="H2934" s="16" t="s">
        <v>36</v>
      </c>
      <c r="I2934" s="16" t="s">
        <v>192</v>
      </c>
    </row>
    <row r="2935" spans="2:9" x14ac:dyDescent="0.25">
      <c r="B2935" s="16" t="s">
        <v>26</v>
      </c>
      <c r="C2935" s="17">
        <v>45170</v>
      </c>
      <c r="D2935" s="16">
        <v>346307</v>
      </c>
      <c r="E2935" s="16">
        <v>6735</v>
      </c>
      <c r="F2935" s="18" t="s">
        <v>144</v>
      </c>
      <c r="G2935" s="16" t="s">
        <v>20</v>
      </c>
      <c r="H2935" s="16" t="s">
        <v>75</v>
      </c>
      <c r="I2935" s="16" t="s">
        <v>192</v>
      </c>
    </row>
    <row r="2936" spans="2:9" x14ac:dyDescent="0.25">
      <c r="B2936" s="16" t="s">
        <v>26</v>
      </c>
      <c r="C2936" s="17">
        <v>45170</v>
      </c>
      <c r="D2936" s="16">
        <v>202195</v>
      </c>
      <c r="E2936" s="16">
        <v>10440</v>
      </c>
      <c r="F2936" s="18" t="s">
        <v>37</v>
      </c>
      <c r="G2936" s="16" t="s">
        <v>20</v>
      </c>
      <c r="H2936" s="16" t="s">
        <v>114</v>
      </c>
      <c r="I2936" s="16" t="s">
        <v>192</v>
      </c>
    </row>
    <row r="2937" spans="2:9" x14ac:dyDescent="0.25">
      <c r="B2937" s="16" t="s">
        <v>210</v>
      </c>
      <c r="C2937" s="17">
        <v>45170</v>
      </c>
      <c r="D2937" s="16">
        <v>125072</v>
      </c>
      <c r="E2937" s="16">
        <v>13121</v>
      </c>
      <c r="F2937" s="18" t="s">
        <v>143</v>
      </c>
      <c r="G2937" s="16" t="s">
        <v>20</v>
      </c>
      <c r="H2937" s="16" t="s">
        <v>170</v>
      </c>
      <c r="I2937" s="16" t="s">
        <v>192</v>
      </c>
    </row>
    <row r="2938" spans="2:9" x14ac:dyDescent="0.25">
      <c r="B2938" s="16" t="s">
        <v>26</v>
      </c>
      <c r="C2938" s="17">
        <v>45170</v>
      </c>
      <c r="D2938" s="16">
        <v>219117</v>
      </c>
      <c r="E2938" s="16">
        <v>9813</v>
      </c>
      <c r="F2938" s="18" t="s">
        <v>86</v>
      </c>
      <c r="G2938" s="16" t="s">
        <v>4</v>
      </c>
      <c r="H2938" s="16" t="s">
        <v>184</v>
      </c>
      <c r="I2938" s="16" t="s">
        <v>192</v>
      </c>
    </row>
    <row r="2939" spans="2:9" x14ac:dyDescent="0.25">
      <c r="B2939" s="16" t="s">
        <v>26</v>
      </c>
      <c r="C2939" s="17">
        <v>45170</v>
      </c>
      <c r="D2939" s="16">
        <v>542077</v>
      </c>
      <c r="E2939" s="16">
        <v>1008</v>
      </c>
      <c r="F2939" s="18" t="s">
        <v>74</v>
      </c>
      <c r="G2939" s="16" t="s">
        <v>334</v>
      </c>
      <c r="H2939" s="16" t="s">
        <v>36</v>
      </c>
      <c r="I2939" s="16" t="s">
        <v>192</v>
      </c>
    </row>
    <row r="2940" spans="2:9" x14ac:dyDescent="0.25">
      <c r="B2940" s="16" t="s">
        <v>26</v>
      </c>
      <c r="C2940" s="17">
        <v>45170</v>
      </c>
      <c r="D2940" s="16">
        <v>542078</v>
      </c>
      <c r="E2940" s="16">
        <v>1008</v>
      </c>
      <c r="F2940" s="18" t="s">
        <v>74</v>
      </c>
      <c r="G2940" s="16" t="s">
        <v>334</v>
      </c>
      <c r="H2940" s="16" t="s">
        <v>36</v>
      </c>
      <c r="I2940" s="16" t="s">
        <v>192</v>
      </c>
    </row>
    <row r="2941" spans="2:9" x14ac:dyDescent="0.25">
      <c r="B2941" s="16" t="s">
        <v>210</v>
      </c>
      <c r="C2941" s="17">
        <v>45170</v>
      </c>
      <c r="D2941" s="16">
        <v>4936254</v>
      </c>
      <c r="E2941" s="16">
        <v>9430</v>
      </c>
      <c r="F2941" s="18" t="s">
        <v>185</v>
      </c>
      <c r="G2941" s="16" t="s">
        <v>334</v>
      </c>
      <c r="H2941" s="16" t="s">
        <v>36</v>
      </c>
      <c r="I2941" s="16" t="s">
        <v>192</v>
      </c>
    </row>
    <row r="2942" spans="2:9" x14ac:dyDescent="0.25">
      <c r="B2942" s="16" t="s">
        <v>33</v>
      </c>
      <c r="C2942" s="17">
        <v>45170</v>
      </c>
      <c r="D2942" s="16">
        <v>5203067</v>
      </c>
      <c r="E2942" s="16">
        <v>15102</v>
      </c>
      <c r="F2942" s="18" t="s">
        <v>160</v>
      </c>
      <c r="G2942" s="16" t="s">
        <v>52</v>
      </c>
      <c r="H2942" s="16" t="s">
        <v>49</v>
      </c>
      <c r="I2942" s="16" t="s">
        <v>29</v>
      </c>
    </row>
    <row r="2943" spans="2:9" x14ac:dyDescent="0.25">
      <c r="B2943" s="16" t="s">
        <v>210</v>
      </c>
      <c r="C2943" s="17">
        <v>45170</v>
      </c>
      <c r="D2943" s="16">
        <v>125072</v>
      </c>
      <c r="E2943" s="16">
        <v>13121</v>
      </c>
      <c r="F2943" s="18" t="s">
        <v>143</v>
      </c>
      <c r="G2943" s="16" t="s">
        <v>52</v>
      </c>
      <c r="H2943" s="16" t="s">
        <v>220</v>
      </c>
      <c r="I2943" s="16" t="s">
        <v>373</v>
      </c>
    </row>
    <row r="2944" spans="2:9" x14ac:dyDescent="0.25">
      <c r="B2944" s="16" t="s">
        <v>33</v>
      </c>
      <c r="C2944" s="17">
        <v>45170</v>
      </c>
      <c r="D2944" s="16">
        <v>121946</v>
      </c>
      <c r="E2944" s="16">
        <v>11604</v>
      </c>
      <c r="F2944" s="18" t="s">
        <v>63</v>
      </c>
      <c r="G2944" s="16" t="s">
        <v>262</v>
      </c>
      <c r="H2944" s="16" t="s">
        <v>38</v>
      </c>
      <c r="I2944" s="16" t="s">
        <v>17</v>
      </c>
    </row>
    <row r="2945" spans="2:9" x14ac:dyDescent="0.25">
      <c r="B2945" s="16" t="s">
        <v>33</v>
      </c>
      <c r="C2945" s="17">
        <v>45170</v>
      </c>
      <c r="D2945" s="16">
        <v>61713</v>
      </c>
      <c r="E2945" s="16">
        <v>11787</v>
      </c>
      <c r="F2945" s="18" t="s">
        <v>244</v>
      </c>
      <c r="G2945" s="16" t="s">
        <v>334</v>
      </c>
      <c r="H2945" s="16" t="s">
        <v>170</v>
      </c>
      <c r="I2945" s="16" t="s">
        <v>92</v>
      </c>
    </row>
    <row r="2946" spans="2:9" x14ac:dyDescent="0.25">
      <c r="B2946" s="16" t="s">
        <v>40</v>
      </c>
      <c r="C2946" s="17">
        <v>45170</v>
      </c>
      <c r="D2946" s="16">
        <v>22331</v>
      </c>
      <c r="E2946" s="16">
        <v>2740</v>
      </c>
      <c r="F2946" s="18" t="s">
        <v>206</v>
      </c>
      <c r="G2946" s="16" t="s">
        <v>334</v>
      </c>
      <c r="H2946" s="16" t="s">
        <v>184</v>
      </c>
      <c r="I2946" s="16" t="s">
        <v>192</v>
      </c>
    </row>
    <row r="2947" spans="2:9" x14ac:dyDescent="0.25">
      <c r="B2947" s="16" t="s">
        <v>22</v>
      </c>
      <c r="C2947" s="17">
        <v>45170</v>
      </c>
      <c r="D2947" s="16">
        <v>62720</v>
      </c>
      <c r="E2947" s="16">
        <v>11787</v>
      </c>
      <c r="F2947" s="18" t="s">
        <v>244</v>
      </c>
      <c r="G2947" s="16" t="s">
        <v>334</v>
      </c>
      <c r="H2947" s="16" t="s">
        <v>49</v>
      </c>
      <c r="I2947" s="16" t="s">
        <v>17</v>
      </c>
    </row>
    <row r="2948" spans="2:9" x14ac:dyDescent="0.25">
      <c r="B2948" s="16" t="s">
        <v>2</v>
      </c>
      <c r="C2948" s="17">
        <v>45170</v>
      </c>
      <c r="D2948" s="16">
        <v>1845296</v>
      </c>
      <c r="E2948" s="16">
        <v>9307</v>
      </c>
      <c r="F2948" s="18" t="s">
        <v>68</v>
      </c>
      <c r="G2948" s="16" t="s">
        <v>334</v>
      </c>
      <c r="H2948" s="16" t="s">
        <v>49</v>
      </c>
      <c r="I2948" s="16" t="s">
        <v>17</v>
      </c>
    </row>
    <row r="2949" spans="2:9" x14ac:dyDescent="0.25">
      <c r="B2949" s="16" t="s">
        <v>2</v>
      </c>
      <c r="C2949" s="17">
        <v>45170</v>
      </c>
      <c r="D2949" s="16">
        <v>542082</v>
      </c>
      <c r="E2949" s="16">
        <v>1008</v>
      </c>
      <c r="F2949" s="18" t="s">
        <v>74</v>
      </c>
      <c r="G2949" s="16" t="s">
        <v>334</v>
      </c>
      <c r="H2949" s="16" t="s">
        <v>36</v>
      </c>
      <c r="I2949" s="16" t="s">
        <v>192</v>
      </c>
    </row>
    <row r="2950" spans="2:9" x14ac:dyDescent="0.25">
      <c r="B2950" s="16" t="s">
        <v>2</v>
      </c>
      <c r="C2950" s="17">
        <v>45170</v>
      </c>
      <c r="D2950" s="16">
        <v>542081</v>
      </c>
      <c r="E2950" s="16">
        <v>1008</v>
      </c>
      <c r="F2950" s="18" t="s">
        <v>74</v>
      </c>
      <c r="G2950" s="16" t="s">
        <v>334</v>
      </c>
      <c r="H2950" s="16" t="s">
        <v>36</v>
      </c>
      <c r="I2950" s="16" t="s">
        <v>192</v>
      </c>
    </row>
    <row r="2951" spans="2:9" x14ac:dyDescent="0.25">
      <c r="B2951" s="16" t="s">
        <v>2</v>
      </c>
      <c r="C2951" s="17">
        <v>45170</v>
      </c>
      <c r="D2951" s="16">
        <v>202111</v>
      </c>
      <c r="E2951" s="16">
        <v>10440</v>
      </c>
      <c r="F2951" s="18" t="s">
        <v>37</v>
      </c>
      <c r="G2951" s="16" t="s">
        <v>342</v>
      </c>
      <c r="H2951" s="16" t="s">
        <v>184</v>
      </c>
      <c r="I2951" s="16" t="s">
        <v>192</v>
      </c>
    </row>
    <row r="2952" spans="2:9" x14ac:dyDescent="0.25">
      <c r="B2952" s="16" t="s">
        <v>2</v>
      </c>
      <c r="C2952" s="17">
        <v>45170</v>
      </c>
      <c r="D2952" s="16">
        <v>202112</v>
      </c>
      <c r="E2952" s="16">
        <v>10440</v>
      </c>
      <c r="F2952" s="18" t="s">
        <v>37</v>
      </c>
      <c r="G2952" s="16" t="s">
        <v>342</v>
      </c>
      <c r="H2952" s="16" t="s">
        <v>184</v>
      </c>
      <c r="I2952" s="16" t="s">
        <v>192</v>
      </c>
    </row>
    <row r="2953" spans="2:9" x14ac:dyDescent="0.25">
      <c r="B2953" s="16" t="s">
        <v>2</v>
      </c>
      <c r="C2953" s="17">
        <v>45170</v>
      </c>
      <c r="D2953" s="16">
        <v>62731</v>
      </c>
      <c r="E2953" s="16">
        <v>11787</v>
      </c>
      <c r="F2953" s="18" t="s">
        <v>244</v>
      </c>
      <c r="G2953" s="16" t="s">
        <v>334</v>
      </c>
      <c r="H2953" s="16" t="s">
        <v>75</v>
      </c>
      <c r="I2953" s="16" t="s">
        <v>192</v>
      </c>
    </row>
    <row r="2954" spans="2:9" x14ac:dyDescent="0.25">
      <c r="B2954" s="16" t="s">
        <v>2</v>
      </c>
      <c r="C2954" s="17">
        <v>45170</v>
      </c>
      <c r="D2954" s="16">
        <v>121953</v>
      </c>
      <c r="E2954" s="16">
        <v>11604</v>
      </c>
      <c r="F2954" s="18" t="s">
        <v>63</v>
      </c>
      <c r="G2954" s="16" t="s">
        <v>52</v>
      </c>
      <c r="H2954" s="16" t="s">
        <v>38</v>
      </c>
      <c r="I2954" s="16" t="s">
        <v>17</v>
      </c>
    </row>
    <row r="2955" spans="2:9" x14ac:dyDescent="0.25">
      <c r="B2955" s="16" t="s">
        <v>2</v>
      </c>
      <c r="C2955" s="17">
        <v>45170</v>
      </c>
      <c r="D2955" s="16">
        <v>62178</v>
      </c>
      <c r="E2955" s="16">
        <v>63264</v>
      </c>
      <c r="F2955" s="18" t="s">
        <v>428</v>
      </c>
      <c r="G2955" s="16" t="s">
        <v>7</v>
      </c>
      <c r="H2955" s="16" t="s">
        <v>114</v>
      </c>
      <c r="I2955" s="16" t="s">
        <v>17</v>
      </c>
    </row>
    <row r="2956" spans="2:9" x14ac:dyDescent="0.25">
      <c r="B2956" s="16" t="s">
        <v>33</v>
      </c>
      <c r="C2956" s="17">
        <v>45170</v>
      </c>
      <c r="D2956" s="16">
        <v>5333</v>
      </c>
      <c r="E2956" s="16">
        <v>70670</v>
      </c>
      <c r="F2956" s="18" t="s">
        <v>20</v>
      </c>
      <c r="G2956" s="16" t="s">
        <v>52</v>
      </c>
      <c r="H2956" s="16" t="s">
        <v>71</v>
      </c>
      <c r="I2956" s="16" t="s">
        <v>17</v>
      </c>
    </row>
    <row r="2957" spans="2:9" x14ac:dyDescent="0.25">
      <c r="B2957" s="16" t="s">
        <v>22</v>
      </c>
      <c r="C2957" s="17">
        <v>45170</v>
      </c>
      <c r="D2957" s="16">
        <v>1839819</v>
      </c>
      <c r="E2957" s="16">
        <v>9480</v>
      </c>
      <c r="F2957" s="18" t="s">
        <v>147</v>
      </c>
      <c r="G2957" s="16" t="s">
        <v>341</v>
      </c>
      <c r="H2957" s="16" t="s">
        <v>89</v>
      </c>
      <c r="I2957" s="16" t="s">
        <v>17</v>
      </c>
    </row>
    <row r="2958" spans="2:9" x14ac:dyDescent="0.25">
      <c r="B2958" s="16" t="s">
        <v>22</v>
      </c>
      <c r="C2958" s="17">
        <v>45170</v>
      </c>
      <c r="D2958" s="16">
        <v>1839820</v>
      </c>
      <c r="E2958" s="16">
        <v>9480</v>
      </c>
      <c r="F2958" s="18" t="s">
        <v>147</v>
      </c>
      <c r="G2958" s="16" t="s">
        <v>341</v>
      </c>
      <c r="H2958" s="16" t="s">
        <v>89</v>
      </c>
      <c r="I2958" s="16" t="s">
        <v>17</v>
      </c>
    </row>
    <row r="2959" spans="2:9" x14ac:dyDescent="0.25">
      <c r="B2959" s="16" t="s">
        <v>22</v>
      </c>
      <c r="C2959" s="17">
        <v>45170</v>
      </c>
      <c r="D2959" s="16">
        <v>1839818</v>
      </c>
      <c r="E2959" s="16">
        <v>9480</v>
      </c>
      <c r="F2959" s="18" t="s">
        <v>147</v>
      </c>
      <c r="G2959" s="16" t="s">
        <v>6</v>
      </c>
      <c r="H2959" s="16" t="s">
        <v>184</v>
      </c>
      <c r="I2959" s="16" t="s">
        <v>17</v>
      </c>
    </row>
    <row r="2960" spans="2:9" x14ac:dyDescent="0.25">
      <c r="B2960" s="16" t="s">
        <v>33</v>
      </c>
      <c r="C2960" s="17">
        <v>45170</v>
      </c>
      <c r="D2960" s="16">
        <v>3911854</v>
      </c>
      <c r="E2960" s="16">
        <v>3506</v>
      </c>
      <c r="F2960" s="18" t="s">
        <v>77</v>
      </c>
      <c r="G2960" s="16" t="s">
        <v>4</v>
      </c>
      <c r="H2960" s="16" t="s">
        <v>71</v>
      </c>
      <c r="I2960" s="16" t="s">
        <v>17</v>
      </c>
    </row>
    <row r="2961" spans="2:9" x14ac:dyDescent="0.25">
      <c r="B2961" s="16" t="s">
        <v>33</v>
      </c>
      <c r="C2961" s="17">
        <v>45170</v>
      </c>
      <c r="D2961" s="16">
        <v>3911853</v>
      </c>
      <c r="E2961" s="16">
        <v>3506</v>
      </c>
      <c r="F2961" s="18" t="s">
        <v>77</v>
      </c>
      <c r="G2961" s="16" t="s">
        <v>4</v>
      </c>
      <c r="H2961" s="16" t="s">
        <v>71</v>
      </c>
      <c r="I2961" s="16" t="s">
        <v>17</v>
      </c>
    </row>
    <row r="2962" spans="2:9" x14ac:dyDescent="0.25">
      <c r="B2962" s="16" t="s">
        <v>40</v>
      </c>
      <c r="C2962" s="17">
        <v>45170</v>
      </c>
      <c r="D2962" s="16">
        <v>192612</v>
      </c>
      <c r="E2962" s="16">
        <v>9016</v>
      </c>
      <c r="F2962" s="18" t="s">
        <v>111</v>
      </c>
      <c r="G2962" s="16" t="s">
        <v>7</v>
      </c>
      <c r="H2962" s="16" t="s">
        <v>71</v>
      </c>
      <c r="I2962" s="16" t="s">
        <v>17</v>
      </c>
    </row>
    <row r="2963" spans="2:9" x14ac:dyDescent="0.25">
      <c r="B2963" s="16" t="s">
        <v>40</v>
      </c>
      <c r="C2963" s="17">
        <v>45170</v>
      </c>
      <c r="D2963" s="16">
        <v>4936216</v>
      </c>
      <c r="E2963" s="16">
        <v>9430</v>
      </c>
      <c r="F2963" s="18" t="s">
        <v>185</v>
      </c>
      <c r="G2963" s="16" t="s">
        <v>334</v>
      </c>
      <c r="H2963" s="16" t="s">
        <v>190</v>
      </c>
      <c r="I2963" s="16" t="s">
        <v>17</v>
      </c>
    </row>
    <row r="2964" spans="2:9" x14ac:dyDescent="0.25">
      <c r="B2964" s="16" t="s">
        <v>40</v>
      </c>
      <c r="C2964" s="17">
        <v>45171</v>
      </c>
      <c r="D2964" s="16">
        <v>121982</v>
      </c>
      <c r="E2964" s="16">
        <v>11604</v>
      </c>
      <c r="F2964" s="18" t="s">
        <v>63</v>
      </c>
      <c r="G2964" s="16" t="s">
        <v>262</v>
      </c>
      <c r="H2964" s="16" t="s">
        <v>114</v>
      </c>
      <c r="I2964" s="16" t="s">
        <v>103</v>
      </c>
    </row>
    <row r="2965" spans="2:9" x14ac:dyDescent="0.25">
      <c r="B2965" s="16" t="s">
        <v>40</v>
      </c>
      <c r="C2965" s="17">
        <v>45171</v>
      </c>
      <c r="D2965" s="16">
        <v>20138</v>
      </c>
      <c r="E2965" s="16">
        <v>13390</v>
      </c>
      <c r="F2965" s="18" t="s">
        <v>439</v>
      </c>
      <c r="G2965" s="16" t="s">
        <v>7</v>
      </c>
      <c r="H2965" s="16" t="s">
        <v>38</v>
      </c>
      <c r="I2965" s="16" t="s">
        <v>103</v>
      </c>
    </row>
    <row r="2966" spans="2:9" x14ac:dyDescent="0.25">
      <c r="B2966" s="16" t="s">
        <v>26</v>
      </c>
      <c r="C2966" s="17">
        <v>45173</v>
      </c>
      <c r="D2966" s="16">
        <v>268764</v>
      </c>
      <c r="E2966" s="16">
        <v>9382</v>
      </c>
      <c r="F2966" s="18" t="s">
        <v>401</v>
      </c>
      <c r="G2966" s="16" t="s">
        <v>5</v>
      </c>
      <c r="H2966" s="16" t="s">
        <v>28</v>
      </c>
      <c r="I2966" s="16" t="s">
        <v>57</v>
      </c>
    </row>
    <row r="2967" spans="2:9" x14ac:dyDescent="0.25">
      <c r="B2967" s="16" t="s">
        <v>26</v>
      </c>
      <c r="C2967" s="17">
        <v>45173</v>
      </c>
      <c r="D2967" s="16">
        <v>268227</v>
      </c>
      <c r="E2967" s="16">
        <v>9382</v>
      </c>
      <c r="F2967" s="18" t="s">
        <v>401</v>
      </c>
      <c r="G2967" s="16" t="s">
        <v>5</v>
      </c>
      <c r="H2967" s="16" t="s">
        <v>28</v>
      </c>
      <c r="I2967" s="16" t="s">
        <v>57</v>
      </c>
    </row>
    <row r="2968" spans="2:9" x14ac:dyDescent="0.25">
      <c r="B2968" s="16" t="s">
        <v>26</v>
      </c>
      <c r="C2968" s="17">
        <v>45173</v>
      </c>
      <c r="D2968" s="16">
        <v>268232</v>
      </c>
      <c r="E2968" s="16">
        <v>9382</v>
      </c>
      <c r="F2968" s="18" t="s">
        <v>401</v>
      </c>
      <c r="G2968" s="16" t="s">
        <v>5</v>
      </c>
      <c r="H2968" s="16" t="s">
        <v>28</v>
      </c>
      <c r="I2968" s="16" t="s">
        <v>57</v>
      </c>
    </row>
    <row r="2969" spans="2:9" x14ac:dyDescent="0.25">
      <c r="B2969" s="16" t="s">
        <v>26</v>
      </c>
      <c r="C2969" s="17">
        <v>45173</v>
      </c>
      <c r="D2969" s="16">
        <v>268759</v>
      </c>
      <c r="E2969" s="16">
        <v>9382</v>
      </c>
      <c r="F2969" s="18" t="s">
        <v>401</v>
      </c>
      <c r="G2969" s="16" t="s">
        <v>5</v>
      </c>
      <c r="H2969" s="16" t="s">
        <v>28</v>
      </c>
      <c r="I2969" s="16" t="s">
        <v>57</v>
      </c>
    </row>
    <row r="2970" spans="2:9" x14ac:dyDescent="0.25">
      <c r="B2970" s="16" t="s">
        <v>26</v>
      </c>
      <c r="C2970" s="17">
        <v>45173</v>
      </c>
      <c r="D2970" s="16">
        <v>268760</v>
      </c>
      <c r="E2970" s="16">
        <v>9382</v>
      </c>
      <c r="F2970" s="18" t="s">
        <v>401</v>
      </c>
      <c r="G2970" s="16" t="s">
        <v>5</v>
      </c>
      <c r="H2970" s="16" t="s">
        <v>28</v>
      </c>
      <c r="I2970" s="16" t="s">
        <v>57</v>
      </c>
    </row>
    <row r="2971" spans="2:9" x14ac:dyDescent="0.25">
      <c r="B2971" s="16" t="s">
        <v>26</v>
      </c>
      <c r="C2971" s="17">
        <v>45173</v>
      </c>
      <c r="D2971" s="16">
        <v>268758</v>
      </c>
      <c r="E2971" s="16">
        <v>9382</v>
      </c>
      <c r="F2971" s="18" t="s">
        <v>401</v>
      </c>
      <c r="G2971" s="16" t="s">
        <v>5</v>
      </c>
      <c r="H2971" s="16" t="s">
        <v>28</v>
      </c>
      <c r="I2971" s="16" t="s">
        <v>57</v>
      </c>
    </row>
    <row r="2972" spans="2:9" x14ac:dyDescent="0.25">
      <c r="B2972" s="16" t="s">
        <v>26</v>
      </c>
      <c r="C2972" s="17">
        <v>45173</v>
      </c>
      <c r="D2972" s="16">
        <v>955546</v>
      </c>
      <c r="E2972" s="16">
        <v>9421</v>
      </c>
      <c r="F2972" s="18" t="s">
        <v>94</v>
      </c>
      <c r="G2972" s="16" t="s">
        <v>341</v>
      </c>
      <c r="H2972" s="16" t="s">
        <v>28</v>
      </c>
      <c r="I2972" s="16" t="s">
        <v>61</v>
      </c>
    </row>
    <row r="2973" spans="2:9" x14ac:dyDescent="0.25">
      <c r="B2973" s="16" t="s">
        <v>26</v>
      </c>
      <c r="C2973" s="17">
        <v>45173</v>
      </c>
      <c r="D2973" s="16">
        <v>542179</v>
      </c>
      <c r="E2973" s="16">
        <v>1008</v>
      </c>
      <c r="F2973" s="18" t="s">
        <v>74</v>
      </c>
      <c r="G2973" s="16" t="s">
        <v>334</v>
      </c>
      <c r="H2973" s="16" t="s">
        <v>36</v>
      </c>
      <c r="I2973" s="16" t="s">
        <v>61</v>
      </c>
    </row>
    <row r="2974" spans="2:9" x14ac:dyDescent="0.25">
      <c r="B2974" s="16" t="s">
        <v>26</v>
      </c>
      <c r="C2974" s="17">
        <v>45173</v>
      </c>
      <c r="D2974" s="16">
        <v>542178</v>
      </c>
      <c r="E2974" s="16">
        <v>1008</v>
      </c>
      <c r="F2974" s="18" t="s">
        <v>74</v>
      </c>
      <c r="G2974" s="16" t="s">
        <v>334</v>
      </c>
      <c r="H2974" s="16" t="s">
        <v>36</v>
      </c>
      <c r="I2974" s="16" t="s">
        <v>61</v>
      </c>
    </row>
    <row r="2975" spans="2:9" x14ac:dyDescent="0.25">
      <c r="B2975" s="16" t="s">
        <v>26</v>
      </c>
      <c r="C2975" s="17">
        <v>45173</v>
      </c>
      <c r="D2975" s="16">
        <v>955508</v>
      </c>
      <c r="E2975" s="16">
        <v>9421</v>
      </c>
      <c r="F2975" s="18" t="s">
        <v>94</v>
      </c>
      <c r="G2975" s="16" t="s">
        <v>341</v>
      </c>
      <c r="H2975" s="16" t="s">
        <v>28</v>
      </c>
      <c r="I2975" s="16" t="s">
        <v>61</v>
      </c>
    </row>
    <row r="2976" spans="2:9" x14ac:dyDescent="0.25">
      <c r="B2976" s="16" t="s">
        <v>40</v>
      </c>
      <c r="C2976" s="17">
        <v>45173</v>
      </c>
      <c r="D2976" s="16">
        <v>1385</v>
      </c>
      <c r="E2976" s="16" t="s">
        <v>20</v>
      </c>
      <c r="F2976" s="18" t="s">
        <v>20</v>
      </c>
      <c r="G2976" s="16" t="s">
        <v>4</v>
      </c>
      <c r="H2976" s="16" t="s">
        <v>28</v>
      </c>
      <c r="I2976" s="16" t="s">
        <v>61</v>
      </c>
    </row>
    <row r="2977" spans="2:9" x14ac:dyDescent="0.25">
      <c r="B2977" s="16" t="s">
        <v>26</v>
      </c>
      <c r="C2977" s="17">
        <v>45173</v>
      </c>
      <c r="D2977" s="16">
        <v>955550</v>
      </c>
      <c r="E2977" s="16">
        <v>9421</v>
      </c>
      <c r="F2977" s="18" t="s">
        <v>94</v>
      </c>
      <c r="G2977" s="16" t="s">
        <v>341</v>
      </c>
      <c r="H2977" s="16" t="s">
        <v>28</v>
      </c>
      <c r="I2977" s="16" t="s">
        <v>61</v>
      </c>
    </row>
    <row r="2978" spans="2:9" x14ac:dyDescent="0.25">
      <c r="B2978" s="16" t="s">
        <v>2</v>
      </c>
      <c r="C2978" s="17">
        <v>45173</v>
      </c>
      <c r="D2978" s="16">
        <v>4935895</v>
      </c>
      <c r="E2978" s="16">
        <v>9430</v>
      </c>
      <c r="F2978" s="18" t="s">
        <v>185</v>
      </c>
      <c r="G2978" s="16" t="s">
        <v>334</v>
      </c>
      <c r="H2978" s="16" t="s">
        <v>28</v>
      </c>
      <c r="I2978" s="16" t="s">
        <v>61</v>
      </c>
    </row>
    <row r="2979" spans="2:9" x14ac:dyDescent="0.25">
      <c r="B2979" s="16" t="s">
        <v>2</v>
      </c>
      <c r="C2979" s="17">
        <v>45173</v>
      </c>
      <c r="D2979" s="16">
        <v>4935896</v>
      </c>
      <c r="E2979" s="16">
        <v>9430</v>
      </c>
      <c r="F2979" s="18" t="s">
        <v>185</v>
      </c>
      <c r="G2979" s="16" t="s">
        <v>334</v>
      </c>
      <c r="H2979" s="16" t="s">
        <v>28</v>
      </c>
      <c r="I2979" s="16" t="s">
        <v>61</v>
      </c>
    </row>
    <row r="2980" spans="2:9" x14ac:dyDescent="0.25">
      <c r="B2980" s="16" t="s">
        <v>2</v>
      </c>
      <c r="C2980" s="17">
        <v>45173</v>
      </c>
      <c r="D2980" s="16">
        <v>4935898</v>
      </c>
      <c r="E2980" s="16">
        <v>9430</v>
      </c>
      <c r="F2980" s="18" t="s">
        <v>185</v>
      </c>
      <c r="G2980" s="16" t="s">
        <v>334</v>
      </c>
      <c r="H2980" s="16" t="s">
        <v>28</v>
      </c>
      <c r="I2980" s="16" t="s">
        <v>61</v>
      </c>
    </row>
    <row r="2981" spans="2:9" x14ac:dyDescent="0.25">
      <c r="B2981" s="16" t="s">
        <v>2</v>
      </c>
      <c r="C2981" s="17">
        <v>45173</v>
      </c>
      <c r="D2981" s="16">
        <v>4935899</v>
      </c>
      <c r="E2981" s="16">
        <v>9430</v>
      </c>
      <c r="F2981" s="18" t="s">
        <v>185</v>
      </c>
      <c r="G2981" s="16" t="s">
        <v>334</v>
      </c>
      <c r="H2981" s="16" t="s">
        <v>28</v>
      </c>
      <c r="I2981" s="16" t="s">
        <v>61</v>
      </c>
    </row>
    <row r="2982" spans="2:9" x14ac:dyDescent="0.25">
      <c r="B2982" s="16" t="s">
        <v>2</v>
      </c>
      <c r="C2982" s="17">
        <v>45173</v>
      </c>
      <c r="D2982" s="16">
        <v>4935901</v>
      </c>
      <c r="E2982" s="16">
        <v>9430</v>
      </c>
      <c r="F2982" s="18" t="s">
        <v>185</v>
      </c>
      <c r="G2982" s="16" t="s">
        <v>334</v>
      </c>
      <c r="H2982" s="16" t="s">
        <v>28</v>
      </c>
      <c r="I2982" s="16" t="s">
        <v>61</v>
      </c>
    </row>
    <row r="2983" spans="2:9" x14ac:dyDescent="0.25">
      <c r="B2983" s="16" t="s">
        <v>2</v>
      </c>
      <c r="C2983" s="17">
        <v>45173</v>
      </c>
      <c r="D2983" s="16">
        <v>4935904</v>
      </c>
      <c r="E2983" s="16">
        <v>9430</v>
      </c>
      <c r="F2983" s="18" t="s">
        <v>185</v>
      </c>
      <c r="G2983" s="16" t="s">
        <v>334</v>
      </c>
      <c r="H2983" s="16" t="s">
        <v>28</v>
      </c>
      <c r="I2983" s="16" t="s">
        <v>61</v>
      </c>
    </row>
    <row r="2984" spans="2:9" x14ac:dyDescent="0.25">
      <c r="B2984" s="16" t="s">
        <v>2</v>
      </c>
      <c r="C2984" s="17">
        <v>45173</v>
      </c>
      <c r="D2984" s="16">
        <v>4935906</v>
      </c>
      <c r="E2984" s="16">
        <v>9430</v>
      </c>
      <c r="F2984" s="18" t="s">
        <v>185</v>
      </c>
      <c r="G2984" s="16" t="s">
        <v>334</v>
      </c>
      <c r="H2984" s="16" t="s">
        <v>28</v>
      </c>
      <c r="I2984" s="16" t="s">
        <v>61</v>
      </c>
    </row>
    <row r="2985" spans="2:9" x14ac:dyDescent="0.25">
      <c r="B2985" s="16" t="s">
        <v>2</v>
      </c>
      <c r="C2985" s="17">
        <v>45173</v>
      </c>
      <c r="D2985" s="16">
        <v>4935908</v>
      </c>
      <c r="E2985" s="16">
        <v>9430</v>
      </c>
      <c r="F2985" s="18" t="s">
        <v>185</v>
      </c>
      <c r="G2985" s="16" t="s">
        <v>334</v>
      </c>
      <c r="H2985" s="16" t="s">
        <v>28</v>
      </c>
      <c r="I2985" s="16" t="s">
        <v>61</v>
      </c>
    </row>
    <row r="2986" spans="2:9" x14ac:dyDescent="0.25">
      <c r="B2986" s="16" t="s">
        <v>2</v>
      </c>
      <c r="C2986" s="17">
        <v>45173</v>
      </c>
      <c r="D2986" s="16">
        <v>4935910</v>
      </c>
      <c r="E2986" s="16">
        <v>9430</v>
      </c>
      <c r="F2986" s="18" t="s">
        <v>185</v>
      </c>
      <c r="G2986" s="16" t="s">
        <v>334</v>
      </c>
      <c r="H2986" s="16" t="s">
        <v>28</v>
      </c>
      <c r="I2986" s="16" t="s">
        <v>61</v>
      </c>
    </row>
    <row r="2987" spans="2:9" x14ac:dyDescent="0.25">
      <c r="B2987" s="16" t="s">
        <v>22</v>
      </c>
      <c r="C2987" s="17">
        <v>45173</v>
      </c>
      <c r="D2987" s="16">
        <v>1811206</v>
      </c>
      <c r="E2987" s="16">
        <v>1672</v>
      </c>
      <c r="F2987" s="18" t="s">
        <v>230</v>
      </c>
      <c r="G2987" s="16" t="s">
        <v>52</v>
      </c>
      <c r="H2987" s="16" t="s">
        <v>36</v>
      </c>
      <c r="I2987" s="16" t="s">
        <v>61</v>
      </c>
    </row>
    <row r="2988" spans="2:9" x14ac:dyDescent="0.25">
      <c r="B2988" s="16" t="s">
        <v>2</v>
      </c>
      <c r="C2988" s="17">
        <v>45173</v>
      </c>
      <c r="D2988" s="16">
        <v>4935912</v>
      </c>
      <c r="E2988" s="16">
        <v>9430</v>
      </c>
      <c r="F2988" s="18" t="s">
        <v>185</v>
      </c>
      <c r="G2988" s="16" t="s">
        <v>334</v>
      </c>
      <c r="H2988" s="16" t="s">
        <v>28</v>
      </c>
      <c r="I2988" s="16" t="s">
        <v>20</v>
      </c>
    </row>
    <row r="2989" spans="2:9" x14ac:dyDescent="0.25">
      <c r="B2989" s="16" t="s">
        <v>2</v>
      </c>
      <c r="C2989" s="17">
        <v>45173</v>
      </c>
      <c r="D2989" s="16">
        <v>4935913</v>
      </c>
      <c r="E2989" s="16">
        <v>9430</v>
      </c>
      <c r="F2989" s="18" t="s">
        <v>185</v>
      </c>
      <c r="G2989" s="16" t="s">
        <v>334</v>
      </c>
      <c r="H2989" s="16" t="s">
        <v>28</v>
      </c>
      <c r="I2989" s="16" t="s">
        <v>20</v>
      </c>
    </row>
    <row r="2990" spans="2:9" x14ac:dyDescent="0.25">
      <c r="B2990" s="16" t="s">
        <v>2</v>
      </c>
      <c r="C2990" s="17">
        <v>45173</v>
      </c>
      <c r="D2990" s="16">
        <v>4935914</v>
      </c>
      <c r="E2990" s="16">
        <v>9430</v>
      </c>
      <c r="F2990" s="18" t="s">
        <v>185</v>
      </c>
      <c r="G2990" s="16" t="s">
        <v>334</v>
      </c>
      <c r="H2990" s="16" t="s">
        <v>28</v>
      </c>
      <c r="I2990" s="16" t="s">
        <v>20</v>
      </c>
    </row>
    <row r="2991" spans="2:9" x14ac:dyDescent="0.25">
      <c r="B2991" s="16" t="s">
        <v>2</v>
      </c>
      <c r="C2991" s="17">
        <v>45173</v>
      </c>
      <c r="D2991" s="16">
        <v>4935915</v>
      </c>
      <c r="E2991" s="16">
        <v>9430</v>
      </c>
      <c r="F2991" s="18" t="s">
        <v>185</v>
      </c>
      <c r="G2991" s="16" t="s">
        <v>334</v>
      </c>
      <c r="H2991" s="16" t="s">
        <v>28</v>
      </c>
      <c r="I2991" s="16" t="s">
        <v>20</v>
      </c>
    </row>
    <row r="2992" spans="2:9" x14ac:dyDescent="0.25">
      <c r="B2992" s="16" t="s">
        <v>2</v>
      </c>
      <c r="C2992" s="17">
        <v>45173</v>
      </c>
      <c r="D2992" s="16">
        <v>4935916</v>
      </c>
      <c r="E2992" s="16">
        <v>9430</v>
      </c>
      <c r="F2992" s="18" t="s">
        <v>185</v>
      </c>
      <c r="G2992" s="16" t="s">
        <v>334</v>
      </c>
      <c r="H2992" s="16" t="s">
        <v>28</v>
      </c>
      <c r="I2992" s="16" t="s">
        <v>20</v>
      </c>
    </row>
    <row r="2993" spans="2:9" x14ac:dyDescent="0.25">
      <c r="B2993" s="16" t="s">
        <v>26</v>
      </c>
      <c r="C2993" s="17">
        <v>45173</v>
      </c>
      <c r="D2993" s="16">
        <v>211034</v>
      </c>
      <c r="E2993" s="16">
        <v>3189</v>
      </c>
      <c r="F2993" s="18" t="s">
        <v>311</v>
      </c>
      <c r="G2993" s="16" t="s">
        <v>342</v>
      </c>
      <c r="H2993" s="16" t="s">
        <v>38</v>
      </c>
      <c r="I2993" s="16" t="s">
        <v>61</v>
      </c>
    </row>
    <row r="2994" spans="2:9" x14ac:dyDescent="0.25">
      <c r="B2994" s="16" t="s">
        <v>40</v>
      </c>
      <c r="C2994" s="17">
        <v>45173</v>
      </c>
      <c r="D2994" s="16">
        <v>268237</v>
      </c>
      <c r="E2994" s="16">
        <v>9382</v>
      </c>
      <c r="F2994" s="18" t="s">
        <v>401</v>
      </c>
      <c r="G2994" s="16" t="s">
        <v>20</v>
      </c>
      <c r="H2994" s="16" t="s">
        <v>221</v>
      </c>
      <c r="I2994" s="16" t="s">
        <v>61</v>
      </c>
    </row>
    <row r="2995" spans="2:9" x14ac:dyDescent="0.25">
      <c r="B2995" s="16" t="s">
        <v>40</v>
      </c>
      <c r="C2995" s="17">
        <v>45173</v>
      </c>
      <c r="D2995" s="16">
        <v>268747</v>
      </c>
      <c r="E2995" s="16">
        <v>9382</v>
      </c>
      <c r="F2995" s="18" t="s">
        <v>401</v>
      </c>
      <c r="G2995" s="16" t="s">
        <v>20</v>
      </c>
      <c r="H2995" s="16" t="s">
        <v>221</v>
      </c>
      <c r="I2995" s="16" t="s">
        <v>61</v>
      </c>
    </row>
    <row r="2996" spans="2:9" x14ac:dyDescent="0.25">
      <c r="B2996" s="16" t="s">
        <v>26</v>
      </c>
      <c r="C2996" s="17">
        <v>45173</v>
      </c>
      <c r="D2996" s="16">
        <v>955548</v>
      </c>
      <c r="E2996" s="16">
        <v>9421</v>
      </c>
      <c r="F2996" s="18" t="s">
        <v>94</v>
      </c>
      <c r="G2996" s="16" t="s">
        <v>341</v>
      </c>
      <c r="H2996" s="16" t="s">
        <v>28</v>
      </c>
      <c r="I2996" s="16" t="s">
        <v>61</v>
      </c>
    </row>
    <row r="2997" spans="2:9" x14ac:dyDescent="0.25">
      <c r="B2997" s="16" t="s">
        <v>26</v>
      </c>
      <c r="C2997" s="17">
        <v>45173</v>
      </c>
      <c r="D2997" s="16">
        <v>955549</v>
      </c>
      <c r="E2997" s="16">
        <v>9421</v>
      </c>
      <c r="F2997" s="18" t="s">
        <v>94</v>
      </c>
      <c r="G2997" s="16" t="s">
        <v>341</v>
      </c>
      <c r="H2997" s="16" t="s">
        <v>28</v>
      </c>
      <c r="I2997" s="16" t="s">
        <v>61</v>
      </c>
    </row>
    <row r="2998" spans="2:9" x14ac:dyDescent="0.25">
      <c r="B2998" s="16" t="s">
        <v>26</v>
      </c>
      <c r="C2998" s="17">
        <v>45173</v>
      </c>
      <c r="D2998" s="16">
        <v>61752</v>
      </c>
      <c r="E2998" s="16">
        <v>11787</v>
      </c>
      <c r="F2998" s="18" t="s">
        <v>244</v>
      </c>
      <c r="G2998" s="16" t="s">
        <v>334</v>
      </c>
      <c r="H2998" s="16" t="s">
        <v>97</v>
      </c>
      <c r="I2998" s="16" t="s">
        <v>17</v>
      </c>
    </row>
    <row r="2999" spans="2:9" x14ac:dyDescent="0.25">
      <c r="B2999" s="16" t="s">
        <v>26</v>
      </c>
      <c r="C2999" s="17">
        <v>45173</v>
      </c>
      <c r="D2999" s="16">
        <v>244666</v>
      </c>
      <c r="E2999" s="16">
        <v>1175</v>
      </c>
      <c r="F2999" s="18" t="s">
        <v>81</v>
      </c>
      <c r="G2999" s="16" t="s">
        <v>7</v>
      </c>
      <c r="H2999" s="16" t="s">
        <v>38</v>
      </c>
      <c r="I2999" s="16" t="s">
        <v>17</v>
      </c>
    </row>
    <row r="3000" spans="2:9" x14ac:dyDescent="0.25">
      <c r="B3000" s="16" t="s">
        <v>22</v>
      </c>
      <c r="C3000" s="17">
        <v>45173</v>
      </c>
      <c r="D3000" s="16">
        <v>955527</v>
      </c>
      <c r="E3000" s="16">
        <v>9421</v>
      </c>
      <c r="F3000" s="18" t="s">
        <v>94</v>
      </c>
      <c r="G3000" s="16" t="s">
        <v>341</v>
      </c>
      <c r="H3000" s="16" t="s">
        <v>28</v>
      </c>
      <c r="I3000" s="16" t="s">
        <v>61</v>
      </c>
    </row>
    <row r="3001" spans="2:9" x14ac:dyDescent="0.25">
      <c r="B3001" s="16" t="s">
        <v>22</v>
      </c>
      <c r="C3001" s="17">
        <v>45173</v>
      </c>
      <c r="D3001" s="16">
        <v>955529</v>
      </c>
      <c r="E3001" s="16">
        <v>9421</v>
      </c>
      <c r="F3001" s="18" t="s">
        <v>94</v>
      </c>
      <c r="G3001" s="16" t="s">
        <v>341</v>
      </c>
      <c r="H3001" s="16" t="s">
        <v>28</v>
      </c>
      <c r="I3001" s="16" t="s">
        <v>61</v>
      </c>
    </row>
    <row r="3002" spans="2:9" x14ac:dyDescent="0.25">
      <c r="B3002" s="16" t="s">
        <v>22</v>
      </c>
      <c r="C3002" s="17">
        <v>45173</v>
      </c>
      <c r="D3002" s="16">
        <v>955506</v>
      </c>
      <c r="E3002" s="16">
        <v>9421</v>
      </c>
      <c r="F3002" s="18" t="s">
        <v>94</v>
      </c>
      <c r="G3002" s="16" t="s">
        <v>341</v>
      </c>
      <c r="H3002" s="16" t="s">
        <v>28</v>
      </c>
      <c r="I3002" s="16" t="s">
        <v>61</v>
      </c>
    </row>
    <row r="3003" spans="2:9" x14ac:dyDescent="0.25">
      <c r="B3003" s="16" t="s">
        <v>22</v>
      </c>
      <c r="C3003" s="17">
        <v>45173</v>
      </c>
      <c r="D3003" s="16">
        <v>955528</v>
      </c>
      <c r="E3003" s="16">
        <v>9421</v>
      </c>
      <c r="F3003" s="18" t="s">
        <v>94</v>
      </c>
      <c r="G3003" s="16" t="s">
        <v>341</v>
      </c>
      <c r="H3003" s="16" t="s">
        <v>28</v>
      </c>
      <c r="I3003" s="16" t="s">
        <v>61</v>
      </c>
    </row>
    <row r="3004" spans="2:9" x14ac:dyDescent="0.25">
      <c r="B3004" s="16" t="s">
        <v>40</v>
      </c>
      <c r="C3004" s="17">
        <v>45173</v>
      </c>
      <c r="D3004" s="16">
        <v>59668</v>
      </c>
      <c r="E3004" s="16">
        <v>4210</v>
      </c>
      <c r="F3004" s="18" t="s">
        <v>440</v>
      </c>
      <c r="G3004" s="16" t="s">
        <v>5</v>
      </c>
      <c r="H3004" s="16" t="s">
        <v>28</v>
      </c>
      <c r="I3004" s="16" t="s">
        <v>61</v>
      </c>
    </row>
    <row r="3005" spans="2:9" x14ac:dyDescent="0.25">
      <c r="B3005" s="16" t="s">
        <v>40</v>
      </c>
      <c r="C3005" s="17">
        <v>45173</v>
      </c>
      <c r="D3005" s="16">
        <v>955525</v>
      </c>
      <c r="E3005" s="16">
        <v>9421</v>
      </c>
      <c r="F3005" s="18" t="s">
        <v>94</v>
      </c>
      <c r="G3005" s="16" t="s">
        <v>341</v>
      </c>
      <c r="H3005" s="16" t="s">
        <v>28</v>
      </c>
      <c r="I3005" s="16" t="s">
        <v>61</v>
      </c>
    </row>
    <row r="3006" spans="2:9" x14ac:dyDescent="0.25">
      <c r="B3006" s="16" t="s">
        <v>40</v>
      </c>
      <c r="C3006" s="17">
        <v>45173</v>
      </c>
      <c r="D3006" s="16">
        <v>955524</v>
      </c>
      <c r="E3006" s="16">
        <v>9421</v>
      </c>
      <c r="F3006" s="18" t="s">
        <v>94</v>
      </c>
      <c r="G3006" s="16" t="s">
        <v>341</v>
      </c>
      <c r="H3006" s="16" t="s">
        <v>28</v>
      </c>
      <c r="I3006" s="16" t="s">
        <v>61</v>
      </c>
    </row>
    <row r="3007" spans="2:9" x14ac:dyDescent="0.25">
      <c r="B3007" s="16" t="s">
        <v>40</v>
      </c>
      <c r="C3007" s="17">
        <v>45173</v>
      </c>
      <c r="D3007" s="16">
        <v>95526</v>
      </c>
      <c r="E3007" s="16">
        <v>9421</v>
      </c>
      <c r="F3007" s="18" t="s">
        <v>94</v>
      </c>
      <c r="G3007" s="16" t="s">
        <v>341</v>
      </c>
      <c r="H3007" s="16" t="s">
        <v>28</v>
      </c>
      <c r="I3007" s="16" t="s">
        <v>61</v>
      </c>
    </row>
    <row r="3008" spans="2:9" x14ac:dyDescent="0.25">
      <c r="B3008" s="16" t="s">
        <v>40</v>
      </c>
      <c r="C3008" s="17">
        <v>45173</v>
      </c>
      <c r="D3008" s="16">
        <v>955505</v>
      </c>
      <c r="E3008" s="16">
        <v>9421</v>
      </c>
      <c r="F3008" s="18" t="s">
        <v>94</v>
      </c>
      <c r="G3008" s="16" t="s">
        <v>341</v>
      </c>
      <c r="H3008" s="16" t="s">
        <v>28</v>
      </c>
      <c r="I3008" s="16" t="s">
        <v>61</v>
      </c>
    </row>
    <row r="3009" spans="2:9" x14ac:dyDescent="0.25">
      <c r="B3009" s="16" t="s">
        <v>33</v>
      </c>
      <c r="C3009" s="17">
        <v>45173</v>
      </c>
      <c r="D3009" s="16">
        <v>955537</v>
      </c>
      <c r="E3009" s="16">
        <v>9421</v>
      </c>
      <c r="F3009" s="18" t="s">
        <v>94</v>
      </c>
      <c r="G3009" s="16" t="s">
        <v>341</v>
      </c>
      <c r="H3009" s="16" t="s">
        <v>28</v>
      </c>
      <c r="I3009" s="16" t="s">
        <v>61</v>
      </c>
    </row>
    <row r="3010" spans="2:9" x14ac:dyDescent="0.25">
      <c r="B3010" s="16" t="s">
        <v>33</v>
      </c>
      <c r="C3010" s="17">
        <v>45173</v>
      </c>
      <c r="D3010" s="16">
        <v>955538</v>
      </c>
      <c r="E3010" s="16">
        <v>9421</v>
      </c>
      <c r="F3010" s="18" t="s">
        <v>94</v>
      </c>
      <c r="G3010" s="16" t="s">
        <v>341</v>
      </c>
      <c r="H3010" s="16" t="s">
        <v>28</v>
      </c>
      <c r="I3010" s="16" t="s">
        <v>61</v>
      </c>
    </row>
    <row r="3011" spans="2:9" x14ac:dyDescent="0.25">
      <c r="B3011" s="16" t="s">
        <v>33</v>
      </c>
      <c r="C3011" s="17">
        <v>45173</v>
      </c>
      <c r="D3011" s="16">
        <v>955539</v>
      </c>
      <c r="E3011" s="16">
        <v>9421</v>
      </c>
      <c r="F3011" s="18" t="s">
        <v>94</v>
      </c>
      <c r="G3011" s="16" t="s">
        <v>341</v>
      </c>
      <c r="H3011" s="16" t="s">
        <v>28</v>
      </c>
      <c r="I3011" s="16" t="s">
        <v>61</v>
      </c>
    </row>
    <row r="3012" spans="2:9" x14ac:dyDescent="0.25">
      <c r="B3012" s="16" t="s">
        <v>33</v>
      </c>
      <c r="C3012" s="17">
        <v>45173</v>
      </c>
      <c r="D3012" s="16">
        <v>955536</v>
      </c>
      <c r="E3012" s="16">
        <v>9421</v>
      </c>
      <c r="F3012" s="18" t="s">
        <v>94</v>
      </c>
      <c r="G3012" s="16" t="s">
        <v>341</v>
      </c>
      <c r="H3012" s="16" t="s">
        <v>28</v>
      </c>
      <c r="I3012" s="16" t="s">
        <v>61</v>
      </c>
    </row>
    <row r="3013" spans="2:9" x14ac:dyDescent="0.25">
      <c r="B3013" s="16" t="s">
        <v>33</v>
      </c>
      <c r="C3013" s="17">
        <v>45173</v>
      </c>
      <c r="D3013" s="16">
        <v>955535</v>
      </c>
      <c r="E3013" s="16">
        <v>9421</v>
      </c>
      <c r="F3013" s="18" t="s">
        <v>94</v>
      </c>
      <c r="G3013" s="16" t="s">
        <v>341</v>
      </c>
      <c r="H3013" s="16" t="s">
        <v>28</v>
      </c>
      <c r="I3013" s="16" t="s">
        <v>61</v>
      </c>
    </row>
    <row r="3014" spans="2:9" x14ac:dyDescent="0.25">
      <c r="B3014" s="16" t="s">
        <v>2</v>
      </c>
      <c r="C3014" s="17">
        <v>45173</v>
      </c>
      <c r="D3014" s="16">
        <v>522180</v>
      </c>
      <c r="E3014" s="16">
        <v>1008</v>
      </c>
      <c r="F3014" s="18" t="s">
        <v>74</v>
      </c>
      <c r="G3014" s="16" t="s">
        <v>334</v>
      </c>
      <c r="H3014" s="16" t="s">
        <v>36</v>
      </c>
      <c r="I3014" s="16" t="s">
        <v>61</v>
      </c>
    </row>
    <row r="3015" spans="2:9" x14ac:dyDescent="0.25">
      <c r="B3015" s="16" t="s">
        <v>210</v>
      </c>
      <c r="C3015" s="17">
        <v>45173</v>
      </c>
      <c r="D3015" s="16">
        <v>955542</v>
      </c>
      <c r="E3015" s="16">
        <v>9421</v>
      </c>
      <c r="F3015" s="18" t="s">
        <v>94</v>
      </c>
      <c r="G3015" s="16" t="s">
        <v>341</v>
      </c>
      <c r="H3015" s="16" t="s">
        <v>28</v>
      </c>
      <c r="I3015" s="16" t="s">
        <v>61</v>
      </c>
    </row>
    <row r="3016" spans="2:9" x14ac:dyDescent="0.25">
      <c r="B3016" s="16" t="s">
        <v>210</v>
      </c>
      <c r="C3016" s="17">
        <v>45173</v>
      </c>
      <c r="D3016" s="16">
        <v>955544</v>
      </c>
      <c r="E3016" s="16">
        <v>9421</v>
      </c>
      <c r="F3016" s="18" t="s">
        <v>94</v>
      </c>
      <c r="G3016" s="16" t="s">
        <v>341</v>
      </c>
      <c r="H3016" s="16" t="s">
        <v>28</v>
      </c>
      <c r="I3016" s="16" t="s">
        <v>441</v>
      </c>
    </row>
    <row r="3017" spans="2:9" x14ac:dyDescent="0.25">
      <c r="B3017" s="16" t="s">
        <v>210</v>
      </c>
      <c r="C3017" s="17">
        <v>45173</v>
      </c>
      <c r="D3017" s="16">
        <v>955543</v>
      </c>
      <c r="E3017" s="16">
        <v>9421</v>
      </c>
      <c r="F3017" s="18" t="s">
        <v>94</v>
      </c>
      <c r="G3017" s="16" t="s">
        <v>341</v>
      </c>
      <c r="H3017" s="16" t="s">
        <v>28</v>
      </c>
      <c r="I3017" s="16" t="s">
        <v>61</v>
      </c>
    </row>
    <row r="3018" spans="2:9" x14ac:dyDescent="0.25">
      <c r="B3018" s="16" t="s">
        <v>210</v>
      </c>
      <c r="C3018" s="17">
        <v>45173</v>
      </c>
      <c r="D3018" s="16">
        <v>955545</v>
      </c>
      <c r="E3018" s="16">
        <v>9421</v>
      </c>
      <c r="F3018" s="18" t="s">
        <v>94</v>
      </c>
      <c r="G3018" s="16" t="s">
        <v>341</v>
      </c>
      <c r="H3018" s="16" t="s">
        <v>28</v>
      </c>
      <c r="I3018" s="16" t="s">
        <v>61</v>
      </c>
    </row>
    <row r="3019" spans="2:9" x14ac:dyDescent="0.25">
      <c r="B3019" s="16" t="s">
        <v>210</v>
      </c>
      <c r="C3019" s="17">
        <v>45173</v>
      </c>
      <c r="D3019" s="16">
        <v>955541</v>
      </c>
      <c r="E3019" s="16">
        <v>9421</v>
      </c>
      <c r="F3019" s="18" t="s">
        <v>94</v>
      </c>
      <c r="G3019" s="16" t="s">
        <v>341</v>
      </c>
      <c r="H3019" s="16" t="s">
        <v>28</v>
      </c>
      <c r="I3019" s="16" t="s">
        <v>61</v>
      </c>
    </row>
    <row r="3020" spans="2:9" x14ac:dyDescent="0.25">
      <c r="B3020" s="16" t="s">
        <v>33</v>
      </c>
      <c r="C3020" s="17">
        <v>45173</v>
      </c>
      <c r="D3020" s="16">
        <v>8608113</v>
      </c>
      <c r="E3020" s="16">
        <v>9389</v>
      </c>
      <c r="F3020" s="18" t="s">
        <v>119</v>
      </c>
      <c r="G3020" s="16" t="s">
        <v>343</v>
      </c>
      <c r="H3020" s="16" t="s">
        <v>49</v>
      </c>
      <c r="I3020" s="16" t="s">
        <v>61</v>
      </c>
    </row>
    <row r="3021" spans="2:9" x14ac:dyDescent="0.25">
      <c r="B3021" s="16" t="s">
        <v>2</v>
      </c>
      <c r="C3021" s="17">
        <v>45173</v>
      </c>
      <c r="D3021" s="16">
        <v>955551</v>
      </c>
      <c r="E3021" s="16">
        <v>9421</v>
      </c>
      <c r="F3021" s="18" t="s">
        <v>94</v>
      </c>
      <c r="G3021" s="16" t="s">
        <v>341</v>
      </c>
      <c r="H3021" s="16" t="s">
        <v>28</v>
      </c>
      <c r="I3021" s="16" t="s">
        <v>61</v>
      </c>
    </row>
    <row r="3022" spans="2:9" x14ac:dyDescent="0.25">
      <c r="B3022" s="16" t="s">
        <v>2</v>
      </c>
      <c r="C3022" s="17">
        <v>45173</v>
      </c>
      <c r="D3022" s="16">
        <v>955552</v>
      </c>
      <c r="E3022" s="16">
        <v>9421</v>
      </c>
      <c r="F3022" s="18" t="s">
        <v>94</v>
      </c>
      <c r="G3022" s="16" t="s">
        <v>341</v>
      </c>
      <c r="H3022" s="16" t="s">
        <v>28</v>
      </c>
      <c r="I3022" s="16" t="s">
        <v>61</v>
      </c>
    </row>
    <row r="3023" spans="2:9" x14ac:dyDescent="0.25">
      <c r="B3023" s="16" t="s">
        <v>2</v>
      </c>
      <c r="C3023" s="17">
        <v>45173</v>
      </c>
      <c r="D3023" s="16">
        <v>955553</v>
      </c>
      <c r="E3023" s="16">
        <v>9421</v>
      </c>
      <c r="F3023" s="18" t="s">
        <v>94</v>
      </c>
      <c r="G3023" s="16" t="s">
        <v>341</v>
      </c>
      <c r="H3023" s="16" t="s">
        <v>28</v>
      </c>
      <c r="I3023" s="16" t="s">
        <v>61</v>
      </c>
    </row>
    <row r="3024" spans="2:9" x14ac:dyDescent="0.25">
      <c r="B3024" s="16" t="s">
        <v>2</v>
      </c>
      <c r="C3024" s="17">
        <v>45173</v>
      </c>
      <c r="D3024" s="16">
        <v>955509</v>
      </c>
      <c r="E3024" s="16">
        <v>9421</v>
      </c>
      <c r="F3024" s="18" t="s">
        <v>94</v>
      </c>
      <c r="G3024" s="16" t="s">
        <v>341</v>
      </c>
      <c r="H3024" s="16" t="s">
        <v>28</v>
      </c>
      <c r="I3024" s="16" t="s">
        <v>61</v>
      </c>
    </row>
    <row r="3025" spans="2:9" x14ac:dyDescent="0.25">
      <c r="B3025" s="16" t="s">
        <v>2</v>
      </c>
      <c r="C3025" s="17">
        <v>45173</v>
      </c>
      <c r="D3025" s="16">
        <v>955510</v>
      </c>
      <c r="E3025" s="16">
        <v>9421</v>
      </c>
      <c r="F3025" s="18" t="s">
        <v>94</v>
      </c>
      <c r="G3025" s="16" t="s">
        <v>341</v>
      </c>
      <c r="H3025" s="16" t="s">
        <v>28</v>
      </c>
      <c r="I3025" s="16" t="s">
        <v>61</v>
      </c>
    </row>
    <row r="3026" spans="2:9" x14ac:dyDescent="0.25">
      <c r="B3026" s="16" t="s">
        <v>210</v>
      </c>
      <c r="C3026" s="17">
        <v>45173</v>
      </c>
      <c r="D3026" s="16">
        <v>50521</v>
      </c>
      <c r="E3026" s="16">
        <v>10348</v>
      </c>
      <c r="F3026" s="18" t="s">
        <v>76</v>
      </c>
      <c r="G3026" s="16" t="s">
        <v>7</v>
      </c>
      <c r="H3026" s="16" t="s">
        <v>355</v>
      </c>
      <c r="I3026" s="16" t="s">
        <v>7</v>
      </c>
    </row>
    <row r="3027" spans="2:9" x14ac:dyDescent="0.25">
      <c r="B3027" s="16" t="s">
        <v>210</v>
      </c>
      <c r="C3027" s="17">
        <v>45173</v>
      </c>
      <c r="D3027" s="16">
        <v>62174</v>
      </c>
      <c r="E3027" s="16">
        <v>63264</v>
      </c>
      <c r="F3027" s="18" t="s">
        <v>428</v>
      </c>
      <c r="G3027" s="16" t="s">
        <v>7</v>
      </c>
      <c r="H3027" s="16" t="s">
        <v>355</v>
      </c>
      <c r="I3027" s="16" t="s">
        <v>7</v>
      </c>
    </row>
    <row r="3028" spans="2:9" x14ac:dyDescent="0.25">
      <c r="B3028" s="16" t="s">
        <v>210</v>
      </c>
      <c r="C3028" s="17">
        <v>45173</v>
      </c>
      <c r="D3028" s="16">
        <v>50519</v>
      </c>
      <c r="E3028" s="16">
        <v>10348</v>
      </c>
      <c r="F3028" s="18" t="s">
        <v>76</v>
      </c>
      <c r="G3028" s="16" t="s">
        <v>7</v>
      </c>
      <c r="H3028" s="16" t="s">
        <v>355</v>
      </c>
      <c r="I3028" s="16" t="s">
        <v>7</v>
      </c>
    </row>
    <row r="3029" spans="2:9" x14ac:dyDescent="0.25">
      <c r="B3029" s="16" t="s">
        <v>40</v>
      </c>
      <c r="C3029" s="17">
        <v>45173</v>
      </c>
      <c r="D3029" s="16">
        <v>124185</v>
      </c>
      <c r="E3029" s="16">
        <v>13121</v>
      </c>
      <c r="F3029" s="18" t="s">
        <v>143</v>
      </c>
      <c r="G3029" s="16" t="s">
        <v>52</v>
      </c>
      <c r="H3029" s="16" t="s">
        <v>220</v>
      </c>
      <c r="I3029" s="16" t="s">
        <v>61</v>
      </c>
    </row>
    <row r="3030" spans="2:9" x14ac:dyDescent="0.25">
      <c r="B3030" s="16" t="s">
        <v>2</v>
      </c>
      <c r="C3030" s="17">
        <v>45173</v>
      </c>
      <c r="D3030" s="16">
        <v>50524</v>
      </c>
      <c r="E3030" s="16">
        <v>10348</v>
      </c>
      <c r="F3030" s="18" t="s">
        <v>76</v>
      </c>
      <c r="G3030" s="16" t="s">
        <v>7</v>
      </c>
      <c r="H3030" s="16" t="s">
        <v>355</v>
      </c>
      <c r="I3030" s="16" t="s">
        <v>7</v>
      </c>
    </row>
    <row r="3031" spans="2:9" x14ac:dyDescent="0.25">
      <c r="B3031" s="16" t="s">
        <v>2</v>
      </c>
      <c r="C3031" s="17">
        <v>45173</v>
      </c>
      <c r="D3031" s="16">
        <v>244665</v>
      </c>
      <c r="E3031" s="16">
        <v>1175</v>
      </c>
      <c r="F3031" s="18" t="s">
        <v>81</v>
      </c>
      <c r="G3031" s="16" t="s">
        <v>7</v>
      </c>
      <c r="H3031" s="16" t="s">
        <v>355</v>
      </c>
      <c r="I3031" s="16" t="s">
        <v>7</v>
      </c>
    </row>
    <row r="3032" spans="2:9" x14ac:dyDescent="0.25">
      <c r="B3032" s="16" t="s">
        <v>40</v>
      </c>
      <c r="C3032" s="17">
        <v>45173</v>
      </c>
      <c r="D3032" s="16">
        <v>50523</v>
      </c>
      <c r="E3032" s="16">
        <v>10348</v>
      </c>
      <c r="F3032" s="18" t="s">
        <v>76</v>
      </c>
      <c r="G3032" s="16" t="s">
        <v>7</v>
      </c>
      <c r="H3032" s="16" t="s">
        <v>355</v>
      </c>
      <c r="I3032" s="16" t="s">
        <v>7</v>
      </c>
    </row>
    <row r="3033" spans="2:9" x14ac:dyDescent="0.25">
      <c r="B3033" s="16" t="s">
        <v>40</v>
      </c>
      <c r="C3033" s="17">
        <v>45173</v>
      </c>
      <c r="D3033" s="16">
        <v>244653</v>
      </c>
      <c r="E3033" s="16">
        <v>1175</v>
      </c>
      <c r="F3033" s="18" t="s">
        <v>81</v>
      </c>
      <c r="G3033" s="16" t="s">
        <v>7</v>
      </c>
      <c r="H3033" s="16" t="s">
        <v>355</v>
      </c>
      <c r="I3033" s="16" t="s">
        <v>7</v>
      </c>
    </row>
    <row r="3034" spans="2:9" x14ac:dyDescent="0.25">
      <c r="B3034" s="16" t="s">
        <v>26</v>
      </c>
      <c r="C3034" s="17">
        <v>45173</v>
      </c>
      <c r="D3034" s="16">
        <v>999798</v>
      </c>
      <c r="E3034" s="16">
        <v>9434</v>
      </c>
      <c r="F3034" s="18" t="s">
        <v>23</v>
      </c>
      <c r="G3034" s="16" t="s">
        <v>6</v>
      </c>
      <c r="H3034" s="16" t="s">
        <v>71</v>
      </c>
      <c r="I3034" s="16" t="s">
        <v>17</v>
      </c>
    </row>
    <row r="3035" spans="2:9" x14ac:dyDescent="0.25">
      <c r="B3035" s="16" t="s">
        <v>22</v>
      </c>
      <c r="C3035" s="17">
        <v>45174</v>
      </c>
      <c r="D3035" s="16">
        <v>205884</v>
      </c>
      <c r="E3035" s="16">
        <v>1100</v>
      </c>
      <c r="F3035" s="18" t="s">
        <v>152</v>
      </c>
      <c r="G3035" s="16" t="s">
        <v>341</v>
      </c>
      <c r="H3035" s="16" t="s">
        <v>186</v>
      </c>
      <c r="I3035" s="16" t="s">
        <v>61</v>
      </c>
    </row>
    <row r="3036" spans="2:9" x14ac:dyDescent="0.25">
      <c r="B3036" s="16" t="s">
        <v>210</v>
      </c>
      <c r="C3036" s="17">
        <v>45174</v>
      </c>
      <c r="D3036" s="16">
        <v>67564</v>
      </c>
      <c r="E3036" s="16" t="s">
        <v>20</v>
      </c>
      <c r="F3036" s="18" t="s">
        <v>20</v>
      </c>
      <c r="G3036" s="16" t="s">
        <v>7</v>
      </c>
      <c r="H3036" s="16" t="s">
        <v>38</v>
      </c>
      <c r="I3036" s="16" t="s">
        <v>103</v>
      </c>
    </row>
    <row r="3037" spans="2:9" x14ac:dyDescent="0.25">
      <c r="B3037" s="16" t="s">
        <v>22</v>
      </c>
      <c r="C3037" s="17">
        <v>45174</v>
      </c>
      <c r="D3037" s="16">
        <v>205885</v>
      </c>
      <c r="E3037" s="16">
        <v>1100</v>
      </c>
      <c r="F3037" s="18" t="s">
        <v>152</v>
      </c>
      <c r="G3037" s="16" t="s">
        <v>341</v>
      </c>
      <c r="H3037" s="16" t="s">
        <v>184</v>
      </c>
      <c r="I3037" s="16" t="s">
        <v>61</v>
      </c>
    </row>
    <row r="3038" spans="2:9" x14ac:dyDescent="0.25">
      <c r="B3038" s="16" t="s">
        <v>33</v>
      </c>
      <c r="C3038" s="17">
        <v>45174</v>
      </c>
      <c r="D3038" s="16">
        <v>3911854</v>
      </c>
      <c r="E3038" s="16">
        <v>3506</v>
      </c>
      <c r="F3038" s="18" t="s">
        <v>77</v>
      </c>
      <c r="G3038" s="16" t="s">
        <v>4</v>
      </c>
      <c r="H3038" s="16" t="s">
        <v>184</v>
      </c>
      <c r="I3038" s="16" t="s">
        <v>61</v>
      </c>
    </row>
    <row r="3039" spans="2:9" x14ac:dyDescent="0.25">
      <c r="B3039" s="16" t="s">
        <v>22</v>
      </c>
      <c r="C3039" s="17">
        <v>45174</v>
      </c>
      <c r="D3039" s="16">
        <v>900966</v>
      </c>
      <c r="E3039" s="16">
        <v>1019</v>
      </c>
      <c r="F3039" s="18" t="s">
        <v>158</v>
      </c>
      <c r="G3039" s="16" t="s">
        <v>341</v>
      </c>
      <c r="H3039" s="16" t="s">
        <v>49</v>
      </c>
      <c r="I3039" s="16" t="s">
        <v>103</v>
      </c>
    </row>
    <row r="3040" spans="2:9" x14ac:dyDescent="0.25">
      <c r="B3040" s="16" t="s">
        <v>33</v>
      </c>
      <c r="C3040" s="17">
        <v>45174</v>
      </c>
      <c r="D3040" s="16">
        <v>205702</v>
      </c>
      <c r="E3040" s="16">
        <v>10440</v>
      </c>
      <c r="F3040" s="18" t="s">
        <v>37</v>
      </c>
      <c r="G3040" s="16" t="s">
        <v>334</v>
      </c>
      <c r="H3040" s="16" t="s">
        <v>38</v>
      </c>
      <c r="I3040" s="16" t="s">
        <v>61</v>
      </c>
    </row>
    <row r="3041" spans="2:9" x14ac:dyDescent="0.25">
      <c r="B3041" s="16" t="s">
        <v>26</v>
      </c>
      <c r="C3041" s="17">
        <v>45174</v>
      </c>
      <c r="D3041" s="16">
        <v>4358791</v>
      </c>
      <c r="E3041" s="16">
        <v>1174</v>
      </c>
      <c r="F3041" s="18" t="s">
        <v>100</v>
      </c>
      <c r="G3041" s="16" t="s">
        <v>4</v>
      </c>
      <c r="H3041" s="16" t="s">
        <v>75</v>
      </c>
      <c r="I3041" s="16" t="s">
        <v>42</v>
      </c>
    </row>
    <row r="3042" spans="2:9" x14ac:dyDescent="0.25">
      <c r="B3042" s="16" t="s">
        <v>210</v>
      </c>
      <c r="C3042" s="17">
        <v>45174</v>
      </c>
      <c r="D3042" s="16">
        <v>108020</v>
      </c>
      <c r="E3042" s="16">
        <v>66224</v>
      </c>
      <c r="F3042" s="18" t="s">
        <v>121</v>
      </c>
      <c r="G3042" s="16" t="s">
        <v>334</v>
      </c>
      <c r="H3042" s="16" t="s">
        <v>46</v>
      </c>
      <c r="I3042" s="16" t="s">
        <v>192</v>
      </c>
    </row>
    <row r="3043" spans="2:9" x14ac:dyDescent="0.25">
      <c r="B3043" s="16" t="s">
        <v>26</v>
      </c>
      <c r="C3043" s="17">
        <v>45174</v>
      </c>
      <c r="D3043" s="16">
        <v>900925</v>
      </c>
      <c r="E3043" s="16">
        <v>1019</v>
      </c>
      <c r="F3043" s="18" t="s">
        <v>158</v>
      </c>
      <c r="G3043" s="16" t="s">
        <v>341</v>
      </c>
      <c r="H3043" s="16" t="s">
        <v>102</v>
      </c>
      <c r="I3043" s="16" t="s">
        <v>20</v>
      </c>
    </row>
    <row r="3044" spans="2:9" x14ac:dyDescent="0.25">
      <c r="B3044" s="16" t="s">
        <v>26</v>
      </c>
      <c r="C3044" s="17">
        <v>45174</v>
      </c>
      <c r="D3044" s="16">
        <v>900926</v>
      </c>
      <c r="E3044" s="16">
        <v>1019</v>
      </c>
      <c r="F3044" s="18" t="s">
        <v>158</v>
      </c>
      <c r="G3044" s="16" t="s">
        <v>341</v>
      </c>
      <c r="H3044" s="16" t="s">
        <v>102</v>
      </c>
      <c r="I3044" s="16" t="s">
        <v>20</v>
      </c>
    </row>
    <row r="3045" spans="2:9" x14ac:dyDescent="0.25">
      <c r="B3045" s="16" t="s">
        <v>26</v>
      </c>
      <c r="C3045" s="17">
        <v>45174</v>
      </c>
      <c r="D3045" s="16">
        <v>900924</v>
      </c>
      <c r="E3045" s="16">
        <v>1019</v>
      </c>
      <c r="F3045" s="18" t="s">
        <v>158</v>
      </c>
      <c r="G3045" s="16" t="s">
        <v>341</v>
      </c>
      <c r="H3045" s="16" t="s">
        <v>102</v>
      </c>
      <c r="I3045" s="16" t="s">
        <v>20</v>
      </c>
    </row>
    <row r="3046" spans="2:9" x14ac:dyDescent="0.25">
      <c r="B3046" s="16" t="s">
        <v>26</v>
      </c>
      <c r="C3046" s="17">
        <v>45174</v>
      </c>
      <c r="D3046" s="16">
        <v>900927</v>
      </c>
      <c r="E3046" s="16">
        <v>1019</v>
      </c>
      <c r="F3046" s="18" t="s">
        <v>158</v>
      </c>
      <c r="G3046" s="16" t="s">
        <v>341</v>
      </c>
      <c r="H3046" s="16" t="s">
        <v>102</v>
      </c>
      <c r="I3046" s="16" t="s">
        <v>20</v>
      </c>
    </row>
    <row r="3047" spans="2:9" x14ac:dyDescent="0.25">
      <c r="B3047" s="16" t="s">
        <v>26</v>
      </c>
      <c r="C3047" s="17">
        <v>45174</v>
      </c>
      <c r="D3047" s="16">
        <v>900928</v>
      </c>
      <c r="E3047" s="16">
        <v>1019</v>
      </c>
      <c r="F3047" s="18" t="s">
        <v>158</v>
      </c>
      <c r="G3047" s="16" t="s">
        <v>341</v>
      </c>
      <c r="H3047" s="16" t="s">
        <v>102</v>
      </c>
      <c r="I3047" s="16" t="s">
        <v>20</v>
      </c>
    </row>
    <row r="3048" spans="2:9" x14ac:dyDescent="0.25">
      <c r="B3048" s="16" t="s">
        <v>26</v>
      </c>
      <c r="C3048" s="17">
        <v>45174</v>
      </c>
      <c r="D3048" s="16">
        <v>900929</v>
      </c>
      <c r="E3048" s="16">
        <v>1019</v>
      </c>
      <c r="F3048" s="18" t="s">
        <v>158</v>
      </c>
      <c r="G3048" s="16" t="s">
        <v>341</v>
      </c>
      <c r="H3048" s="16" t="s">
        <v>102</v>
      </c>
      <c r="I3048" s="16" t="s">
        <v>20</v>
      </c>
    </row>
    <row r="3049" spans="2:9" x14ac:dyDescent="0.25">
      <c r="B3049" s="16" t="s">
        <v>22</v>
      </c>
      <c r="C3049" s="17">
        <v>45174</v>
      </c>
      <c r="D3049" s="16">
        <v>1999</v>
      </c>
      <c r="E3049" s="16">
        <v>12765</v>
      </c>
      <c r="F3049" s="18" t="s">
        <v>442</v>
      </c>
      <c r="G3049" s="16" t="s">
        <v>334</v>
      </c>
      <c r="H3049" s="16" t="s">
        <v>184</v>
      </c>
      <c r="I3049" s="16" t="s">
        <v>192</v>
      </c>
    </row>
    <row r="3050" spans="2:9" x14ac:dyDescent="0.25">
      <c r="B3050" s="16" t="s">
        <v>22</v>
      </c>
      <c r="C3050" s="17">
        <v>45174</v>
      </c>
      <c r="D3050" s="16">
        <v>308312</v>
      </c>
      <c r="E3050" s="16">
        <v>11564</v>
      </c>
      <c r="F3050" s="18" t="s">
        <v>82</v>
      </c>
      <c r="G3050" s="16" t="s">
        <v>7</v>
      </c>
      <c r="H3050" s="16" t="s">
        <v>89</v>
      </c>
      <c r="I3050" s="16" t="s">
        <v>103</v>
      </c>
    </row>
    <row r="3051" spans="2:9" x14ac:dyDescent="0.25">
      <c r="B3051" s="16" t="s">
        <v>40</v>
      </c>
      <c r="C3051" s="17">
        <v>45174</v>
      </c>
      <c r="D3051" s="16">
        <v>67191</v>
      </c>
      <c r="E3051" s="16">
        <v>7397</v>
      </c>
      <c r="F3051" s="18" t="s">
        <v>396</v>
      </c>
      <c r="G3051" s="16" t="s">
        <v>335</v>
      </c>
      <c r="H3051" s="16" t="s">
        <v>184</v>
      </c>
      <c r="I3051" s="16" t="s">
        <v>192</v>
      </c>
    </row>
    <row r="3052" spans="2:9" x14ac:dyDescent="0.25">
      <c r="B3052" s="16" t="s">
        <v>40</v>
      </c>
      <c r="C3052" s="17">
        <v>45174</v>
      </c>
      <c r="D3052" s="16">
        <v>629188</v>
      </c>
      <c r="E3052" s="16">
        <v>6172</v>
      </c>
      <c r="F3052" s="18" t="s">
        <v>64</v>
      </c>
      <c r="G3052" s="16" t="s">
        <v>342</v>
      </c>
      <c r="H3052" s="16" t="s">
        <v>184</v>
      </c>
      <c r="I3052" s="16" t="s">
        <v>192</v>
      </c>
    </row>
    <row r="3053" spans="2:9" x14ac:dyDescent="0.25">
      <c r="B3053" s="16" t="s">
        <v>40</v>
      </c>
      <c r="C3053" s="17">
        <v>45174</v>
      </c>
      <c r="D3053" s="16">
        <v>629187</v>
      </c>
      <c r="E3053" s="16">
        <v>6172</v>
      </c>
      <c r="F3053" s="18" t="s">
        <v>64</v>
      </c>
      <c r="G3053" s="16" t="s">
        <v>342</v>
      </c>
      <c r="H3053" s="16" t="s">
        <v>36</v>
      </c>
      <c r="I3053" s="16" t="s">
        <v>61</v>
      </c>
    </row>
    <row r="3054" spans="2:9" x14ac:dyDescent="0.25">
      <c r="B3054" s="16" t="s">
        <v>40</v>
      </c>
      <c r="C3054" s="17">
        <v>45174</v>
      </c>
      <c r="D3054" s="16">
        <v>57259</v>
      </c>
      <c r="E3054" s="16">
        <v>10656</v>
      </c>
      <c r="F3054" s="18" t="s">
        <v>427</v>
      </c>
      <c r="G3054" s="16" t="s">
        <v>16</v>
      </c>
      <c r="H3054" s="16" t="s">
        <v>28</v>
      </c>
      <c r="I3054" s="16" t="s">
        <v>192</v>
      </c>
    </row>
    <row r="3055" spans="2:9" x14ac:dyDescent="0.25">
      <c r="B3055" s="16" t="s">
        <v>40</v>
      </c>
      <c r="C3055" s="17">
        <v>45174</v>
      </c>
      <c r="D3055" s="16">
        <v>57260</v>
      </c>
      <c r="E3055" s="16">
        <v>10656</v>
      </c>
      <c r="F3055" s="18" t="s">
        <v>427</v>
      </c>
      <c r="G3055" s="16" t="s">
        <v>16</v>
      </c>
      <c r="H3055" s="16" t="s">
        <v>28</v>
      </c>
      <c r="I3055" s="16" t="s">
        <v>192</v>
      </c>
    </row>
    <row r="3056" spans="2:9" x14ac:dyDescent="0.25">
      <c r="B3056" s="16" t="s">
        <v>40</v>
      </c>
      <c r="C3056" s="17">
        <v>45174</v>
      </c>
      <c r="D3056" s="16">
        <v>57264</v>
      </c>
      <c r="E3056" s="16">
        <v>10656</v>
      </c>
      <c r="F3056" s="18" t="s">
        <v>427</v>
      </c>
      <c r="G3056" s="16" t="s">
        <v>16</v>
      </c>
      <c r="H3056" s="16" t="s">
        <v>28</v>
      </c>
      <c r="I3056" s="16" t="s">
        <v>192</v>
      </c>
    </row>
    <row r="3057" spans="2:9" x14ac:dyDescent="0.25">
      <c r="B3057" s="16" t="s">
        <v>40</v>
      </c>
      <c r="C3057" s="17">
        <v>45174</v>
      </c>
      <c r="D3057" s="16">
        <v>57263</v>
      </c>
      <c r="E3057" s="16">
        <v>10656</v>
      </c>
      <c r="F3057" s="18" t="s">
        <v>427</v>
      </c>
      <c r="G3057" s="16" t="s">
        <v>16</v>
      </c>
      <c r="H3057" s="16" t="s">
        <v>28</v>
      </c>
      <c r="I3057" s="16" t="s">
        <v>192</v>
      </c>
    </row>
    <row r="3058" spans="2:9" x14ac:dyDescent="0.25">
      <c r="B3058" s="16" t="s">
        <v>40</v>
      </c>
      <c r="C3058" s="17">
        <v>45174</v>
      </c>
      <c r="D3058" s="16">
        <v>57262</v>
      </c>
      <c r="E3058" s="16">
        <v>10656</v>
      </c>
      <c r="F3058" s="18" t="s">
        <v>427</v>
      </c>
      <c r="G3058" s="16" t="s">
        <v>16</v>
      </c>
      <c r="H3058" s="16" t="s">
        <v>28</v>
      </c>
      <c r="I3058" s="16" t="s">
        <v>192</v>
      </c>
    </row>
    <row r="3059" spans="2:9" x14ac:dyDescent="0.25">
      <c r="B3059" s="16" t="s">
        <v>40</v>
      </c>
      <c r="C3059" s="17">
        <v>45174</v>
      </c>
      <c r="D3059" s="16">
        <v>57261</v>
      </c>
      <c r="E3059" s="16">
        <v>10656</v>
      </c>
      <c r="F3059" s="18" t="s">
        <v>427</v>
      </c>
      <c r="G3059" s="16" t="s">
        <v>16</v>
      </c>
      <c r="H3059" s="16" t="s">
        <v>28</v>
      </c>
      <c r="I3059" s="16" t="s">
        <v>192</v>
      </c>
    </row>
    <row r="3060" spans="2:9" x14ac:dyDescent="0.25">
      <c r="B3060" s="16" t="s">
        <v>2</v>
      </c>
      <c r="C3060" s="17">
        <v>45174</v>
      </c>
      <c r="D3060" s="16">
        <v>4935895</v>
      </c>
      <c r="E3060" s="16">
        <v>9430</v>
      </c>
      <c r="F3060" s="18" t="s">
        <v>185</v>
      </c>
      <c r="G3060" s="16" t="s">
        <v>334</v>
      </c>
      <c r="H3060" s="16" t="s">
        <v>75</v>
      </c>
      <c r="I3060" s="16" t="s">
        <v>103</v>
      </c>
    </row>
    <row r="3061" spans="2:9" x14ac:dyDescent="0.25">
      <c r="B3061" s="16" t="s">
        <v>2</v>
      </c>
      <c r="C3061" s="17">
        <v>45174</v>
      </c>
      <c r="D3061" s="16">
        <v>4935899</v>
      </c>
      <c r="E3061" s="16">
        <v>9430</v>
      </c>
      <c r="F3061" s="18" t="s">
        <v>185</v>
      </c>
      <c r="G3061" s="16" t="s">
        <v>334</v>
      </c>
      <c r="H3061" s="16" t="s">
        <v>75</v>
      </c>
      <c r="I3061" s="16" t="s">
        <v>103</v>
      </c>
    </row>
    <row r="3062" spans="2:9" x14ac:dyDescent="0.25">
      <c r="B3062" s="16" t="s">
        <v>2</v>
      </c>
      <c r="C3062" s="17">
        <v>45174</v>
      </c>
      <c r="D3062" s="16">
        <v>4935908</v>
      </c>
      <c r="E3062" s="16">
        <v>9430</v>
      </c>
      <c r="F3062" s="18" t="s">
        <v>185</v>
      </c>
      <c r="G3062" s="16" t="s">
        <v>334</v>
      </c>
      <c r="H3062" s="16" t="s">
        <v>190</v>
      </c>
      <c r="I3062" s="16" t="s">
        <v>103</v>
      </c>
    </row>
    <row r="3063" spans="2:9" x14ac:dyDescent="0.25">
      <c r="B3063" s="16" t="s">
        <v>2</v>
      </c>
      <c r="C3063" s="17">
        <v>45174</v>
      </c>
      <c r="D3063" s="16">
        <v>49358916</v>
      </c>
      <c r="E3063" s="16">
        <v>9430</v>
      </c>
      <c r="F3063" s="18" t="s">
        <v>185</v>
      </c>
      <c r="G3063" s="16" t="s">
        <v>334</v>
      </c>
      <c r="H3063" s="16" t="s">
        <v>190</v>
      </c>
      <c r="I3063" s="16" t="s">
        <v>103</v>
      </c>
    </row>
    <row r="3064" spans="2:9" x14ac:dyDescent="0.25">
      <c r="B3064" s="16" t="s">
        <v>40</v>
      </c>
      <c r="C3064" s="17">
        <v>45174</v>
      </c>
      <c r="D3064" s="16">
        <v>6035</v>
      </c>
      <c r="E3064" s="16">
        <v>70420</v>
      </c>
      <c r="F3064" s="18" t="s">
        <v>20</v>
      </c>
      <c r="G3064" s="16" t="s">
        <v>42</v>
      </c>
      <c r="H3064" s="16" t="s">
        <v>28</v>
      </c>
      <c r="I3064" s="16" t="s">
        <v>192</v>
      </c>
    </row>
    <row r="3065" spans="2:9" x14ac:dyDescent="0.25">
      <c r="B3065" s="16" t="s">
        <v>40</v>
      </c>
      <c r="C3065" s="17">
        <v>45174</v>
      </c>
      <c r="D3065" s="16">
        <v>6037</v>
      </c>
      <c r="E3065" s="16">
        <v>70420</v>
      </c>
      <c r="F3065" s="18" t="s">
        <v>20</v>
      </c>
      <c r="G3065" s="16" t="s">
        <v>42</v>
      </c>
      <c r="H3065" s="16" t="s">
        <v>28</v>
      </c>
      <c r="I3065" s="16" t="s">
        <v>192</v>
      </c>
    </row>
    <row r="3066" spans="2:9" x14ac:dyDescent="0.25">
      <c r="B3066" s="16" t="s">
        <v>40</v>
      </c>
      <c r="C3066" s="17">
        <v>45174</v>
      </c>
      <c r="D3066" s="16">
        <v>6037</v>
      </c>
      <c r="E3066" s="16">
        <v>70420</v>
      </c>
      <c r="F3066" s="18" t="s">
        <v>20</v>
      </c>
      <c r="G3066" s="16" t="s">
        <v>42</v>
      </c>
      <c r="H3066" s="16" t="s">
        <v>28</v>
      </c>
      <c r="I3066" s="16" t="s">
        <v>192</v>
      </c>
    </row>
    <row r="3067" spans="2:9" x14ac:dyDescent="0.25">
      <c r="B3067" s="16" t="s">
        <v>40</v>
      </c>
      <c r="C3067" s="17">
        <v>45174</v>
      </c>
      <c r="D3067" s="16">
        <v>6034</v>
      </c>
      <c r="E3067" s="16">
        <v>70420</v>
      </c>
      <c r="F3067" s="18" t="s">
        <v>20</v>
      </c>
      <c r="G3067" s="16" t="s">
        <v>42</v>
      </c>
      <c r="H3067" s="16" t="s">
        <v>28</v>
      </c>
      <c r="I3067" s="16" t="s">
        <v>192</v>
      </c>
    </row>
    <row r="3068" spans="2:9" x14ac:dyDescent="0.25">
      <c r="B3068" s="16" t="s">
        <v>40</v>
      </c>
      <c r="C3068" s="17">
        <v>45174</v>
      </c>
      <c r="D3068" s="16">
        <v>6038</v>
      </c>
      <c r="E3068" s="16">
        <v>70420</v>
      </c>
      <c r="F3068" s="18" t="s">
        <v>20</v>
      </c>
      <c r="G3068" s="16" t="s">
        <v>42</v>
      </c>
      <c r="H3068" s="16" t="s">
        <v>28</v>
      </c>
      <c r="I3068" s="16" t="s">
        <v>192</v>
      </c>
    </row>
    <row r="3069" spans="2:9" x14ac:dyDescent="0.25">
      <c r="B3069" s="16" t="s">
        <v>40</v>
      </c>
      <c r="C3069" s="17">
        <v>45174</v>
      </c>
      <c r="D3069" s="16">
        <v>6033</v>
      </c>
      <c r="E3069" s="16">
        <v>70420</v>
      </c>
      <c r="F3069" s="18" t="s">
        <v>20</v>
      </c>
      <c r="G3069" s="16" t="s">
        <v>42</v>
      </c>
      <c r="H3069" s="16" t="s">
        <v>28</v>
      </c>
      <c r="I3069" s="16" t="s">
        <v>192</v>
      </c>
    </row>
    <row r="3070" spans="2:9" x14ac:dyDescent="0.25">
      <c r="B3070" s="16" t="s">
        <v>33</v>
      </c>
      <c r="C3070" s="17">
        <v>45174</v>
      </c>
      <c r="D3070" s="16">
        <v>173205</v>
      </c>
      <c r="E3070" s="16">
        <v>12613</v>
      </c>
      <c r="F3070" s="18" t="s">
        <v>371</v>
      </c>
      <c r="G3070" s="16" t="s">
        <v>342</v>
      </c>
      <c r="H3070" s="16" t="s">
        <v>71</v>
      </c>
      <c r="I3070" s="16" t="s">
        <v>103</v>
      </c>
    </row>
    <row r="3071" spans="2:9" x14ac:dyDescent="0.25">
      <c r="B3071" s="16" t="s">
        <v>33</v>
      </c>
      <c r="C3071" s="17">
        <v>45174</v>
      </c>
      <c r="D3071" s="16">
        <v>3911853</v>
      </c>
      <c r="E3071" s="16">
        <v>3506</v>
      </c>
      <c r="F3071" s="18" t="s">
        <v>77</v>
      </c>
      <c r="G3071" s="16" t="s">
        <v>4</v>
      </c>
      <c r="H3071" s="16" t="s">
        <v>184</v>
      </c>
      <c r="I3071" s="16" t="s">
        <v>61</v>
      </c>
    </row>
    <row r="3072" spans="2:9" x14ac:dyDescent="0.25">
      <c r="B3072" s="16" t="s">
        <v>26</v>
      </c>
      <c r="C3072" s="17">
        <v>45175</v>
      </c>
      <c r="D3072" s="16">
        <v>4359424</v>
      </c>
      <c r="E3072" s="16">
        <v>1174</v>
      </c>
      <c r="F3072" s="18" t="s">
        <v>100</v>
      </c>
      <c r="G3072" s="16" t="s">
        <v>4</v>
      </c>
      <c r="H3072" s="16" t="s">
        <v>49</v>
      </c>
      <c r="I3072" s="16" t="s">
        <v>163</v>
      </c>
    </row>
    <row r="3073" spans="2:9" x14ac:dyDescent="0.25">
      <c r="B3073" s="16" t="s">
        <v>40</v>
      </c>
      <c r="C3073" s="17">
        <v>45175</v>
      </c>
      <c r="D3073" s="16">
        <v>1126387</v>
      </c>
      <c r="E3073" s="16">
        <v>1139</v>
      </c>
      <c r="F3073" s="18" t="s">
        <v>66</v>
      </c>
      <c r="G3073" s="16" t="s">
        <v>334</v>
      </c>
      <c r="H3073" s="16" t="s">
        <v>184</v>
      </c>
      <c r="I3073" s="16" t="s">
        <v>61</v>
      </c>
    </row>
    <row r="3074" spans="2:9" x14ac:dyDescent="0.25">
      <c r="B3074" s="16" t="s">
        <v>210</v>
      </c>
      <c r="C3074" s="17">
        <v>45144</v>
      </c>
      <c r="D3074" s="16">
        <v>4359428</v>
      </c>
      <c r="E3074" s="16">
        <v>1174</v>
      </c>
      <c r="F3074" s="18" t="s">
        <v>100</v>
      </c>
      <c r="G3074" s="16" t="s">
        <v>4</v>
      </c>
      <c r="H3074" s="16" t="s">
        <v>36</v>
      </c>
      <c r="I3074" s="16" t="s">
        <v>357</v>
      </c>
    </row>
    <row r="3075" spans="2:9" x14ac:dyDescent="0.25">
      <c r="B3075" s="16" t="s">
        <v>210</v>
      </c>
      <c r="C3075" s="17">
        <v>45144</v>
      </c>
      <c r="D3075" s="16">
        <v>11349239</v>
      </c>
      <c r="E3075" s="16">
        <v>9455</v>
      </c>
      <c r="F3075" s="18" t="s">
        <v>151</v>
      </c>
      <c r="G3075" s="16" t="s">
        <v>334</v>
      </c>
      <c r="H3075" s="16" t="s">
        <v>190</v>
      </c>
      <c r="I3075" s="16" t="s">
        <v>163</v>
      </c>
    </row>
    <row r="3076" spans="2:9" x14ac:dyDescent="0.25">
      <c r="B3076" s="16" t="s">
        <v>2</v>
      </c>
      <c r="C3076" s="17">
        <v>45144</v>
      </c>
      <c r="D3076" s="16">
        <v>3914876</v>
      </c>
      <c r="E3076" s="16">
        <v>3506</v>
      </c>
      <c r="F3076" s="18" t="s">
        <v>77</v>
      </c>
      <c r="G3076" s="16" t="s">
        <v>4</v>
      </c>
      <c r="H3076" s="16" t="s">
        <v>184</v>
      </c>
      <c r="I3076" s="16" t="s">
        <v>357</v>
      </c>
    </row>
    <row r="3077" spans="2:9" x14ac:dyDescent="0.25">
      <c r="B3077" s="16" t="s">
        <v>33</v>
      </c>
      <c r="C3077" s="17">
        <v>45144</v>
      </c>
      <c r="D3077" s="16">
        <v>190572</v>
      </c>
      <c r="E3077" s="16">
        <v>10994</v>
      </c>
      <c r="F3077" s="18" t="s">
        <v>303</v>
      </c>
      <c r="G3077" s="16" t="s">
        <v>52</v>
      </c>
      <c r="H3077" s="16" t="s">
        <v>45</v>
      </c>
      <c r="I3077" s="16" t="s">
        <v>61</v>
      </c>
    </row>
    <row r="3078" spans="2:9" x14ac:dyDescent="0.25">
      <c r="B3078" s="16" t="s">
        <v>2</v>
      </c>
      <c r="C3078" s="17">
        <v>45144</v>
      </c>
      <c r="D3078" s="16">
        <v>54355</v>
      </c>
      <c r="E3078" s="16">
        <v>9451</v>
      </c>
      <c r="F3078" s="18" t="s">
        <v>195</v>
      </c>
      <c r="G3078" s="16" t="s">
        <v>334</v>
      </c>
      <c r="H3078" s="16" t="s">
        <v>184</v>
      </c>
      <c r="I3078" s="16" t="s">
        <v>61</v>
      </c>
    </row>
    <row r="3079" spans="2:9" x14ac:dyDescent="0.25">
      <c r="B3079" s="16" t="s">
        <v>40</v>
      </c>
      <c r="C3079" s="17">
        <v>45144</v>
      </c>
      <c r="D3079" s="16">
        <v>666798</v>
      </c>
      <c r="E3079" s="16">
        <v>3610</v>
      </c>
      <c r="F3079" s="18" t="s">
        <v>8</v>
      </c>
      <c r="G3079" s="16" t="s">
        <v>20</v>
      </c>
      <c r="H3079" s="16" t="s">
        <v>38</v>
      </c>
      <c r="I3079" s="16" t="s">
        <v>163</v>
      </c>
    </row>
    <row r="3080" spans="2:9" x14ac:dyDescent="0.25">
      <c r="B3080" s="16" t="s">
        <v>33</v>
      </c>
      <c r="C3080" s="17">
        <v>45144</v>
      </c>
      <c r="D3080" s="16">
        <v>11349229</v>
      </c>
      <c r="E3080" s="16">
        <v>9455</v>
      </c>
      <c r="F3080" s="18" t="s">
        <v>151</v>
      </c>
      <c r="G3080" s="16" t="s">
        <v>334</v>
      </c>
      <c r="H3080" s="16" t="s">
        <v>190</v>
      </c>
      <c r="I3080" s="16" t="s">
        <v>163</v>
      </c>
    </row>
    <row r="3081" spans="2:9" x14ac:dyDescent="0.25">
      <c r="B3081" s="16" t="s">
        <v>22</v>
      </c>
      <c r="C3081" s="17">
        <v>45175</v>
      </c>
      <c r="D3081" s="16">
        <v>1126365</v>
      </c>
      <c r="E3081" s="16">
        <v>1139</v>
      </c>
      <c r="F3081" s="18" t="s">
        <v>66</v>
      </c>
      <c r="G3081" s="16" t="s">
        <v>334</v>
      </c>
      <c r="H3081" s="16" t="s">
        <v>31</v>
      </c>
      <c r="I3081" s="16" t="s">
        <v>32</v>
      </c>
    </row>
    <row r="3082" spans="2:9" x14ac:dyDescent="0.25">
      <c r="B3082" s="16" t="s">
        <v>33</v>
      </c>
      <c r="C3082" s="17">
        <v>45144</v>
      </c>
      <c r="D3082" s="16">
        <v>122111</v>
      </c>
      <c r="E3082" s="16">
        <v>11604</v>
      </c>
      <c r="F3082" s="18" t="s">
        <v>63</v>
      </c>
      <c r="G3082" s="16" t="s">
        <v>262</v>
      </c>
      <c r="H3082" s="16" t="s">
        <v>38</v>
      </c>
      <c r="I3082" s="16" t="s">
        <v>163</v>
      </c>
    </row>
    <row r="3083" spans="2:9" x14ac:dyDescent="0.25">
      <c r="B3083" s="16" t="s">
        <v>22</v>
      </c>
      <c r="C3083" s="17">
        <v>45175</v>
      </c>
      <c r="D3083" s="16">
        <v>190571</v>
      </c>
      <c r="E3083" s="16">
        <v>10994</v>
      </c>
      <c r="F3083" s="18" t="s">
        <v>303</v>
      </c>
      <c r="G3083" s="16" t="s">
        <v>52</v>
      </c>
      <c r="H3083" s="16" t="s">
        <v>49</v>
      </c>
      <c r="I3083" s="16" t="s">
        <v>61</v>
      </c>
    </row>
    <row r="3084" spans="2:9" x14ac:dyDescent="0.25">
      <c r="B3084" s="16" t="s">
        <v>22</v>
      </c>
      <c r="C3084" s="17">
        <v>45175</v>
      </c>
      <c r="D3084" s="16">
        <v>190574</v>
      </c>
      <c r="E3084" s="16">
        <v>10994</v>
      </c>
      <c r="F3084" s="18" t="s">
        <v>303</v>
      </c>
      <c r="G3084" s="16" t="s">
        <v>52</v>
      </c>
      <c r="H3084" s="16" t="s">
        <v>49</v>
      </c>
      <c r="I3084" s="16" t="s">
        <v>61</v>
      </c>
    </row>
    <row r="3085" spans="2:9" x14ac:dyDescent="0.25">
      <c r="B3085" s="16" t="s">
        <v>22</v>
      </c>
      <c r="C3085" s="17">
        <v>45175</v>
      </c>
      <c r="D3085" s="16">
        <v>1456660</v>
      </c>
      <c r="E3085" s="16">
        <v>13235</v>
      </c>
      <c r="F3085" s="18" t="s">
        <v>99</v>
      </c>
      <c r="G3085" s="16" t="s">
        <v>4</v>
      </c>
      <c r="H3085" s="16" t="s">
        <v>300</v>
      </c>
      <c r="I3085" s="16" t="s">
        <v>301</v>
      </c>
    </row>
    <row r="3086" spans="2:9" x14ac:dyDescent="0.25">
      <c r="B3086" s="16" t="s">
        <v>22</v>
      </c>
      <c r="C3086" s="17">
        <v>45175</v>
      </c>
      <c r="D3086" s="16">
        <v>1456648</v>
      </c>
      <c r="E3086" s="16">
        <v>13235</v>
      </c>
      <c r="F3086" s="18" t="s">
        <v>99</v>
      </c>
      <c r="G3086" s="16" t="s">
        <v>4</v>
      </c>
      <c r="H3086" s="16" t="s">
        <v>300</v>
      </c>
      <c r="I3086" s="16" t="s">
        <v>301</v>
      </c>
    </row>
    <row r="3087" spans="2:9" x14ac:dyDescent="0.25">
      <c r="B3087" s="16" t="s">
        <v>22</v>
      </c>
      <c r="C3087" s="17">
        <v>45175</v>
      </c>
      <c r="D3087" s="16">
        <v>1456649</v>
      </c>
      <c r="E3087" s="16">
        <v>13235</v>
      </c>
      <c r="F3087" s="18" t="s">
        <v>99</v>
      </c>
      <c r="G3087" s="16" t="s">
        <v>4</v>
      </c>
      <c r="H3087" s="16" t="s">
        <v>300</v>
      </c>
      <c r="I3087" s="16" t="s">
        <v>301</v>
      </c>
    </row>
    <row r="3088" spans="2:9" x14ac:dyDescent="0.25">
      <c r="B3088" s="16" t="s">
        <v>33</v>
      </c>
      <c r="C3088" s="17">
        <v>45175</v>
      </c>
      <c r="D3088" s="16">
        <v>21529</v>
      </c>
      <c r="E3088" s="16">
        <v>14818</v>
      </c>
      <c r="F3088" s="18" t="s">
        <v>90</v>
      </c>
      <c r="G3088" s="16" t="s">
        <v>342</v>
      </c>
      <c r="H3088" s="16" t="s">
        <v>38</v>
      </c>
      <c r="I3088" s="16" t="s">
        <v>61</v>
      </c>
    </row>
    <row r="3089" spans="2:9" x14ac:dyDescent="0.25">
      <c r="B3089" s="16" t="s">
        <v>40</v>
      </c>
      <c r="C3089" s="17">
        <v>45175</v>
      </c>
      <c r="D3089" s="16">
        <v>11349766</v>
      </c>
      <c r="E3089" s="16">
        <v>9455</v>
      </c>
      <c r="F3089" s="18" t="s">
        <v>151</v>
      </c>
      <c r="G3089" s="16" t="s">
        <v>334</v>
      </c>
      <c r="H3089" s="16" t="s">
        <v>75</v>
      </c>
      <c r="I3089" s="16" t="s">
        <v>163</v>
      </c>
    </row>
    <row r="3090" spans="2:9" x14ac:dyDescent="0.25">
      <c r="B3090" s="16" t="s">
        <v>40</v>
      </c>
      <c r="C3090" s="17">
        <v>45175</v>
      </c>
      <c r="D3090" s="16">
        <v>515203</v>
      </c>
      <c r="E3090" s="16">
        <v>1207</v>
      </c>
      <c r="F3090" s="18" t="s">
        <v>88</v>
      </c>
      <c r="G3090" s="16" t="s">
        <v>52</v>
      </c>
      <c r="H3090" s="16" t="s">
        <v>46</v>
      </c>
      <c r="I3090" s="16" t="s">
        <v>51</v>
      </c>
    </row>
    <row r="3091" spans="2:9" x14ac:dyDescent="0.25">
      <c r="B3091" s="16" t="s">
        <v>2</v>
      </c>
      <c r="C3091" s="17">
        <v>45175</v>
      </c>
      <c r="D3091" s="16">
        <v>100403</v>
      </c>
      <c r="E3091" s="16">
        <v>9676</v>
      </c>
      <c r="F3091" s="18" t="s">
        <v>358</v>
      </c>
      <c r="G3091" s="16" t="s">
        <v>343</v>
      </c>
      <c r="H3091" s="16" t="s">
        <v>71</v>
      </c>
      <c r="I3091" s="16" t="s">
        <v>163</v>
      </c>
    </row>
    <row r="3092" spans="2:9" x14ac:dyDescent="0.25">
      <c r="B3092" s="16" t="s">
        <v>40</v>
      </c>
      <c r="C3092" s="17">
        <v>45175</v>
      </c>
      <c r="D3092" s="16">
        <v>21501</v>
      </c>
      <c r="E3092" s="16">
        <v>14818</v>
      </c>
      <c r="F3092" s="18" t="s">
        <v>90</v>
      </c>
      <c r="G3092" s="16" t="s">
        <v>342</v>
      </c>
      <c r="H3092" s="16" t="s">
        <v>71</v>
      </c>
      <c r="I3092" s="16" t="s">
        <v>163</v>
      </c>
    </row>
    <row r="3093" spans="2:9" x14ac:dyDescent="0.25">
      <c r="B3093" s="16" t="s">
        <v>40</v>
      </c>
      <c r="C3093" s="17">
        <v>45175</v>
      </c>
      <c r="D3093" s="16">
        <v>219423</v>
      </c>
      <c r="E3093" s="16">
        <v>9813</v>
      </c>
      <c r="F3093" s="18" t="s">
        <v>86</v>
      </c>
      <c r="G3093" s="16" t="s">
        <v>4</v>
      </c>
      <c r="H3093" s="16" t="s">
        <v>71</v>
      </c>
      <c r="I3093" s="16" t="s">
        <v>163</v>
      </c>
    </row>
    <row r="3094" spans="2:9" x14ac:dyDescent="0.25">
      <c r="B3094" s="16" t="s">
        <v>40</v>
      </c>
      <c r="C3094" s="17">
        <v>45175</v>
      </c>
      <c r="D3094" s="16">
        <v>219424</v>
      </c>
      <c r="E3094" s="16">
        <v>9813</v>
      </c>
      <c r="F3094" s="18" t="s">
        <v>86</v>
      </c>
      <c r="G3094" s="16" t="s">
        <v>4</v>
      </c>
      <c r="H3094" s="16" t="s">
        <v>71</v>
      </c>
      <c r="I3094" s="16" t="s">
        <v>163</v>
      </c>
    </row>
    <row r="3095" spans="2:9" x14ac:dyDescent="0.25">
      <c r="B3095" s="16" t="s">
        <v>40</v>
      </c>
      <c r="C3095" s="17">
        <v>45175</v>
      </c>
      <c r="D3095" s="16">
        <v>219422</v>
      </c>
      <c r="E3095" s="16">
        <v>9813</v>
      </c>
      <c r="F3095" s="18" t="s">
        <v>86</v>
      </c>
      <c r="G3095" s="16" t="s">
        <v>4</v>
      </c>
      <c r="H3095" s="16" t="s">
        <v>71</v>
      </c>
      <c r="I3095" s="16" t="s">
        <v>163</v>
      </c>
    </row>
    <row r="3096" spans="2:9" x14ac:dyDescent="0.25">
      <c r="B3096" s="16" t="s">
        <v>40</v>
      </c>
      <c r="C3096" s="17">
        <v>45175</v>
      </c>
      <c r="D3096" s="16">
        <v>54354</v>
      </c>
      <c r="E3096" s="16">
        <v>9451</v>
      </c>
      <c r="F3096" s="18" t="s">
        <v>195</v>
      </c>
      <c r="G3096" s="16" t="s">
        <v>334</v>
      </c>
      <c r="H3096" s="16" t="s">
        <v>71</v>
      </c>
      <c r="I3096" s="16" t="s">
        <v>163</v>
      </c>
    </row>
    <row r="3097" spans="2:9" x14ac:dyDescent="0.25">
      <c r="B3097" s="16" t="s">
        <v>22</v>
      </c>
      <c r="C3097" s="17">
        <v>45176</v>
      </c>
      <c r="D3097" s="16">
        <v>110855</v>
      </c>
      <c r="E3097" s="16">
        <v>9490</v>
      </c>
      <c r="F3097" s="18" t="s">
        <v>172</v>
      </c>
      <c r="G3097" s="16" t="s">
        <v>5</v>
      </c>
      <c r="H3097" s="16" t="s">
        <v>97</v>
      </c>
      <c r="I3097" s="16" t="s">
        <v>32</v>
      </c>
    </row>
    <row r="3098" spans="2:9" x14ac:dyDescent="0.25">
      <c r="B3098" s="16" t="s">
        <v>40</v>
      </c>
      <c r="C3098" s="17">
        <v>45176</v>
      </c>
      <c r="D3098" s="16">
        <v>149193</v>
      </c>
      <c r="E3098" s="16">
        <v>11216</v>
      </c>
      <c r="F3098" s="18" t="s">
        <v>326</v>
      </c>
      <c r="G3098" s="16" t="s">
        <v>52</v>
      </c>
      <c r="H3098" s="16" t="s">
        <v>31</v>
      </c>
      <c r="I3098" s="16" t="s">
        <v>61</v>
      </c>
    </row>
    <row r="3099" spans="2:9" x14ac:dyDescent="0.25">
      <c r="B3099" s="16" t="s">
        <v>40</v>
      </c>
      <c r="C3099" s="17">
        <v>45176</v>
      </c>
      <c r="D3099" s="16">
        <v>148449</v>
      </c>
      <c r="E3099" s="16">
        <v>11216</v>
      </c>
      <c r="F3099" s="18" t="s">
        <v>326</v>
      </c>
      <c r="G3099" s="16" t="s">
        <v>52</v>
      </c>
      <c r="H3099" s="16" t="s">
        <v>31</v>
      </c>
      <c r="I3099" s="16" t="s">
        <v>61</v>
      </c>
    </row>
    <row r="3100" spans="2:9" x14ac:dyDescent="0.25">
      <c r="B3100" s="16" t="s">
        <v>33</v>
      </c>
      <c r="C3100" s="17">
        <v>45176</v>
      </c>
      <c r="D3100" s="16">
        <v>67623</v>
      </c>
      <c r="E3100" s="16">
        <v>5346</v>
      </c>
      <c r="F3100" s="18" t="s">
        <v>277</v>
      </c>
      <c r="G3100" s="16" t="s">
        <v>7</v>
      </c>
      <c r="H3100" s="16" t="s">
        <v>355</v>
      </c>
      <c r="I3100" s="16" t="s">
        <v>7</v>
      </c>
    </row>
    <row r="3101" spans="2:9" x14ac:dyDescent="0.25">
      <c r="B3101" s="16" t="s">
        <v>26</v>
      </c>
      <c r="C3101" s="17">
        <v>45177</v>
      </c>
      <c r="D3101" s="16">
        <v>999798</v>
      </c>
      <c r="E3101" s="16">
        <v>9434</v>
      </c>
      <c r="F3101" s="18" t="s">
        <v>23</v>
      </c>
      <c r="G3101" s="16" t="s">
        <v>6</v>
      </c>
      <c r="H3101" s="16" t="s">
        <v>97</v>
      </c>
      <c r="I3101" s="16" t="s">
        <v>258</v>
      </c>
    </row>
    <row r="3102" spans="2:9" x14ac:dyDescent="0.25">
      <c r="B3102" s="16" t="s">
        <v>26</v>
      </c>
      <c r="C3102" s="17">
        <v>45177</v>
      </c>
      <c r="D3102" s="16">
        <v>1850549</v>
      </c>
      <c r="E3102" s="16">
        <v>9307</v>
      </c>
      <c r="F3102" s="18" t="s">
        <v>68</v>
      </c>
      <c r="G3102" s="16" t="s">
        <v>334</v>
      </c>
      <c r="H3102" s="16" t="s">
        <v>49</v>
      </c>
      <c r="I3102" s="16" t="s">
        <v>103</v>
      </c>
    </row>
    <row r="3103" spans="2:9" x14ac:dyDescent="0.25">
      <c r="B3103" s="16" t="s">
        <v>22</v>
      </c>
      <c r="C3103" s="17">
        <v>45177</v>
      </c>
      <c r="D3103" s="16">
        <v>1456650</v>
      </c>
      <c r="E3103" s="16">
        <v>13235</v>
      </c>
      <c r="F3103" s="18" t="s">
        <v>99</v>
      </c>
      <c r="G3103" s="16" t="s">
        <v>4</v>
      </c>
      <c r="H3103" s="16" t="s">
        <v>49</v>
      </c>
      <c r="I3103" s="16" t="s">
        <v>103</v>
      </c>
    </row>
    <row r="3104" spans="2:9" x14ac:dyDescent="0.25">
      <c r="B3104" s="16" t="s">
        <v>26</v>
      </c>
      <c r="C3104" s="17">
        <v>45177</v>
      </c>
      <c r="D3104" s="16">
        <v>1456653</v>
      </c>
      <c r="E3104" s="16">
        <v>13235</v>
      </c>
      <c r="F3104" s="18" t="s">
        <v>99</v>
      </c>
      <c r="G3104" s="16" t="s">
        <v>4</v>
      </c>
      <c r="H3104" s="16" t="s">
        <v>36</v>
      </c>
      <c r="I3104" s="16" t="s">
        <v>443</v>
      </c>
    </row>
    <row r="3105" spans="2:9" x14ac:dyDescent="0.25">
      <c r="B3105" s="16" t="s">
        <v>40</v>
      </c>
      <c r="C3105" s="17">
        <v>45177</v>
      </c>
      <c r="D3105" s="16">
        <v>1002480</v>
      </c>
      <c r="E3105" s="16">
        <v>9434</v>
      </c>
      <c r="F3105" s="18" t="s">
        <v>23</v>
      </c>
      <c r="G3105" s="16" t="s">
        <v>334</v>
      </c>
      <c r="H3105" s="16" t="s">
        <v>36</v>
      </c>
      <c r="I3105" s="16" t="s">
        <v>61</v>
      </c>
    </row>
    <row r="3106" spans="2:9" x14ac:dyDescent="0.25">
      <c r="B3106" s="16" t="s">
        <v>40</v>
      </c>
      <c r="C3106" s="17">
        <v>45177</v>
      </c>
      <c r="D3106" s="16">
        <v>1041547</v>
      </c>
      <c r="E3106" s="16">
        <v>9403</v>
      </c>
      <c r="F3106" s="18" t="s">
        <v>153</v>
      </c>
      <c r="G3106" s="16" t="s">
        <v>5</v>
      </c>
      <c r="H3106" s="16" t="s">
        <v>184</v>
      </c>
      <c r="I3106" s="16" t="s">
        <v>61</v>
      </c>
    </row>
    <row r="3107" spans="2:9" x14ac:dyDescent="0.25">
      <c r="B3107" s="16" t="s">
        <v>40</v>
      </c>
      <c r="C3107" s="17">
        <v>45177</v>
      </c>
      <c r="D3107" s="16">
        <v>149193</v>
      </c>
      <c r="E3107" s="16">
        <v>11216</v>
      </c>
      <c r="F3107" s="18" t="s">
        <v>326</v>
      </c>
      <c r="G3107" s="16" t="s">
        <v>52</v>
      </c>
      <c r="H3107" s="16" t="s">
        <v>28</v>
      </c>
      <c r="I3107" s="16" t="s">
        <v>61</v>
      </c>
    </row>
    <row r="3108" spans="2:9" x14ac:dyDescent="0.25">
      <c r="B3108" s="16" t="s">
        <v>40</v>
      </c>
      <c r="C3108" s="17">
        <v>45177</v>
      </c>
      <c r="D3108" s="16">
        <v>148449</v>
      </c>
      <c r="E3108" s="16">
        <v>11216</v>
      </c>
      <c r="F3108" s="18" t="s">
        <v>326</v>
      </c>
      <c r="G3108" s="16" t="s">
        <v>52</v>
      </c>
      <c r="H3108" s="16" t="s">
        <v>28</v>
      </c>
      <c r="I3108" s="16" t="s">
        <v>61</v>
      </c>
    </row>
    <row r="3109" spans="2:9" x14ac:dyDescent="0.25">
      <c r="B3109" s="16" t="s">
        <v>33</v>
      </c>
      <c r="C3109" s="17">
        <v>45177</v>
      </c>
      <c r="D3109" s="16">
        <v>8620956</v>
      </c>
      <c r="E3109" s="16">
        <v>9389</v>
      </c>
      <c r="F3109" s="18" t="s">
        <v>119</v>
      </c>
      <c r="G3109" s="16" t="s">
        <v>52</v>
      </c>
      <c r="H3109" s="16" t="s">
        <v>184</v>
      </c>
      <c r="I3109" s="16" t="s">
        <v>232</v>
      </c>
    </row>
    <row r="3110" spans="2:9" x14ac:dyDescent="0.25">
      <c r="B3110" s="16" t="s">
        <v>33</v>
      </c>
      <c r="C3110" s="17">
        <v>45177</v>
      </c>
      <c r="D3110" s="16">
        <v>1041554</v>
      </c>
      <c r="E3110" s="16">
        <v>9403</v>
      </c>
      <c r="F3110" s="18" t="s">
        <v>153</v>
      </c>
      <c r="G3110" s="16" t="s">
        <v>5</v>
      </c>
      <c r="H3110" s="16" t="s">
        <v>184</v>
      </c>
      <c r="I3110" s="16" t="s">
        <v>61</v>
      </c>
    </row>
    <row r="3111" spans="2:9" x14ac:dyDescent="0.25">
      <c r="B3111" s="16" t="s">
        <v>33</v>
      </c>
      <c r="C3111" s="17">
        <v>45177</v>
      </c>
      <c r="D3111" s="16">
        <v>1041545</v>
      </c>
      <c r="E3111" s="16">
        <v>9403</v>
      </c>
      <c r="F3111" s="18" t="s">
        <v>153</v>
      </c>
      <c r="G3111" s="16" t="s">
        <v>5</v>
      </c>
      <c r="H3111" s="16" t="s">
        <v>184</v>
      </c>
      <c r="I3111" s="16" t="s">
        <v>61</v>
      </c>
    </row>
    <row r="3112" spans="2:9" x14ac:dyDescent="0.25">
      <c r="B3112" s="16" t="s">
        <v>26</v>
      </c>
      <c r="C3112" s="17">
        <v>45177</v>
      </c>
      <c r="D3112" s="16">
        <v>276854</v>
      </c>
      <c r="E3112" s="16">
        <v>71433</v>
      </c>
      <c r="F3112" s="18" t="s">
        <v>20</v>
      </c>
      <c r="G3112" s="16" t="s">
        <v>341</v>
      </c>
      <c r="H3112" s="16" t="s">
        <v>28</v>
      </c>
      <c r="I3112" s="16" t="s">
        <v>370</v>
      </c>
    </row>
    <row r="3113" spans="2:9" x14ac:dyDescent="0.25">
      <c r="B3113" s="16" t="s">
        <v>22</v>
      </c>
      <c r="C3113" s="17">
        <v>45177</v>
      </c>
      <c r="D3113" s="16">
        <v>1041523</v>
      </c>
      <c r="E3113" s="16">
        <v>9403</v>
      </c>
      <c r="F3113" s="18" t="s">
        <v>153</v>
      </c>
      <c r="G3113" s="16" t="s">
        <v>5</v>
      </c>
      <c r="H3113" s="16" t="s">
        <v>184</v>
      </c>
      <c r="I3113" s="16" t="s">
        <v>61</v>
      </c>
    </row>
    <row r="3114" spans="2:9" x14ac:dyDescent="0.25">
      <c r="B3114" s="16" t="s">
        <v>22</v>
      </c>
      <c r="C3114" s="17">
        <v>45177</v>
      </c>
      <c r="D3114" s="16">
        <v>1041524</v>
      </c>
      <c r="E3114" s="16">
        <v>9403</v>
      </c>
      <c r="F3114" s="18" t="s">
        <v>153</v>
      </c>
      <c r="G3114" s="16" t="s">
        <v>5</v>
      </c>
      <c r="H3114" s="16" t="s">
        <v>184</v>
      </c>
      <c r="I3114" s="16" t="s">
        <v>61</v>
      </c>
    </row>
    <row r="3115" spans="2:9" x14ac:dyDescent="0.25">
      <c r="B3115" s="16" t="s">
        <v>26</v>
      </c>
      <c r="C3115" s="17">
        <v>45177</v>
      </c>
      <c r="D3115" s="16">
        <v>122161</v>
      </c>
      <c r="E3115" s="16">
        <v>11604</v>
      </c>
      <c r="F3115" s="18" t="s">
        <v>63</v>
      </c>
      <c r="G3115" s="16" t="s">
        <v>262</v>
      </c>
      <c r="H3115" s="16" t="s">
        <v>38</v>
      </c>
      <c r="I3115" s="16" t="s">
        <v>103</v>
      </c>
    </row>
    <row r="3116" spans="2:9" x14ac:dyDescent="0.25">
      <c r="B3116" s="16" t="s">
        <v>22</v>
      </c>
      <c r="C3116" s="17">
        <v>45177</v>
      </c>
      <c r="D3116" s="16">
        <v>1209261</v>
      </c>
      <c r="E3116" s="16">
        <v>2294</v>
      </c>
      <c r="F3116" s="18" t="s">
        <v>202</v>
      </c>
      <c r="G3116" s="16" t="s">
        <v>334</v>
      </c>
      <c r="H3116" s="16" t="s">
        <v>28</v>
      </c>
      <c r="I3116" s="16" t="s">
        <v>61</v>
      </c>
    </row>
    <row r="3117" spans="2:9" x14ac:dyDescent="0.25">
      <c r="B3117" s="16" t="s">
        <v>22</v>
      </c>
      <c r="C3117" s="17">
        <v>45177</v>
      </c>
      <c r="D3117" s="16">
        <v>276836</v>
      </c>
      <c r="E3117" s="16">
        <v>71433</v>
      </c>
      <c r="F3117" s="18" t="s">
        <v>20</v>
      </c>
      <c r="G3117" s="16" t="s">
        <v>5</v>
      </c>
      <c r="H3117" s="16" t="s">
        <v>28</v>
      </c>
      <c r="I3117" s="16" t="s">
        <v>61</v>
      </c>
    </row>
    <row r="3118" spans="2:9" x14ac:dyDescent="0.25">
      <c r="B3118" s="16" t="s">
        <v>33</v>
      </c>
      <c r="C3118" s="17">
        <v>45177</v>
      </c>
      <c r="D3118" s="16">
        <v>276902</v>
      </c>
      <c r="E3118" s="16">
        <v>71433</v>
      </c>
      <c r="F3118" s="18" t="s">
        <v>20</v>
      </c>
      <c r="G3118" s="16" t="s">
        <v>5</v>
      </c>
      <c r="H3118" s="16" t="s">
        <v>28</v>
      </c>
      <c r="I3118" s="16" t="s">
        <v>61</v>
      </c>
    </row>
    <row r="3119" spans="2:9" x14ac:dyDescent="0.25">
      <c r="B3119" s="16" t="s">
        <v>22</v>
      </c>
      <c r="C3119" s="17">
        <v>45177</v>
      </c>
      <c r="D3119" s="16">
        <v>269172</v>
      </c>
      <c r="E3119" s="16">
        <v>70955</v>
      </c>
      <c r="F3119" s="18" t="s">
        <v>20</v>
      </c>
      <c r="G3119" s="16" t="s">
        <v>52</v>
      </c>
      <c r="H3119" s="16" t="s">
        <v>46</v>
      </c>
      <c r="I3119" s="16" t="s">
        <v>51</v>
      </c>
    </row>
    <row r="3120" spans="2:9" x14ac:dyDescent="0.25">
      <c r="B3120" s="16" t="s">
        <v>40</v>
      </c>
      <c r="C3120" s="17">
        <v>45177</v>
      </c>
      <c r="D3120" s="16">
        <v>1041548</v>
      </c>
      <c r="E3120" s="16">
        <v>9403</v>
      </c>
      <c r="F3120" s="18" t="s">
        <v>153</v>
      </c>
      <c r="G3120" s="16" t="s">
        <v>5</v>
      </c>
      <c r="H3120" s="16" t="s">
        <v>184</v>
      </c>
      <c r="I3120" s="16" t="s">
        <v>61</v>
      </c>
    </row>
    <row r="3121" spans="2:9" x14ac:dyDescent="0.25">
      <c r="B3121" s="16" t="s">
        <v>33</v>
      </c>
      <c r="C3121" s="17">
        <v>45177</v>
      </c>
      <c r="D3121" s="16">
        <v>269210</v>
      </c>
      <c r="E3121" s="16">
        <v>70955</v>
      </c>
      <c r="F3121" s="18" t="s">
        <v>20</v>
      </c>
      <c r="G3121" s="16" t="s">
        <v>52</v>
      </c>
      <c r="H3121" s="16" t="s">
        <v>46</v>
      </c>
      <c r="I3121" s="16" t="s">
        <v>51</v>
      </c>
    </row>
    <row r="3122" spans="2:9" x14ac:dyDescent="0.25">
      <c r="B3122" s="16" t="s">
        <v>26</v>
      </c>
      <c r="C3122" s="17">
        <v>45177</v>
      </c>
      <c r="D3122" s="16">
        <v>245113</v>
      </c>
      <c r="E3122" s="16">
        <v>1175</v>
      </c>
      <c r="F3122" s="18" t="s">
        <v>81</v>
      </c>
      <c r="G3122" s="16" t="s">
        <v>7</v>
      </c>
      <c r="H3122" s="16" t="s">
        <v>38</v>
      </c>
      <c r="I3122" s="16" t="s">
        <v>103</v>
      </c>
    </row>
    <row r="3123" spans="2:9" x14ac:dyDescent="0.25">
      <c r="B3123" s="16" t="s">
        <v>40</v>
      </c>
      <c r="C3123" s="17">
        <v>45177</v>
      </c>
      <c r="D3123" s="16">
        <v>1458028</v>
      </c>
      <c r="E3123" s="16">
        <v>13235</v>
      </c>
      <c r="F3123" s="18" t="s">
        <v>99</v>
      </c>
      <c r="G3123" s="16" t="s">
        <v>4</v>
      </c>
      <c r="H3123" s="16" t="s">
        <v>36</v>
      </c>
      <c r="I3123" s="16" t="s">
        <v>61</v>
      </c>
    </row>
    <row r="3124" spans="2:9" x14ac:dyDescent="0.25">
      <c r="B3124" s="16" t="s">
        <v>40</v>
      </c>
      <c r="C3124" s="17">
        <v>45177</v>
      </c>
      <c r="D3124" s="16">
        <v>269187</v>
      </c>
      <c r="E3124" s="16">
        <v>70955</v>
      </c>
      <c r="F3124" s="18" t="s">
        <v>20</v>
      </c>
      <c r="G3124" s="16" t="s">
        <v>52</v>
      </c>
      <c r="H3124" s="16" t="s">
        <v>28</v>
      </c>
      <c r="I3124" s="16" t="s">
        <v>51</v>
      </c>
    </row>
    <row r="3125" spans="2:9" x14ac:dyDescent="0.25">
      <c r="B3125" s="16" t="s">
        <v>40</v>
      </c>
      <c r="C3125" s="17">
        <v>45177</v>
      </c>
      <c r="D3125" s="16">
        <v>269149</v>
      </c>
      <c r="E3125" s="16">
        <v>70955</v>
      </c>
      <c r="F3125" s="18" t="s">
        <v>20</v>
      </c>
      <c r="G3125" s="16" t="s">
        <v>52</v>
      </c>
      <c r="H3125" s="16" t="s">
        <v>28</v>
      </c>
      <c r="I3125" s="16" t="s">
        <v>51</v>
      </c>
    </row>
    <row r="3126" spans="2:9" x14ac:dyDescent="0.25">
      <c r="B3126" s="16" t="s">
        <v>33</v>
      </c>
      <c r="C3126" s="17">
        <v>45177</v>
      </c>
      <c r="D3126" s="16">
        <v>1456645</v>
      </c>
      <c r="E3126" s="16">
        <v>13235</v>
      </c>
      <c r="F3126" s="18" t="s">
        <v>99</v>
      </c>
      <c r="G3126" s="16" t="s">
        <v>52</v>
      </c>
      <c r="H3126" s="16" t="s">
        <v>190</v>
      </c>
      <c r="I3126" s="16" t="s">
        <v>103</v>
      </c>
    </row>
    <row r="3127" spans="2:9" x14ac:dyDescent="0.25">
      <c r="B3127" s="16" t="s">
        <v>2</v>
      </c>
      <c r="C3127" s="17">
        <v>45177</v>
      </c>
      <c r="D3127" s="16">
        <v>1002418</v>
      </c>
      <c r="E3127" s="16">
        <v>9434</v>
      </c>
      <c r="F3127" s="18" t="s">
        <v>23</v>
      </c>
      <c r="G3127" s="16" t="s">
        <v>334</v>
      </c>
      <c r="H3127" s="16" t="s">
        <v>184</v>
      </c>
      <c r="I3127" s="16" t="s">
        <v>61</v>
      </c>
    </row>
    <row r="3128" spans="2:9" x14ac:dyDescent="0.25">
      <c r="B3128" s="16" t="s">
        <v>2</v>
      </c>
      <c r="C3128" s="17">
        <v>45177</v>
      </c>
      <c r="D3128" s="16">
        <v>276823</v>
      </c>
      <c r="E3128" s="16">
        <v>71433</v>
      </c>
      <c r="F3128" s="18" t="s">
        <v>20</v>
      </c>
      <c r="G3128" s="16" t="s">
        <v>341</v>
      </c>
      <c r="H3128" s="16" t="s">
        <v>184</v>
      </c>
      <c r="I3128" s="16" t="s">
        <v>61</v>
      </c>
    </row>
    <row r="3129" spans="2:9" x14ac:dyDescent="0.25">
      <c r="B3129" s="16" t="s">
        <v>2</v>
      </c>
      <c r="C3129" s="17">
        <v>45177</v>
      </c>
      <c r="D3129" s="16">
        <v>1042361</v>
      </c>
      <c r="E3129" s="16">
        <v>9403</v>
      </c>
      <c r="F3129" s="18" t="s">
        <v>153</v>
      </c>
      <c r="G3129" s="16" t="s">
        <v>16</v>
      </c>
      <c r="H3129" s="16" t="s">
        <v>49</v>
      </c>
      <c r="I3129" s="16" t="s">
        <v>103</v>
      </c>
    </row>
    <row r="3130" spans="2:9" x14ac:dyDescent="0.25">
      <c r="B3130" s="16" t="s">
        <v>2</v>
      </c>
      <c r="C3130" s="17">
        <v>45177</v>
      </c>
      <c r="D3130" s="16">
        <v>1041555</v>
      </c>
      <c r="E3130" s="16">
        <v>9403</v>
      </c>
      <c r="F3130" s="18" t="s">
        <v>153</v>
      </c>
      <c r="G3130" s="16" t="s">
        <v>5</v>
      </c>
      <c r="H3130" s="16" t="s">
        <v>184</v>
      </c>
      <c r="I3130" s="16" t="s">
        <v>61</v>
      </c>
    </row>
    <row r="3131" spans="2:9" x14ac:dyDescent="0.25">
      <c r="B3131" s="16" t="s">
        <v>33</v>
      </c>
      <c r="C3131" s="17">
        <v>45177</v>
      </c>
      <c r="D3131" s="16">
        <v>245118</v>
      </c>
      <c r="E3131" s="16">
        <v>1175</v>
      </c>
      <c r="F3131" s="18" t="s">
        <v>81</v>
      </c>
      <c r="G3131" s="16" t="s">
        <v>7</v>
      </c>
      <c r="H3131" s="16" t="s">
        <v>38</v>
      </c>
      <c r="I3131" s="16" t="s">
        <v>103</v>
      </c>
    </row>
    <row r="3132" spans="2:9" x14ac:dyDescent="0.25">
      <c r="B3132" s="16" t="s">
        <v>2</v>
      </c>
      <c r="C3132" s="17">
        <v>45177</v>
      </c>
      <c r="D3132" s="16">
        <v>1042437</v>
      </c>
      <c r="E3132" s="16">
        <v>9403</v>
      </c>
      <c r="F3132" s="18" t="s">
        <v>153</v>
      </c>
      <c r="G3132" s="16" t="s">
        <v>5</v>
      </c>
      <c r="H3132" s="16" t="s">
        <v>49</v>
      </c>
      <c r="I3132" s="16" t="s">
        <v>103</v>
      </c>
    </row>
    <row r="3133" spans="2:9" x14ac:dyDescent="0.25">
      <c r="B3133" s="16" t="s">
        <v>2</v>
      </c>
      <c r="C3133" s="17">
        <v>45177</v>
      </c>
      <c r="D3133" s="16">
        <v>1042362</v>
      </c>
      <c r="E3133" s="16">
        <v>9403</v>
      </c>
      <c r="F3133" s="18" t="s">
        <v>153</v>
      </c>
      <c r="G3133" s="16" t="s">
        <v>5</v>
      </c>
      <c r="H3133" s="16" t="s">
        <v>49</v>
      </c>
      <c r="I3133" s="16" t="s">
        <v>103</v>
      </c>
    </row>
    <row r="3134" spans="2:9" x14ac:dyDescent="0.25">
      <c r="B3134" s="16" t="s">
        <v>2</v>
      </c>
      <c r="C3134" s="17">
        <v>45177</v>
      </c>
      <c r="D3134" s="16">
        <v>1042554</v>
      </c>
      <c r="E3134" s="16">
        <v>9403</v>
      </c>
      <c r="F3134" s="18" t="s">
        <v>153</v>
      </c>
      <c r="G3134" s="16" t="s">
        <v>5</v>
      </c>
      <c r="H3134" s="16" t="s">
        <v>186</v>
      </c>
      <c r="I3134" s="16" t="s">
        <v>57</v>
      </c>
    </row>
    <row r="3135" spans="2:9" x14ac:dyDescent="0.25">
      <c r="B3135" s="16" t="s">
        <v>2</v>
      </c>
      <c r="C3135" s="17">
        <v>45177</v>
      </c>
      <c r="D3135" s="16">
        <v>1458032</v>
      </c>
      <c r="E3135" s="16">
        <v>13235</v>
      </c>
      <c r="F3135" s="18" t="s">
        <v>99</v>
      </c>
      <c r="G3135" s="16" t="s">
        <v>52</v>
      </c>
      <c r="H3135" s="16" t="s">
        <v>190</v>
      </c>
      <c r="I3135" s="16" t="s">
        <v>103</v>
      </c>
    </row>
    <row r="3136" spans="2:9" x14ac:dyDescent="0.25">
      <c r="B3136" s="16" t="s">
        <v>22</v>
      </c>
      <c r="C3136" s="17">
        <v>45177</v>
      </c>
      <c r="D3136" s="16">
        <v>1002508</v>
      </c>
      <c r="E3136" s="16">
        <v>9434</v>
      </c>
      <c r="F3136" s="18" t="s">
        <v>23</v>
      </c>
      <c r="G3136" s="16" t="s">
        <v>334</v>
      </c>
      <c r="H3136" s="16" t="s">
        <v>49</v>
      </c>
      <c r="I3136" s="16" t="s">
        <v>103</v>
      </c>
    </row>
    <row r="3137" spans="2:9" x14ac:dyDescent="0.25">
      <c r="B3137" s="16" t="s">
        <v>22</v>
      </c>
      <c r="C3137" s="17">
        <v>45177</v>
      </c>
      <c r="D3137" s="16">
        <v>62615</v>
      </c>
      <c r="E3137" s="16">
        <v>11787</v>
      </c>
      <c r="F3137" s="18" t="s">
        <v>244</v>
      </c>
      <c r="G3137" s="16" t="s">
        <v>334</v>
      </c>
      <c r="H3137" s="16" t="s">
        <v>49</v>
      </c>
      <c r="I3137" s="16" t="s">
        <v>103</v>
      </c>
    </row>
    <row r="3138" spans="2:9" x14ac:dyDescent="0.25">
      <c r="B3138" s="16" t="s">
        <v>22</v>
      </c>
      <c r="C3138" s="17">
        <v>45178</v>
      </c>
      <c r="D3138" s="16">
        <v>1729921</v>
      </c>
      <c r="E3138" s="16">
        <v>9526</v>
      </c>
      <c r="F3138" s="18" t="s">
        <v>79</v>
      </c>
      <c r="G3138" s="16" t="s">
        <v>341</v>
      </c>
      <c r="H3138" s="16" t="s">
        <v>31</v>
      </c>
      <c r="I3138" s="16" t="s">
        <v>444</v>
      </c>
    </row>
    <row r="3139" spans="2:9" x14ac:dyDescent="0.25">
      <c r="B3139" s="16" t="s">
        <v>210</v>
      </c>
      <c r="C3139" s="17">
        <v>45178</v>
      </c>
      <c r="D3139" s="16">
        <v>801291</v>
      </c>
      <c r="E3139" s="16">
        <v>9794</v>
      </c>
      <c r="F3139" s="18" t="s">
        <v>360</v>
      </c>
      <c r="G3139" s="16" t="s">
        <v>6</v>
      </c>
      <c r="H3139" s="16" t="s">
        <v>31</v>
      </c>
      <c r="I3139" s="16" t="s">
        <v>32</v>
      </c>
    </row>
    <row r="3140" spans="2:9" x14ac:dyDescent="0.25">
      <c r="B3140" s="16" t="s">
        <v>33</v>
      </c>
      <c r="C3140" s="17">
        <v>45180</v>
      </c>
      <c r="D3140" s="16">
        <v>2889271</v>
      </c>
      <c r="E3140" s="16">
        <v>9468</v>
      </c>
      <c r="F3140" s="18" t="s">
        <v>145</v>
      </c>
      <c r="G3140" s="16" t="s">
        <v>5</v>
      </c>
      <c r="H3140" s="16" t="s">
        <v>28</v>
      </c>
      <c r="I3140" s="16" t="s">
        <v>61</v>
      </c>
    </row>
    <row r="3141" spans="2:9" x14ac:dyDescent="0.25">
      <c r="B3141" s="16" t="s">
        <v>33</v>
      </c>
      <c r="C3141" s="17">
        <v>45180</v>
      </c>
      <c r="D3141" s="16">
        <v>157404</v>
      </c>
      <c r="E3141" s="16">
        <v>1754</v>
      </c>
      <c r="F3141" s="18" t="s">
        <v>240</v>
      </c>
      <c r="G3141" s="16" t="s">
        <v>6</v>
      </c>
      <c r="H3141" s="16" t="s">
        <v>28</v>
      </c>
      <c r="I3141" s="16" t="s">
        <v>6</v>
      </c>
    </row>
    <row r="3142" spans="2:9" x14ac:dyDescent="0.25">
      <c r="B3142" s="16" t="s">
        <v>210</v>
      </c>
      <c r="C3142" s="17">
        <v>45180</v>
      </c>
      <c r="D3142" s="16">
        <v>1172870</v>
      </c>
      <c r="E3142" s="16">
        <v>9516</v>
      </c>
      <c r="F3142" s="18" t="s">
        <v>110</v>
      </c>
      <c r="G3142" s="16" t="s">
        <v>334</v>
      </c>
      <c r="H3142" s="16" t="s">
        <v>31</v>
      </c>
      <c r="I3142" s="16" t="s">
        <v>445</v>
      </c>
    </row>
    <row r="3143" spans="2:9" x14ac:dyDescent="0.25">
      <c r="B3143" s="16" t="s">
        <v>26</v>
      </c>
      <c r="C3143" s="17">
        <v>45180</v>
      </c>
      <c r="D3143" s="16">
        <v>1837228</v>
      </c>
      <c r="E3143" s="16">
        <v>1015</v>
      </c>
      <c r="F3143" s="18" t="s">
        <v>134</v>
      </c>
      <c r="G3143" s="16" t="s">
        <v>342</v>
      </c>
      <c r="H3143" s="16" t="s">
        <v>75</v>
      </c>
      <c r="I3143" s="16" t="s">
        <v>61</v>
      </c>
    </row>
    <row r="3144" spans="2:9" x14ac:dyDescent="0.25">
      <c r="B3144" s="16" t="s">
        <v>26</v>
      </c>
      <c r="C3144" s="17">
        <v>45180</v>
      </c>
      <c r="D3144" s="16">
        <v>379460</v>
      </c>
      <c r="E3144" s="16">
        <v>1114</v>
      </c>
      <c r="F3144" s="18" t="s">
        <v>397</v>
      </c>
      <c r="G3144" s="16" t="s">
        <v>343</v>
      </c>
      <c r="H3144" s="16" t="s">
        <v>28</v>
      </c>
      <c r="I3144" s="16" t="s">
        <v>61</v>
      </c>
    </row>
    <row r="3145" spans="2:9" x14ac:dyDescent="0.25">
      <c r="B3145" s="16" t="s">
        <v>26</v>
      </c>
      <c r="C3145" s="17">
        <v>45180</v>
      </c>
      <c r="D3145" s="16">
        <v>542724</v>
      </c>
      <c r="E3145" s="16">
        <v>1008</v>
      </c>
      <c r="F3145" s="18" t="s">
        <v>74</v>
      </c>
      <c r="G3145" s="16" t="s">
        <v>334</v>
      </c>
      <c r="H3145" s="16" t="s">
        <v>36</v>
      </c>
      <c r="I3145" s="16" t="s">
        <v>61</v>
      </c>
    </row>
    <row r="3146" spans="2:9" x14ac:dyDescent="0.25">
      <c r="B3146" s="16" t="s">
        <v>26</v>
      </c>
      <c r="C3146" s="17">
        <v>45180</v>
      </c>
      <c r="D3146" s="16">
        <v>1173352</v>
      </c>
      <c r="E3146" s="16">
        <v>9516</v>
      </c>
      <c r="F3146" s="18" t="s">
        <v>110</v>
      </c>
      <c r="G3146" s="16" t="s">
        <v>334</v>
      </c>
      <c r="H3146" s="16" t="s">
        <v>31</v>
      </c>
      <c r="I3146" s="16" t="s">
        <v>32</v>
      </c>
    </row>
    <row r="3147" spans="2:9" x14ac:dyDescent="0.25">
      <c r="B3147" s="16" t="s">
        <v>26</v>
      </c>
      <c r="C3147" s="17">
        <v>45180</v>
      </c>
      <c r="D3147" s="16">
        <v>292840</v>
      </c>
      <c r="E3147" s="16">
        <v>37945</v>
      </c>
      <c r="F3147" s="18" t="s">
        <v>166</v>
      </c>
      <c r="G3147" s="16" t="s">
        <v>341</v>
      </c>
      <c r="H3147" s="16" t="s">
        <v>184</v>
      </c>
      <c r="I3147" s="16" t="s">
        <v>446</v>
      </c>
    </row>
    <row r="3148" spans="2:9" x14ac:dyDescent="0.25">
      <c r="B3148" s="16" t="s">
        <v>210</v>
      </c>
      <c r="C3148" s="17">
        <v>45180</v>
      </c>
      <c r="D3148" s="16">
        <v>542734</v>
      </c>
      <c r="E3148" s="16">
        <v>1008</v>
      </c>
      <c r="F3148" s="18" t="s">
        <v>74</v>
      </c>
      <c r="G3148" s="16" t="s">
        <v>334</v>
      </c>
      <c r="H3148" s="16" t="s">
        <v>36</v>
      </c>
      <c r="I3148" s="16" t="s">
        <v>61</v>
      </c>
    </row>
    <row r="3149" spans="2:9" x14ac:dyDescent="0.25">
      <c r="B3149" s="16" t="s">
        <v>210</v>
      </c>
      <c r="C3149" s="17">
        <v>45180</v>
      </c>
      <c r="D3149" s="16">
        <v>24526</v>
      </c>
      <c r="E3149" s="16">
        <v>1175</v>
      </c>
      <c r="F3149" s="18" t="s">
        <v>81</v>
      </c>
      <c r="G3149" s="16" t="s">
        <v>7</v>
      </c>
      <c r="H3149" s="16" t="s">
        <v>38</v>
      </c>
      <c r="I3149" s="16" t="s">
        <v>163</v>
      </c>
    </row>
    <row r="3150" spans="2:9" x14ac:dyDescent="0.25">
      <c r="B3150" s="16" t="s">
        <v>40</v>
      </c>
      <c r="C3150" s="17">
        <v>45180</v>
      </c>
      <c r="D3150" s="16">
        <v>1122141</v>
      </c>
      <c r="E3150" s="16">
        <v>71753</v>
      </c>
      <c r="F3150" s="18" t="s">
        <v>20</v>
      </c>
      <c r="G3150" s="16" t="s">
        <v>343</v>
      </c>
      <c r="H3150" s="16" t="s">
        <v>45</v>
      </c>
      <c r="I3150" s="16" t="s">
        <v>163</v>
      </c>
    </row>
    <row r="3151" spans="2:9" x14ac:dyDescent="0.25">
      <c r="B3151" s="16" t="s">
        <v>40</v>
      </c>
      <c r="C3151" s="17">
        <v>45180</v>
      </c>
      <c r="D3151" s="16">
        <v>1173331</v>
      </c>
      <c r="E3151" s="16">
        <v>9516</v>
      </c>
      <c r="F3151" s="18" t="s">
        <v>110</v>
      </c>
      <c r="G3151" s="16" t="s">
        <v>334</v>
      </c>
      <c r="H3151" s="16" t="s">
        <v>31</v>
      </c>
      <c r="I3151" s="16" t="s">
        <v>32</v>
      </c>
    </row>
    <row r="3152" spans="2:9" x14ac:dyDescent="0.25">
      <c r="B3152" s="16" t="s">
        <v>40</v>
      </c>
      <c r="C3152" s="17">
        <v>45180</v>
      </c>
      <c r="D3152" s="16">
        <v>8960</v>
      </c>
      <c r="E3152" s="16">
        <v>67666</v>
      </c>
      <c r="F3152" s="18" t="s">
        <v>447</v>
      </c>
      <c r="G3152" s="16" t="s">
        <v>5</v>
      </c>
      <c r="H3152" s="16" t="s">
        <v>28</v>
      </c>
      <c r="I3152" s="16" t="s">
        <v>57</v>
      </c>
    </row>
    <row r="3153" spans="2:9" x14ac:dyDescent="0.25">
      <c r="B3153" s="16" t="s">
        <v>22</v>
      </c>
      <c r="C3153" s="17">
        <v>45180</v>
      </c>
      <c r="D3153" s="16">
        <v>8959</v>
      </c>
      <c r="E3153" s="16">
        <v>67666</v>
      </c>
      <c r="F3153" s="18" t="s">
        <v>447</v>
      </c>
      <c r="G3153" s="16" t="s">
        <v>5</v>
      </c>
      <c r="H3153" s="16" t="s">
        <v>28</v>
      </c>
      <c r="I3153" s="16" t="s">
        <v>57</v>
      </c>
    </row>
    <row r="3154" spans="2:9" x14ac:dyDescent="0.25">
      <c r="B3154" s="16" t="s">
        <v>210</v>
      </c>
      <c r="C3154" s="17">
        <v>45180</v>
      </c>
      <c r="D3154" s="16">
        <v>8963</v>
      </c>
      <c r="E3154" s="16">
        <v>67666</v>
      </c>
      <c r="F3154" s="18" t="s">
        <v>447</v>
      </c>
      <c r="G3154" s="16" t="s">
        <v>5</v>
      </c>
      <c r="H3154" s="16" t="s">
        <v>28</v>
      </c>
      <c r="I3154" s="16" t="s">
        <v>57</v>
      </c>
    </row>
    <row r="3155" spans="2:9" x14ac:dyDescent="0.25">
      <c r="B3155" s="16" t="s">
        <v>26</v>
      </c>
      <c r="C3155" s="17">
        <v>45180</v>
      </c>
      <c r="D3155" s="16">
        <v>8962</v>
      </c>
      <c r="E3155" s="16">
        <v>67666</v>
      </c>
      <c r="F3155" s="18" t="s">
        <v>447</v>
      </c>
      <c r="G3155" s="16" t="s">
        <v>5</v>
      </c>
      <c r="H3155" s="16" t="s">
        <v>28</v>
      </c>
      <c r="I3155" s="16" t="s">
        <v>57</v>
      </c>
    </row>
    <row r="3156" spans="2:9" x14ac:dyDescent="0.25">
      <c r="B3156" s="16" t="s">
        <v>2</v>
      </c>
      <c r="C3156" s="17">
        <v>45180</v>
      </c>
      <c r="D3156" s="16">
        <v>8961</v>
      </c>
      <c r="E3156" s="16">
        <v>67666</v>
      </c>
      <c r="F3156" s="18" t="s">
        <v>447</v>
      </c>
      <c r="G3156" s="16" t="s">
        <v>5</v>
      </c>
      <c r="H3156" s="16" t="s">
        <v>28</v>
      </c>
      <c r="I3156" s="16" t="s">
        <v>57</v>
      </c>
    </row>
    <row r="3157" spans="2:9" x14ac:dyDescent="0.25">
      <c r="B3157" s="16" t="s">
        <v>33</v>
      </c>
      <c r="C3157" s="17">
        <v>45180</v>
      </c>
      <c r="D3157" s="16">
        <v>8958</v>
      </c>
      <c r="E3157" s="16">
        <v>67666</v>
      </c>
      <c r="F3157" s="18" t="s">
        <v>447</v>
      </c>
      <c r="G3157" s="16" t="s">
        <v>5</v>
      </c>
      <c r="H3157" s="16" t="s">
        <v>28</v>
      </c>
      <c r="I3157" s="16" t="s">
        <v>57</v>
      </c>
    </row>
    <row r="3158" spans="2:9" x14ac:dyDescent="0.25">
      <c r="B3158" s="16" t="s">
        <v>33</v>
      </c>
      <c r="C3158" s="17">
        <v>45180</v>
      </c>
      <c r="D3158" s="16">
        <v>1173286</v>
      </c>
      <c r="E3158" s="16">
        <v>9516</v>
      </c>
      <c r="F3158" s="18" t="s">
        <v>110</v>
      </c>
      <c r="G3158" s="16" t="s">
        <v>334</v>
      </c>
      <c r="H3158" s="16" t="s">
        <v>31</v>
      </c>
      <c r="I3158" s="16" t="s">
        <v>32</v>
      </c>
    </row>
    <row r="3159" spans="2:9" x14ac:dyDescent="0.25">
      <c r="B3159" s="16" t="s">
        <v>40</v>
      </c>
      <c r="C3159" s="17">
        <v>45180</v>
      </c>
      <c r="D3159" s="16">
        <v>1122142</v>
      </c>
      <c r="E3159" s="16">
        <v>71753</v>
      </c>
      <c r="F3159" s="18" t="s">
        <v>20</v>
      </c>
      <c r="G3159" s="16" t="s">
        <v>343</v>
      </c>
      <c r="H3159" s="16" t="s">
        <v>45</v>
      </c>
      <c r="I3159" s="16" t="s">
        <v>163</v>
      </c>
    </row>
    <row r="3160" spans="2:9" x14ac:dyDescent="0.25">
      <c r="B3160" s="16" t="s">
        <v>33</v>
      </c>
      <c r="C3160" s="17">
        <v>45180</v>
      </c>
      <c r="D3160" s="16">
        <v>245275</v>
      </c>
      <c r="E3160" s="16">
        <v>1175</v>
      </c>
      <c r="F3160" s="18" t="s">
        <v>81</v>
      </c>
      <c r="G3160" s="16" t="s">
        <v>7</v>
      </c>
      <c r="H3160" s="16" t="s">
        <v>38</v>
      </c>
      <c r="I3160" s="16" t="s">
        <v>163</v>
      </c>
    </row>
    <row r="3161" spans="2:9" x14ac:dyDescent="0.25">
      <c r="B3161" s="16" t="s">
        <v>2</v>
      </c>
      <c r="C3161" s="17">
        <v>45180</v>
      </c>
      <c r="D3161" s="16">
        <v>157229</v>
      </c>
      <c r="E3161" s="16">
        <v>1754</v>
      </c>
      <c r="F3161" s="18" t="s">
        <v>240</v>
      </c>
      <c r="G3161" s="16" t="s">
        <v>6</v>
      </c>
      <c r="H3161" s="16" t="s">
        <v>28</v>
      </c>
      <c r="I3161" s="16" t="s">
        <v>61</v>
      </c>
    </row>
    <row r="3162" spans="2:9" x14ac:dyDescent="0.25">
      <c r="B3162" s="16" t="s">
        <v>2</v>
      </c>
      <c r="C3162" s="17">
        <v>45180</v>
      </c>
      <c r="D3162" s="16">
        <v>2889275</v>
      </c>
      <c r="E3162" s="16">
        <v>9468</v>
      </c>
      <c r="F3162" s="18" t="s">
        <v>145</v>
      </c>
      <c r="G3162" s="16" t="s">
        <v>5</v>
      </c>
      <c r="H3162" s="16" t="s">
        <v>28</v>
      </c>
      <c r="I3162" s="16" t="s">
        <v>61</v>
      </c>
    </row>
    <row r="3163" spans="2:9" x14ac:dyDescent="0.25">
      <c r="B3163" s="16" t="s">
        <v>2</v>
      </c>
      <c r="C3163" s="17">
        <v>45180</v>
      </c>
      <c r="D3163" s="16">
        <v>1173364</v>
      </c>
      <c r="E3163" s="16">
        <v>9516</v>
      </c>
      <c r="F3163" s="18" t="s">
        <v>110</v>
      </c>
      <c r="G3163" s="16" t="s">
        <v>334</v>
      </c>
      <c r="H3163" s="16" t="s">
        <v>31</v>
      </c>
      <c r="I3163" s="16" t="s">
        <v>32</v>
      </c>
    </row>
    <row r="3164" spans="2:9" x14ac:dyDescent="0.25">
      <c r="B3164" s="16" t="s">
        <v>2</v>
      </c>
      <c r="C3164" s="17">
        <v>45180</v>
      </c>
      <c r="D3164" s="16">
        <v>268233</v>
      </c>
      <c r="E3164" s="16">
        <v>9382</v>
      </c>
      <c r="F3164" s="18" t="s">
        <v>401</v>
      </c>
      <c r="G3164" s="16" t="s">
        <v>5</v>
      </c>
      <c r="H3164" s="16" t="s">
        <v>28</v>
      </c>
      <c r="I3164" s="16" t="s">
        <v>57</v>
      </c>
    </row>
    <row r="3165" spans="2:9" x14ac:dyDescent="0.25">
      <c r="B3165" s="16" t="s">
        <v>2</v>
      </c>
      <c r="C3165" s="17">
        <v>45180</v>
      </c>
      <c r="D3165" s="16">
        <v>268234</v>
      </c>
      <c r="E3165" s="16">
        <v>9382</v>
      </c>
      <c r="F3165" s="18" t="s">
        <v>401</v>
      </c>
      <c r="G3165" s="16" t="s">
        <v>5</v>
      </c>
      <c r="H3165" s="16" t="s">
        <v>28</v>
      </c>
      <c r="I3165" s="16" t="s">
        <v>57</v>
      </c>
    </row>
    <row r="3166" spans="2:9" x14ac:dyDescent="0.25">
      <c r="B3166" s="16" t="s">
        <v>2</v>
      </c>
      <c r="C3166" s="17">
        <v>45180</v>
      </c>
      <c r="D3166" s="16">
        <v>268235</v>
      </c>
      <c r="E3166" s="16">
        <v>9382</v>
      </c>
      <c r="F3166" s="18" t="s">
        <v>401</v>
      </c>
      <c r="G3166" s="16" t="s">
        <v>5</v>
      </c>
      <c r="H3166" s="16" t="s">
        <v>28</v>
      </c>
      <c r="I3166" s="16" t="s">
        <v>57</v>
      </c>
    </row>
    <row r="3167" spans="2:9" x14ac:dyDescent="0.25">
      <c r="B3167" s="16" t="s">
        <v>2</v>
      </c>
      <c r="C3167" s="17">
        <v>45180</v>
      </c>
      <c r="D3167" s="16">
        <v>267243</v>
      </c>
      <c r="E3167" s="16">
        <v>9382</v>
      </c>
      <c r="F3167" s="18" t="s">
        <v>401</v>
      </c>
      <c r="G3167" s="16" t="s">
        <v>5</v>
      </c>
      <c r="H3167" s="16" t="s">
        <v>28</v>
      </c>
      <c r="I3167" s="16" t="s">
        <v>57</v>
      </c>
    </row>
    <row r="3168" spans="2:9" x14ac:dyDescent="0.25">
      <c r="B3168" s="16" t="s">
        <v>33</v>
      </c>
      <c r="C3168" s="17">
        <v>45180</v>
      </c>
      <c r="D3168" s="16">
        <v>379462</v>
      </c>
      <c r="E3168" s="16">
        <v>1114</v>
      </c>
      <c r="F3168" s="18" t="s">
        <v>397</v>
      </c>
      <c r="G3168" s="16" t="s">
        <v>343</v>
      </c>
      <c r="H3168" s="16" t="s">
        <v>304</v>
      </c>
      <c r="I3168" s="16" t="s">
        <v>61</v>
      </c>
    </row>
    <row r="3169" spans="2:9" x14ac:dyDescent="0.25">
      <c r="B3169" s="16" t="s">
        <v>40</v>
      </c>
      <c r="C3169" s="17">
        <v>45180</v>
      </c>
      <c r="D3169" s="16">
        <v>7408</v>
      </c>
      <c r="E3169" s="16">
        <v>64800</v>
      </c>
      <c r="F3169" s="18" t="s">
        <v>276</v>
      </c>
      <c r="G3169" s="16" t="s">
        <v>341</v>
      </c>
      <c r="H3169" s="16" t="s">
        <v>49</v>
      </c>
      <c r="I3169" s="16" t="s">
        <v>163</v>
      </c>
    </row>
    <row r="3170" spans="2:9" x14ac:dyDescent="0.25">
      <c r="B3170" s="16" t="s">
        <v>26</v>
      </c>
      <c r="C3170" s="17">
        <v>45180</v>
      </c>
      <c r="D3170" s="16">
        <v>380281</v>
      </c>
      <c r="E3170" s="16">
        <v>1114</v>
      </c>
      <c r="F3170" s="18" t="s">
        <v>397</v>
      </c>
      <c r="G3170" s="16" t="s">
        <v>343</v>
      </c>
      <c r="H3170" s="16" t="s">
        <v>28</v>
      </c>
      <c r="I3170" s="16" t="s">
        <v>163</v>
      </c>
    </row>
    <row r="3171" spans="2:9" x14ac:dyDescent="0.25">
      <c r="B3171" s="16" t="s">
        <v>22</v>
      </c>
      <c r="C3171" s="17">
        <v>45180</v>
      </c>
      <c r="D3171" s="16">
        <v>1837215</v>
      </c>
      <c r="E3171" s="16">
        <v>1015</v>
      </c>
      <c r="F3171" s="18" t="s">
        <v>134</v>
      </c>
      <c r="G3171" s="16" t="s">
        <v>342</v>
      </c>
      <c r="H3171" s="16" t="s">
        <v>75</v>
      </c>
      <c r="I3171" s="16" t="s">
        <v>61</v>
      </c>
    </row>
    <row r="3172" spans="2:9" x14ac:dyDescent="0.25">
      <c r="B3172" s="16" t="s">
        <v>210</v>
      </c>
      <c r="C3172" s="17">
        <v>45180</v>
      </c>
      <c r="D3172" s="16">
        <v>42782</v>
      </c>
      <c r="E3172" s="16">
        <v>72178</v>
      </c>
      <c r="F3172" s="18" t="s">
        <v>20</v>
      </c>
      <c r="G3172" s="16" t="s">
        <v>7</v>
      </c>
      <c r="H3172" s="16" t="s">
        <v>38</v>
      </c>
      <c r="I3172" s="16" t="s">
        <v>163</v>
      </c>
    </row>
    <row r="3173" spans="2:9" x14ac:dyDescent="0.25">
      <c r="B3173" s="16" t="s">
        <v>2</v>
      </c>
      <c r="C3173" s="17">
        <v>45180</v>
      </c>
      <c r="D3173" s="16">
        <v>93</v>
      </c>
      <c r="E3173" s="16">
        <v>72569</v>
      </c>
      <c r="F3173" s="18" t="s">
        <v>20</v>
      </c>
      <c r="G3173" s="16" t="s">
        <v>7</v>
      </c>
      <c r="H3173" s="16" t="s">
        <v>38</v>
      </c>
      <c r="I3173" s="16" t="s">
        <v>163</v>
      </c>
    </row>
    <row r="3174" spans="2:9" x14ac:dyDescent="0.25">
      <c r="B3174" s="16" t="s">
        <v>2</v>
      </c>
      <c r="C3174" s="17">
        <v>45180</v>
      </c>
      <c r="D3174" s="16">
        <v>380277</v>
      </c>
      <c r="E3174" s="16">
        <v>1114</v>
      </c>
      <c r="F3174" s="18" t="s">
        <v>397</v>
      </c>
      <c r="G3174" s="16" t="s">
        <v>343</v>
      </c>
      <c r="H3174" s="16" t="s">
        <v>220</v>
      </c>
      <c r="I3174" s="16" t="s">
        <v>61</v>
      </c>
    </row>
    <row r="3175" spans="2:9" x14ac:dyDescent="0.25">
      <c r="B3175" s="16" t="s">
        <v>2</v>
      </c>
      <c r="C3175" s="17">
        <v>45180</v>
      </c>
      <c r="D3175" s="16">
        <v>379463</v>
      </c>
      <c r="E3175" s="16">
        <v>1114</v>
      </c>
      <c r="F3175" s="18" t="s">
        <v>397</v>
      </c>
      <c r="G3175" s="16" t="s">
        <v>343</v>
      </c>
      <c r="H3175" s="16" t="s">
        <v>220</v>
      </c>
      <c r="I3175" s="16" t="s">
        <v>61</v>
      </c>
    </row>
    <row r="3176" spans="2:9" x14ac:dyDescent="0.25">
      <c r="B3176" s="16" t="s">
        <v>2</v>
      </c>
      <c r="C3176" s="17">
        <v>45180</v>
      </c>
      <c r="D3176" s="16">
        <v>968595</v>
      </c>
      <c r="E3176" s="16">
        <v>15116</v>
      </c>
      <c r="F3176" s="18" t="s">
        <v>50</v>
      </c>
      <c r="G3176" s="16" t="s">
        <v>334</v>
      </c>
      <c r="H3176" s="16" t="s">
        <v>184</v>
      </c>
      <c r="I3176" s="16" t="s">
        <v>61</v>
      </c>
    </row>
    <row r="3177" spans="2:9" x14ac:dyDescent="0.25">
      <c r="B3177" s="16" t="s">
        <v>22</v>
      </c>
      <c r="C3177" s="17">
        <v>45180</v>
      </c>
      <c r="D3177" s="16">
        <v>10917</v>
      </c>
      <c r="E3177" s="16">
        <v>67955</v>
      </c>
      <c r="F3177" s="18" t="s">
        <v>181</v>
      </c>
      <c r="G3177" s="16" t="s">
        <v>7</v>
      </c>
      <c r="H3177" s="16" t="s">
        <v>41</v>
      </c>
      <c r="I3177" s="16" t="s">
        <v>163</v>
      </c>
    </row>
    <row r="3178" spans="2:9" x14ac:dyDescent="0.25">
      <c r="B3178" s="16" t="s">
        <v>33</v>
      </c>
      <c r="C3178" s="17">
        <v>45180</v>
      </c>
      <c r="D3178" s="16">
        <v>160654</v>
      </c>
      <c r="E3178" s="16">
        <v>64714</v>
      </c>
      <c r="F3178" s="18" t="s">
        <v>448</v>
      </c>
      <c r="G3178" s="16" t="s">
        <v>341</v>
      </c>
      <c r="H3178" s="16" t="s">
        <v>71</v>
      </c>
      <c r="I3178" s="16" t="s">
        <v>163</v>
      </c>
    </row>
    <row r="3179" spans="2:9" x14ac:dyDescent="0.25">
      <c r="B3179" s="16" t="s">
        <v>33</v>
      </c>
      <c r="C3179" s="17">
        <v>45180</v>
      </c>
      <c r="D3179" s="16">
        <v>380278</v>
      </c>
      <c r="E3179" s="16">
        <v>1114</v>
      </c>
      <c r="F3179" s="18" t="s">
        <v>397</v>
      </c>
      <c r="G3179" s="16" t="s">
        <v>343</v>
      </c>
      <c r="H3179" s="16" t="s">
        <v>71</v>
      </c>
      <c r="I3179" s="16" t="s">
        <v>163</v>
      </c>
    </row>
    <row r="3180" spans="2:9" x14ac:dyDescent="0.25">
      <c r="B3180" s="16" t="s">
        <v>26</v>
      </c>
      <c r="C3180" s="17">
        <v>45180</v>
      </c>
      <c r="D3180" s="16">
        <v>310381</v>
      </c>
      <c r="E3180" s="16">
        <v>11564</v>
      </c>
      <c r="F3180" s="18" t="s">
        <v>82</v>
      </c>
      <c r="G3180" s="16" t="s">
        <v>7</v>
      </c>
      <c r="H3180" s="16" t="s">
        <v>71</v>
      </c>
      <c r="I3180" s="16" t="s">
        <v>163</v>
      </c>
    </row>
    <row r="3181" spans="2:9" x14ac:dyDescent="0.25">
      <c r="B3181" s="16" t="s">
        <v>26</v>
      </c>
      <c r="C3181" s="17">
        <v>45181</v>
      </c>
      <c r="D3181" s="16">
        <v>149301</v>
      </c>
      <c r="E3181" s="16">
        <v>11216</v>
      </c>
      <c r="F3181" s="18" t="s">
        <v>326</v>
      </c>
      <c r="G3181" s="16" t="s">
        <v>52</v>
      </c>
      <c r="H3181" s="16" t="s">
        <v>28</v>
      </c>
      <c r="I3181" s="16" t="s">
        <v>29</v>
      </c>
    </row>
    <row r="3182" spans="2:9" x14ac:dyDescent="0.25">
      <c r="B3182" s="16" t="s">
        <v>26</v>
      </c>
      <c r="C3182" s="17">
        <v>45181</v>
      </c>
      <c r="D3182" s="16">
        <v>148434</v>
      </c>
      <c r="E3182" s="16">
        <v>11216</v>
      </c>
      <c r="F3182" s="18" t="s">
        <v>326</v>
      </c>
      <c r="G3182" s="16" t="s">
        <v>52</v>
      </c>
      <c r="H3182" s="16" t="s">
        <v>28</v>
      </c>
      <c r="I3182" s="16" t="s">
        <v>29</v>
      </c>
    </row>
    <row r="3183" spans="2:9" x14ac:dyDescent="0.25">
      <c r="B3183" s="16" t="s">
        <v>26</v>
      </c>
      <c r="C3183" s="17">
        <v>45181</v>
      </c>
      <c r="D3183" s="16">
        <v>149299</v>
      </c>
      <c r="E3183" s="16">
        <v>11216</v>
      </c>
      <c r="F3183" s="18" t="s">
        <v>326</v>
      </c>
      <c r="G3183" s="16" t="s">
        <v>52</v>
      </c>
      <c r="H3183" s="16" t="s">
        <v>28</v>
      </c>
      <c r="I3183" s="16" t="s">
        <v>29</v>
      </c>
    </row>
    <row r="3184" spans="2:9" x14ac:dyDescent="0.25">
      <c r="B3184" s="16" t="s">
        <v>26</v>
      </c>
      <c r="C3184" s="17">
        <v>45181</v>
      </c>
      <c r="D3184" s="16">
        <v>149300</v>
      </c>
      <c r="E3184" s="16">
        <v>11216</v>
      </c>
      <c r="F3184" s="18" t="s">
        <v>326</v>
      </c>
      <c r="G3184" s="16" t="s">
        <v>52</v>
      </c>
      <c r="H3184" s="16" t="s">
        <v>28</v>
      </c>
      <c r="I3184" s="16" t="s">
        <v>29</v>
      </c>
    </row>
    <row r="3185" spans="2:9" x14ac:dyDescent="0.25">
      <c r="B3185" s="16" t="s">
        <v>26</v>
      </c>
      <c r="C3185" s="17">
        <v>45181</v>
      </c>
      <c r="D3185" s="16">
        <v>1044826</v>
      </c>
      <c r="E3185" s="16">
        <v>9403</v>
      </c>
      <c r="F3185" s="18" t="s">
        <v>153</v>
      </c>
      <c r="G3185" s="16" t="s">
        <v>5</v>
      </c>
      <c r="H3185" s="16" t="s">
        <v>186</v>
      </c>
      <c r="I3185" s="16" t="s">
        <v>57</v>
      </c>
    </row>
    <row r="3186" spans="2:9" x14ac:dyDescent="0.25">
      <c r="B3186" s="16" t="s">
        <v>26</v>
      </c>
      <c r="C3186" s="17">
        <v>45181</v>
      </c>
      <c r="D3186" s="16">
        <v>1041528</v>
      </c>
      <c r="E3186" s="16">
        <v>9403</v>
      </c>
      <c r="F3186" s="18" t="s">
        <v>153</v>
      </c>
      <c r="G3186" s="16" t="s">
        <v>5</v>
      </c>
      <c r="H3186" s="16" t="s">
        <v>186</v>
      </c>
      <c r="I3186" s="16" t="s">
        <v>57</v>
      </c>
    </row>
    <row r="3187" spans="2:9" x14ac:dyDescent="0.25">
      <c r="B3187" s="16" t="s">
        <v>26</v>
      </c>
      <c r="C3187" s="17">
        <v>45181</v>
      </c>
      <c r="D3187" s="16">
        <v>1041526</v>
      </c>
      <c r="E3187" s="16">
        <v>9403</v>
      </c>
      <c r="F3187" s="18" t="s">
        <v>153</v>
      </c>
      <c r="G3187" s="16" t="s">
        <v>5</v>
      </c>
      <c r="H3187" s="16" t="s">
        <v>186</v>
      </c>
      <c r="I3187" s="16" t="s">
        <v>57</v>
      </c>
    </row>
    <row r="3188" spans="2:9" x14ac:dyDescent="0.25">
      <c r="B3188" s="16" t="s">
        <v>26</v>
      </c>
      <c r="C3188" s="17">
        <v>45181</v>
      </c>
      <c r="D3188" s="16">
        <v>1041529</v>
      </c>
      <c r="E3188" s="16">
        <v>9403</v>
      </c>
      <c r="F3188" s="18" t="s">
        <v>153</v>
      </c>
      <c r="G3188" s="16" t="s">
        <v>5</v>
      </c>
      <c r="H3188" s="16" t="s">
        <v>102</v>
      </c>
      <c r="I3188" s="16" t="s">
        <v>17</v>
      </c>
    </row>
    <row r="3189" spans="2:9" x14ac:dyDescent="0.25">
      <c r="B3189" s="16" t="s">
        <v>26</v>
      </c>
      <c r="C3189" s="17">
        <v>45181</v>
      </c>
      <c r="D3189" s="16">
        <v>174191</v>
      </c>
      <c r="E3189" s="16">
        <v>12613</v>
      </c>
      <c r="F3189" s="18" t="s">
        <v>371</v>
      </c>
      <c r="G3189" s="16" t="s">
        <v>342</v>
      </c>
      <c r="H3189" s="16" t="s">
        <v>36</v>
      </c>
      <c r="I3189" s="16" t="s">
        <v>17</v>
      </c>
    </row>
    <row r="3190" spans="2:9" x14ac:dyDescent="0.25">
      <c r="B3190" s="16" t="s">
        <v>26</v>
      </c>
      <c r="C3190" s="17">
        <v>45181</v>
      </c>
      <c r="D3190" s="16">
        <v>10869</v>
      </c>
      <c r="E3190" s="16">
        <v>66224</v>
      </c>
      <c r="F3190" s="18" t="s">
        <v>121</v>
      </c>
      <c r="G3190" s="16" t="s">
        <v>334</v>
      </c>
      <c r="H3190" s="16" t="s">
        <v>46</v>
      </c>
      <c r="I3190" s="16" t="s">
        <v>17</v>
      </c>
    </row>
    <row r="3191" spans="2:9" x14ac:dyDescent="0.25">
      <c r="B3191" s="16" t="s">
        <v>33</v>
      </c>
      <c r="C3191" s="17">
        <v>45181</v>
      </c>
      <c r="D3191" s="16">
        <v>36467</v>
      </c>
      <c r="E3191" s="16">
        <v>1047</v>
      </c>
      <c r="F3191" s="18" t="s">
        <v>346</v>
      </c>
      <c r="G3191" s="16" t="s">
        <v>343</v>
      </c>
      <c r="H3191" s="16" t="s">
        <v>184</v>
      </c>
      <c r="I3191" s="16" t="s">
        <v>344</v>
      </c>
    </row>
    <row r="3192" spans="2:9" x14ac:dyDescent="0.25">
      <c r="B3192" s="16" t="s">
        <v>40</v>
      </c>
      <c r="C3192" s="17">
        <v>45181</v>
      </c>
      <c r="D3192" s="16">
        <v>445609</v>
      </c>
      <c r="E3192" s="16">
        <v>1147</v>
      </c>
      <c r="F3192" s="18" t="s">
        <v>449</v>
      </c>
      <c r="G3192" s="16" t="s">
        <v>344</v>
      </c>
      <c r="H3192" s="16" t="s">
        <v>45</v>
      </c>
      <c r="I3192" s="16" t="s">
        <v>61</v>
      </c>
    </row>
    <row r="3193" spans="2:9" x14ac:dyDescent="0.25">
      <c r="B3193" s="16" t="s">
        <v>33</v>
      </c>
      <c r="C3193" s="17">
        <v>45181</v>
      </c>
      <c r="D3193" s="16">
        <v>446022</v>
      </c>
      <c r="E3193" s="16">
        <v>1147</v>
      </c>
      <c r="F3193" s="18" t="s">
        <v>449</v>
      </c>
      <c r="G3193" s="16" t="s">
        <v>343</v>
      </c>
      <c r="H3193" s="16" t="s">
        <v>45</v>
      </c>
      <c r="I3193" s="16" t="s">
        <v>61</v>
      </c>
    </row>
    <row r="3194" spans="2:9" x14ac:dyDescent="0.25">
      <c r="B3194" s="16" t="s">
        <v>33</v>
      </c>
      <c r="C3194" s="17">
        <v>45181</v>
      </c>
      <c r="D3194" s="16">
        <v>174196</v>
      </c>
      <c r="E3194" s="16">
        <v>12613</v>
      </c>
      <c r="F3194" s="18" t="s">
        <v>371</v>
      </c>
      <c r="G3194" s="16" t="s">
        <v>342</v>
      </c>
      <c r="H3194" s="16" t="s">
        <v>184</v>
      </c>
      <c r="I3194" s="16" t="s">
        <v>61</v>
      </c>
    </row>
    <row r="3195" spans="2:9" x14ac:dyDescent="0.25">
      <c r="B3195" s="16" t="s">
        <v>210</v>
      </c>
      <c r="C3195" s="17">
        <v>45181</v>
      </c>
      <c r="D3195" s="16">
        <v>63002</v>
      </c>
      <c r="E3195" s="16">
        <v>63264</v>
      </c>
      <c r="F3195" s="18" t="s">
        <v>428</v>
      </c>
      <c r="G3195" s="16" t="s">
        <v>7</v>
      </c>
      <c r="H3195" s="16" t="s">
        <v>355</v>
      </c>
      <c r="I3195" s="16" t="s">
        <v>17</v>
      </c>
    </row>
    <row r="3196" spans="2:9" x14ac:dyDescent="0.25">
      <c r="B3196" s="16" t="s">
        <v>210</v>
      </c>
      <c r="C3196" s="17">
        <v>45181</v>
      </c>
      <c r="D3196" s="16">
        <v>8626110</v>
      </c>
      <c r="E3196" s="16">
        <v>9389</v>
      </c>
      <c r="F3196" s="18" t="s">
        <v>119</v>
      </c>
      <c r="G3196" s="16" t="s">
        <v>52</v>
      </c>
      <c r="H3196" s="16" t="s">
        <v>36</v>
      </c>
      <c r="I3196" s="16" t="s">
        <v>61</v>
      </c>
    </row>
    <row r="3197" spans="2:9" x14ac:dyDescent="0.25">
      <c r="B3197" s="16" t="s">
        <v>210</v>
      </c>
      <c r="C3197" s="17">
        <v>45181</v>
      </c>
      <c r="D3197" s="16">
        <v>742979</v>
      </c>
      <c r="E3197" s="16">
        <v>1008</v>
      </c>
      <c r="F3197" s="18" t="s">
        <v>74</v>
      </c>
      <c r="G3197" s="16" t="s">
        <v>334</v>
      </c>
      <c r="H3197" s="16" t="s">
        <v>36</v>
      </c>
      <c r="I3197" s="16" t="s">
        <v>335</v>
      </c>
    </row>
    <row r="3198" spans="2:9" x14ac:dyDescent="0.25">
      <c r="B3198" s="16" t="s">
        <v>210</v>
      </c>
      <c r="C3198" s="17">
        <v>45181</v>
      </c>
      <c r="D3198" s="16">
        <v>838374</v>
      </c>
      <c r="E3198" s="16">
        <v>9364</v>
      </c>
      <c r="F3198" s="18" t="s">
        <v>141</v>
      </c>
      <c r="G3198" s="16" t="s">
        <v>334</v>
      </c>
      <c r="H3198" s="16" t="s">
        <v>137</v>
      </c>
      <c r="I3198" s="16" t="s">
        <v>17</v>
      </c>
    </row>
    <row r="3199" spans="2:9" x14ac:dyDescent="0.25">
      <c r="B3199" s="16" t="s">
        <v>210</v>
      </c>
      <c r="C3199" s="17">
        <v>45181</v>
      </c>
      <c r="D3199" s="16">
        <v>67725</v>
      </c>
      <c r="E3199" s="16">
        <v>5346</v>
      </c>
      <c r="F3199" s="18" t="s">
        <v>277</v>
      </c>
      <c r="G3199" s="16" t="s">
        <v>7</v>
      </c>
      <c r="H3199" s="16" t="s">
        <v>38</v>
      </c>
      <c r="I3199" s="16" t="s">
        <v>17</v>
      </c>
    </row>
    <row r="3200" spans="2:9" x14ac:dyDescent="0.25">
      <c r="B3200" s="16" t="s">
        <v>210</v>
      </c>
      <c r="C3200" s="17">
        <v>45181</v>
      </c>
      <c r="D3200" s="16">
        <v>269184</v>
      </c>
      <c r="E3200" s="16">
        <v>70955</v>
      </c>
      <c r="F3200" s="18" t="s">
        <v>20</v>
      </c>
      <c r="G3200" s="16" t="s">
        <v>52</v>
      </c>
      <c r="H3200" s="16" t="s">
        <v>28</v>
      </c>
      <c r="I3200" s="16" t="s">
        <v>73</v>
      </c>
    </row>
    <row r="3201" spans="2:9" x14ac:dyDescent="0.25">
      <c r="B3201" s="16" t="s">
        <v>210</v>
      </c>
      <c r="C3201" s="17">
        <v>45181</v>
      </c>
      <c r="D3201" s="16">
        <v>269120</v>
      </c>
      <c r="E3201" s="16">
        <v>70955</v>
      </c>
      <c r="F3201" s="18" t="s">
        <v>20</v>
      </c>
      <c r="G3201" s="16" t="s">
        <v>52</v>
      </c>
      <c r="H3201" s="16" t="s">
        <v>28</v>
      </c>
      <c r="I3201" s="16" t="s">
        <v>73</v>
      </c>
    </row>
    <row r="3202" spans="2:9" x14ac:dyDescent="0.25">
      <c r="B3202" s="16" t="s">
        <v>210</v>
      </c>
      <c r="C3202" s="17">
        <v>45181</v>
      </c>
      <c r="D3202" s="16">
        <v>14932</v>
      </c>
      <c r="E3202" s="16">
        <v>70826</v>
      </c>
      <c r="F3202" s="18" t="s">
        <v>20</v>
      </c>
      <c r="G3202" s="16" t="s">
        <v>16</v>
      </c>
      <c r="H3202" s="16" t="s">
        <v>186</v>
      </c>
      <c r="I3202" s="16" t="s">
        <v>61</v>
      </c>
    </row>
    <row r="3203" spans="2:9" x14ac:dyDescent="0.25">
      <c r="B3203" s="16" t="s">
        <v>33</v>
      </c>
      <c r="C3203" s="17">
        <v>45181</v>
      </c>
      <c r="D3203" s="16">
        <v>2291</v>
      </c>
      <c r="E3203" s="16">
        <v>70619</v>
      </c>
      <c r="F3203" s="18" t="s">
        <v>20</v>
      </c>
      <c r="G3203" s="16" t="s">
        <v>7</v>
      </c>
      <c r="H3203" s="16" t="s">
        <v>355</v>
      </c>
      <c r="I3203" s="16" t="s">
        <v>259</v>
      </c>
    </row>
    <row r="3204" spans="2:9" x14ac:dyDescent="0.25">
      <c r="B3204" s="16" t="s">
        <v>33</v>
      </c>
      <c r="C3204" s="17">
        <v>45181</v>
      </c>
      <c r="D3204" s="16">
        <v>208354</v>
      </c>
      <c r="E3204" s="16">
        <v>10440</v>
      </c>
      <c r="F3204" s="18" t="s">
        <v>37</v>
      </c>
      <c r="G3204" s="16" t="s">
        <v>342</v>
      </c>
      <c r="H3204" s="16" t="s">
        <v>114</v>
      </c>
      <c r="I3204" s="16" t="s">
        <v>17</v>
      </c>
    </row>
    <row r="3205" spans="2:9" x14ac:dyDescent="0.25">
      <c r="B3205" s="16" t="s">
        <v>210</v>
      </c>
      <c r="C3205" s="17">
        <v>45181</v>
      </c>
      <c r="D3205" s="16">
        <v>2151273</v>
      </c>
      <c r="E3205" s="16">
        <v>9459</v>
      </c>
      <c r="F3205" s="18" t="s">
        <v>105</v>
      </c>
      <c r="G3205" s="16" t="s">
        <v>343</v>
      </c>
      <c r="H3205" s="16" t="s">
        <v>186</v>
      </c>
      <c r="I3205" s="16" t="s">
        <v>61</v>
      </c>
    </row>
    <row r="3206" spans="2:9" x14ac:dyDescent="0.25">
      <c r="B3206" s="16" t="s">
        <v>33</v>
      </c>
      <c r="C3206" s="17">
        <v>45181</v>
      </c>
      <c r="D3206" s="16">
        <v>62999</v>
      </c>
      <c r="E3206" s="16">
        <v>63264</v>
      </c>
      <c r="F3206" s="18" t="s">
        <v>428</v>
      </c>
      <c r="G3206" s="16" t="s">
        <v>7</v>
      </c>
      <c r="H3206" s="16" t="s">
        <v>355</v>
      </c>
      <c r="I3206" s="16" t="s">
        <v>7</v>
      </c>
    </row>
    <row r="3207" spans="2:9" x14ac:dyDescent="0.25">
      <c r="B3207" s="16" t="s">
        <v>2</v>
      </c>
      <c r="C3207" s="17">
        <v>45181</v>
      </c>
      <c r="D3207" s="16">
        <v>10928</v>
      </c>
      <c r="E3207" s="16">
        <v>67955</v>
      </c>
      <c r="F3207" s="18" t="s">
        <v>181</v>
      </c>
      <c r="G3207" s="16" t="s">
        <v>7</v>
      </c>
      <c r="H3207" s="16" t="s">
        <v>38</v>
      </c>
      <c r="I3207" s="16" t="s">
        <v>17</v>
      </c>
    </row>
    <row r="3208" spans="2:9" x14ac:dyDescent="0.25">
      <c r="B3208" s="16" t="s">
        <v>2</v>
      </c>
      <c r="C3208" s="17">
        <v>45181</v>
      </c>
      <c r="D3208" s="16">
        <v>2151279</v>
      </c>
      <c r="E3208" s="16">
        <v>9459</v>
      </c>
      <c r="F3208" s="18" t="s">
        <v>105</v>
      </c>
      <c r="G3208" s="16" t="s">
        <v>343</v>
      </c>
      <c r="H3208" s="16" t="s">
        <v>186</v>
      </c>
      <c r="I3208" s="16" t="s">
        <v>61</v>
      </c>
    </row>
    <row r="3209" spans="2:9" x14ac:dyDescent="0.25">
      <c r="B3209" s="16" t="s">
        <v>2</v>
      </c>
      <c r="C3209" s="17">
        <v>45181</v>
      </c>
      <c r="D3209" s="16">
        <v>62998</v>
      </c>
      <c r="E3209" s="16">
        <v>63264</v>
      </c>
      <c r="F3209" s="18" t="s">
        <v>428</v>
      </c>
      <c r="G3209" s="16" t="s">
        <v>7</v>
      </c>
      <c r="H3209" s="16" t="s">
        <v>355</v>
      </c>
      <c r="I3209" s="16" t="s">
        <v>373</v>
      </c>
    </row>
    <row r="3210" spans="2:9" x14ac:dyDescent="0.25">
      <c r="B3210" s="16" t="s">
        <v>2</v>
      </c>
      <c r="C3210" s="17">
        <v>45181</v>
      </c>
      <c r="D3210" s="16">
        <v>838309</v>
      </c>
      <c r="E3210" s="16">
        <v>9364</v>
      </c>
      <c r="F3210" s="18" t="s">
        <v>141</v>
      </c>
      <c r="G3210" s="16" t="s">
        <v>334</v>
      </c>
      <c r="H3210" s="16" t="s">
        <v>36</v>
      </c>
      <c r="I3210" s="16" t="s">
        <v>61</v>
      </c>
    </row>
    <row r="3211" spans="2:9" x14ac:dyDescent="0.25">
      <c r="B3211" s="16" t="s">
        <v>33</v>
      </c>
      <c r="C3211" s="17">
        <v>45181</v>
      </c>
      <c r="D3211" s="16">
        <v>2151285</v>
      </c>
      <c r="E3211" s="16">
        <v>9459</v>
      </c>
      <c r="F3211" s="18" t="s">
        <v>105</v>
      </c>
      <c r="G3211" s="16" t="s">
        <v>343</v>
      </c>
      <c r="H3211" s="16" t="s">
        <v>39</v>
      </c>
      <c r="I3211" s="16" t="s">
        <v>344</v>
      </c>
    </row>
    <row r="3212" spans="2:9" x14ac:dyDescent="0.25">
      <c r="B3212" s="16" t="s">
        <v>33</v>
      </c>
      <c r="C3212" s="17">
        <v>45181</v>
      </c>
      <c r="D3212" s="16">
        <v>2151284</v>
      </c>
      <c r="E3212" s="16">
        <v>9459</v>
      </c>
      <c r="F3212" s="18" t="s">
        <v>105</v>
      </c>
      <c r="G3212" s="16" t="s">
        <v>343</v>
      </c>
      <c r="H3212" s="16" t="s">
        <v>39</v>
      </c>
      <c r="I3212" s="16" t="s">
        <v>344</v>
      </c>
    </row>
    <row r="3213" spans="2:9" x14ac:dyDescent="0.25">
      <c r="B3213" s="16" t="s">
        <v>40</v>
      </c>
      <c r="C3213" s="17">
        <v>45181</v>
      </c>
      <c r="D3213" s="16">
        <v>2151292</v>
      </c>
      <c r="E3213" s="16">
        <v>9459</v>
      </c>
      <c r="F3213" s="18" t="s">
        <v>105</v>
      </c>
      <c r="G3213" s="16" t="s">
        <v>343</v>
      </c>
      <c r="H3213" s="16" t="s">
        <v>39</v>
      </c>
      <c r="I3213" s="16" t="s">
        <v>344</v>
      </c>
    </row>
    <row r="3214" spans="2:9" x14ac:dyDescent="0.25">
      <c r="B3214" s="16" t="s">
        <v>40</v>
      </c>
      <c r="C3214" s="17">
        <v>45181</v>
      </c>
      <c r="D3214" s="16">
        <v>2151286</v>
      </c>
      <c r="E3214" s="16">
        <v>9459</v>
      </c>
      <c r="F3214" s="18" t="s">
        <v>105</v>
      </c>
      <c r="G3214" s="16" t="s">
        <v>343</v>
      </c>
      <c r="H3214" s="16" t="s">
        <v>39</v>
      </c>
      <c r="I3214" s="16" t="s">
        <v>344</v>
      </c>
    </row>
  </sheetData>
  <phoneticPr fontId="8" type="noConversion"/>
  <dataValidations count="2">
    <dataValidation type="list" allowBlank="1" showInputMessage="1" showErrorMessage="1" sqref="H3:H54 H120:H123 H126:H127 H129 H131" xr:uid="{C27F5A31-77B3-4487-ADFB-FADD5D78DB68}">
      <formula1>#REF!</formula1>
    </dataValidation>
    <dataValidation type="list" allowBlank="1" showInputMessage="1" showErrorMessage="1" sqref="B3:B54 G3:G54 G397" xr:uid="{FF02782D-E1EE-4504-A3B3-706324551EC2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DB68EC40CE954FB7827A5DD44445E4" ma:contentTypeVersion="7" ma:contentTypeDescription="Create a new document." ma:contentTypeScope="" ma:versionID="454d5f2825b4ad132605a10dba7ca7b7">
  <xsd:schema xmlns:xsd="http://www.w3.org/2001/XMLSchema" xmlns:xs="http://www.w3.org/2001/XMLSchema" xmlns:p="http://schemas.microsoft.com/office/2006/metadata/properties" xmlns:ns2="0b5b4d6f-0e2f-4c84-a872-c2d13a5849ea" xmlns:ns3="deb905fe-1226-4688-8508-935f179d5065" targetNamespace="http://schemas.microsoft.com/office/2006/metadata/properties" ma:root="true" ma:fieldsID="81cdcc4d3248e07e21f4d7bceafab4fb" ns2:_="" ns3:_="">
    <xsd:import namespace="0b5b4d6f-0e2f-4c84-a872-c2d13a5849ea"/>
    <xsd:import namespace="deb905fe-1226-4688-8508-935f179d506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5b4d6f-0e2f-4c84-a872-c2d13a5849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b905fe-1226-4688-8508-935f179d5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3B2415-66C0-42F1-9784-E3777EDC5E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b5b4d6f-0e2f-4c84-a872-c2d13a5849ea"/>
    <ds:schemaRef ds:uri="deb905fe-1226-4688-8508-935f179d5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C0FF57-5A05-4021-81A1-34013744B4A7}">
  <ds:schemaRefs>
    <ds:schemaRef ds:uri="http://schemas.microsoft.com/office/2006/metadata/properties"/>
    <ds:schemaRef ds:uri="http://schemas.microsoft.com/office/infopath/2007/PartnerControls"/>
    <ds:schemaRef ds:uri="dc1e6847-3942-47ca-89ad-7602d6c45ab3"/>
    <ds:schemaRef ds:uri="ebe4d6e1-bc15-48e9-a0cd-d7d7cac8ed3c"/>
  </ds:schemaRefs>
</ds:datastoreItem>
</file>

<file path=customXml/itemProps3.xml><?xml version="1.0" encoding="utf-8"?>
<ds:datastoreItem xmlns:ds="http://schemas.openxmlformats.org/officeDocument/2006/customXml" ds:itemID="{0E84BD81-D216-4209-8DFE-F60909A28FC2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9303EAB-FC0F-4993-99A2-726621F322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DEVOL E CANC - NF</vt:lpstr>
      <vt:lpstr>BASE</vt:lpstr>
      <vt:lpstr>'DEVOL E CANC - NF'!Area_de_impressao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Hudson Hudson Flank da Chagas Silva</dc:creator>
  <cp:keywords/>
  <dc:description/>
  <cp:lastModifiedBy>Michael Douglas Siqueira Dutra</cp:lastModifiedBy>
  <cp:revision/>
  <dcterms:created xsi:type="dcterms:W3CDTF">2020-04-30T19:01:36Z</dcterms:created>
  <dcterms:modified xsi:type="dcterms:W3CDTF">2023-09-13T18:38:47Z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0x0101002EDB68EC40CE954FB7827A5DD44445E4</vt:lpwstr>
  </property>
  <property fmtid="{D5CDD505-2E9C-101B-9397-08002B2CF9AE}" pid="3" name="MediaServiceImageTags">
    <vt:lpwstr/>
  </property>
</Properties>
</file>